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hehn\Downloads\"/>
    </mc:Choice>
  </mc:AlternateContent>
  <xr:revisionPtr revIDLastSave="0" documentId="13_ncr:1_{F6754617-43B1-405F-BB45-61429328A7E9}" xr6:coauthVersionLast="47" xr6:coauthVersionMax="47" xr10:uidLastSave="{00000000-0000-0000-0000-000000000000}"/>
  <bookViews>
    <workbookView xWindow="-108" yWindow="-108" windowWidth="23256" windowHeight="12456" activeTab="5" xr2:uid="{00000000-000D-0000-FFFF-FFFF00000000}"/>
  </bookViews>
  <sheets>
    <sheet name="Raw Dataset" sheetId="1" r:id="rId1"/>
    <sheet name="Cleaned Dataset" sheetId="6" r:id="rId2"/>
    <sheet name="map_data" sheetId="10" r:id="rId3"/>
    <sheet name="pivot_tables" sheetId="8" r:id="rId4"/>
    <sheet name="VIsuals_all" sheetId="7" r:id="rId5"/>
    <sheet name="New dashboard" sheetId="9" r:id="rId6"/>
  </sheets>
  <definedNames>
    <definedName name="_xlchart.v5.0" hidden="1">map_data!$H$10:$H$43</definedName>
    <definedName name="_xlchart.v5.1" hidden="1">map_data!$H$9</definedName>
    <definedName name="_xlchart.v5.2" hidden="1">map_data!$I$10:$I$43</definedName>
    <definedName name="_xlchart.v5.3" hidden="1">map_data!$I$9</definedName>
    <definedName name="_xlchart.v5.4" hidden="1">map_data!$H$10:$H$43</definedName>
    <definedName name="_xlchart.v5.5" hidden="1">map_data!$H$9</definedName>
    <definedName name="_xlchart.v5.6" hidden="1">map_data!$I$10:$I$43</definedName>
    <definedName name="_xlchart.v5.7" hidden="1">map_data!$I$9</definedName>
    <definedName name="Slicer_Entry_Type">#N/A</definedName>
    <definedName name="Slicer_popularity_Traffic">#N/A</definedName>
    <definedName name="Slicer_Site_Classification">#N/A</definedName>
    <definedName name="Slicer_State">#N/A</definedName>
    <definedName name="Slicer_Type">#N/A</definedName>
    <definedName name="Slicer_Zon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7" l="1"/>
  <c r="J4" i="9"/>
  <c r="G4" i="9"/>
  <c r="C2" i="7"/>
  <c r="D4" i="9"/>
  <c r="A2" i="7"/>
  <c r="A4" i="9"/>
  <c r="Y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Y46" i="6"/>
  <c r="Y47" i="6"/>
  <c r="Y48" i="6"/>
  <c r="Y49" i="6"/>
  <c r="Y50" i="6"/>
  <c r="Y51" i="6"/>
  <c r="Y52" i="6"/>
  <c r="Y53" i="6"/>
  <c r="Y54" i="6"/>
  <c r="Y55" i="6"/>
  <c r="Y56" i="6"/>
  <c r="Y57" i="6"/>
  <c r="Y58" i="6"/>
  <c r="Y59" i="6"/>
  <c r="Y60" i="6"/>
  <c r="Y61" i="6"/>
  <c r="Y62" i="6"/>
  <c r="Y63" i="6"/>
  <c r="Y64" i="6"/>
  <c r="Y65" i="6"/>
  <c r="Y66" i="6"/>
  <c r="Y67" i="6"/>
  <c r="Y68" i="6"/>
  <c r="Y69" i="6"/>
  <c r="Y70" i="6"/>
  <c r="Y71" i="6"/>
  <c r="Y72" i="6"/>
  <c r="Y73" i="6"/>
  <c r="Y74" i="6"/>
  <c r="Y75" i="6"/>
  <c r="Y76" i="6"/>
  <c r="Y77" i="6"/>
  <c r="Y78" i="6"/>
  <c r="Y79" i="6"/>
  <c r="Y80" i="6"/>
  <c r="Y81" i="6"/>
  <c r="Y82" i="6"/>
  <c r="Y83" i="6"/>
  <c r="Y84" i="6"/>
  <c r="Y85" i="6"/>
  <c r="Y86" i="6"/>
  <c r="Y87" i="6"/>
  <c r="Y88" i="6"/>
  <c r="Y89" i="6"/>
  <c r="Y90" i="6"/>
  <c r="Y91" i="6"/>
  <c r="Y92" i="6"/>
  <c r="Y93" i="6"/>
  <c r="Y94" i="6"/>
  <c r="Y95" i="6"/>
  <c r="Y96" i="6"/>
  <c r="Y97" i="6"/>
  <c r="Y98" i="6"/>
  <c r="Y99" i="6"/>
  <c r="Y100" i="6"/>
  <c r="Y101" i="6"/>
  <c r="Y102" i="6"/>
  <c r="Y103" i="6"/>
  <c r="Y104" i="6"/>
  <c r="Y105" i="6"/>
  <c r="Y106" i="6"/>
  <c r="Y107" i="6"/>
  <c r="Y108" i="6"/>
  <c r="Y109" i="6"/>
  <c r="Y110" i="6"/>
  <c r="Y111" i="6"/>
  <c r="Y112" i="6"/>
  <c r="Y113" i="6"/>
  <c r="Y114" i="6"/>
  <c r="Y115" i="6"/>
  <c r="Y116" i="6"/>
  <c r="Y117" i="6"/>
  <c r="Y118" i="6"/>
  <c r="Y119" i="6"/>
  <c r="Y120" i="6"/>
  <c r="Y121" i="6"/>
  <c r="Y122" i="6"/>
  <c r="Y123" i="6"/>
  <c r="Y124" i="6"/>
  <c r="Y125" i="6"/>
  <c r="Y126" i="6"/>
  <c r="Y127" i="6"/>
  <c r="Y128" i="6"/>
  <c r="Y129" i="6"/>
  <c r="Y130" i="6"/>
  <c r="Y131" i="6"/>
  <c r="Y132" i="6"/>
  <c r="Y133" i="6"/>
  <c r="Y134" i="6"/>
  <c r="Y135" i="6"/>
  <c r="Y136" i="6"/>
  <c r="Y137" i="6"/>
  <c r="Y138" i="6"/>
  <c r="Y139" i="6"/>
  <c r="Y140" i="6"/>
  <c r="Y141" i="6"/>
  <c r="Y142" i="6"/>
  <c r="Y143" i="6"/>
  <c r="Y144" i="6"/>
  <c r="Y145" i="6"/>
  <c r="Y146" i="6"/>
  <c r="Y147" i="6"/>
  <c r="Y148" i="6"/>
  <c r="Y149" i="6"/>
  <c r="Y150" i="6"/>
  <c r="Y151" i="6"/>
  <c r="Y152" i="6"/>
  <c r="Y153" i="6"/>
  <c r="Y154" i="6"/>
  <c r="Y155" i="6"/>
  <c r="Y156" i="6"/>
  <c r="Y157" i="6"/>
  <c r="Y158" i="6"/>
  <c r="Y159" i="6"/>
  <c r="Y160" i="6"/>
  <c r="Y161" i="6"/>
  <c r="Y162" i="6"/>
  <c r="Y163" i="6"/>
  <c r="Y164" i="6"/>
  <c r="Y165" i="6"/>
  <c r="Y166" i="6"/>
  <c r="Y167" i="6"/>
  <c r="Y168" i="6"/>
  <c r="Y169" i="6"/>
  <c r="Y170" i="6"/>
  <c r="Y171" i="6"/>
  <c r="Y172" i="6"/>
  <c r="Y173" i="6"/>
  <c r="Y174" i="6"/>
  <c r="Y175" i="6"/>
  <c r="Y176" i="6"/>
  <c r="Y177" i="6"/>
  <c r="Y178" i="6"/>
  <c r="Y179" i="6"/>
  <c r="Y180" i="6"/>
  <c r="Y181" i="6"/>
  <c r="Y182" i="6"/>
  <c r="Y183" i="6"/>
  <c r="Y184" i="6"/>
  <c r="Y185" i="6"/>
  <c r="Y186" i="6"/>
  <c r="Y187" i="6"/>
  <c r="Y188" i="6"/>
  <c r="Y189" i="6"/>
  <c r="Y190" i="6"/>
  <c r="Y191" i="6"/>
  <c r="Y192" i="6"/>
  <c r="Y193" i="6"/>
  <c r="Y194" i="6"/>
  <c r="Y195" i="6"/>
  <c r="Y196" i="6"/>
  <c r="Y197" i="6"/>
  <c r="Y198" i="6"/>
  <c r="Y199" i="6"/>
  <c r="Y200" i="6"/>
  <c r="Y201" i="6"/>
  <c r="Y202" i="6"/>
  <c r="Y203" i="6"/>
  <c r="Y204" i="6"/>
  <c r="Y205" i="6"/>
  <c r="Y206" i="6"/>
  <c r="Y207" i="6"/>
  <c r="Y208" i="6"/>
  <c r="Y209" i="6"/>
  <c r="Y210" i="6"/>
  <c r="Y211" i="6"/>
  <c r="Y212" i="6"/>
  <c r="Y213" i="6"/>
  <c r="Y214" i="6"/>
  <c r="Y215" i="6"/>
  <c r="Y216" i="6"/>
  <c r="Y217" i="6"/>
  <c r="Y218" i="6"/>
  <c r="Y219" i="6"/>
  <c r="Y220" i="6"/>
  <c r="Y221" i="6"/>
  <c r="Y222" i="6"/>
  <c r="Y223" i="6"/>
  <c r="Y224" i="6"/>
  <c r="Y225" i="6"/>
  <c r="Y226" i="6"/>
  <c r="Y227" i="6"/>
  <c r="Y228" i="6"/>
  <c r="Y229" i="6"/>
  <c r="Y230" i="6"/>
  <c r="Y231" i="6"/>
  <c r="Y232" i="6"/>
  <c r="Y233" i="6"/>
  <c r="Y234" i="6"/>
  <c r="Y235" i="6"/>
  <c r="Y236" i="6"/>
  <c r="Y237" i="6"/>
  <c r="Y238" i="6"/>
  <c r="Y239" i="6"/>
  <c r="Y240" i="6"/>
  <c r="Y241" i="6"/>
  <c r="Y242" i="6"/>
  <c r="Y243" i="6"/>
  <c r="Y244" i="6"/>
  <c r="Y245" i="6"/>
  <c r="Y246" i="6"/>
  <c r="Y247" i="6"/>
  <c r="Y248" i="6"/>
  <c r="Y249" i="6"/>
  <c r="Y250" i="6"/>
  <c r="Y251" i="6"/>
  <c r="Y252" i="6"/>
  <c r="Y253" i="6"/>
  <c r="Y254" i="6"/>
  <c r="Y255" i="6"/>
  <c r="Y256" i="6"/>
  <c r="Y257" i="6"/>
  <c r="Y258" i="6"/>
  <c r="Y259" i="6"/>
  <c r="Y260" i="6"/>
  <c r="Y261" i="6"/>
  <c r="Y262" i="6"/>
  <c r="Y263" i="6"/>
  <c r="Y264" i="6"/>
  <c r="Y265" i="6"/>
  <c r="Y266" i="6"/>
  <c r="Y267" i="6"/>
  <c r="Y268" i="6"/>
  <c r="Y269" i="6"/>
  <c r="Y270" i="6"/>
  <c r="Y271" i="6"/>
  <c r="Y272" i="6"/>
  <c r="Y273" i="6"/>
  <c r="Y274" i="6"/>
  <c r="Y275" i="6"/>
  <c r="Y276" i="6"/>
  <c r="Y277" i="6"/>
  <c r="Y278" i="6"/>
  <c r="Y279" i="6"/>
  <c r="Y280" i="6"/>
  <c r="Y281" i="6"/>
  <c r="Y282" i="6"/>
  <c r="Y283" i="6"/>
  <c r="Y284" i="6"/>
  <c r="Y285" i="6"/>
  <c r="Y286" i="6"/>
  <c r="Y287" i="6"/>
  <c r="Y288" i="6"/>
  <c r="Y289" i="6"/>
  <c r="Y290" i="6"/>
  <c r="Y291" i="6"/>
  <c r="Y292" i="6"/>
  <c r="Y293" i="6"/>
  <c r="Y294" i="6"/>
  <c r="Y295" i="6"/>
  <c r="Y296" i="6"/>
  <c r="Y297" i="6"/>
  <c r="Y298" i="6"/>
  <c r="Y299" i="6"/>
  <c r="Y300" i="6"/>
  <c r="Y301" i="6"/>
  <c r="Y302" i="6"/>
  <c r="Y303" i="6"/>
  <c r="Y304" i="6"/>
  <c r="Y305" i="6"/>
  <c r="Y306" i="6"/>
  <c r="Y307" i="6"/>
  <c r="Y308" i="6"/>
  <c r="Y309" i="6"/>
  <c r="Y310" i="6"/>
  <c r="Y311" i="6"/>
  <c r="Y312" i="6"/>
  <c r="Y313" i="6"/>
  <c r="Y314" i="6"/>
  <c r="Y315" i="6"/>
  <c r="Y316" i="6"/>
  <c r="Y317" i="6"/>
  <c r="Y318" i="6"/>
  <c r="Y319" i="6"/>
  <c r="Y320" i="6"/>
  <c r="Y321" i="6"/>
  <c r="Y322" i="6"/>
  <c r="Y323" i="6"/>
  <c r="Y324" i="6"/>
  <c r="Y325" i="6"/>
  <c r="Y326" i="6"/>
  <c r="X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V326" i="6"/>
  <c r="U326" i="6"/>
  <c r="T326" i="6"/>
  <c r="S326" i="6"/>
  <c r="R326" i="6"/>
  <c r="K326" i="6"/>
  <c r="I326" i="6"/>
  <c r="V325" i="6"/>
  <c r="U325" i="6"/>
  <c r="T325" i="6"/>
  <c r="S325" i="6"/>
  <c r="R325" i="6"/>
  <c r="K325" i="6"/>
  <c r="I325" i="6"/>
  <c r="V324" i="6"/>
  <c r="U324" i="6"/>
  <c r="T324" i="6"/>
  <c r="S324" i="6"/>
  <c r="R324" i="6"/>
  <c r="K324" i="6"/>
  <c r="I324" i="6"/>
  <c r="V323" i="6"/>
  <c r="U323" i="6"/>
  <c r="T323" i="6"/>
  <c r="S323" i="6"/>
  <c r="R323" i="6"/>
  <c r="K323" i="6"/>
  <c r="I323" i="6"/>
  <c r="V322" i="6"/>
  <c r="U322" i="6"/>
  <c r="T322" i="6"/>
  <c r="S322" i="6"/>
  <c r="R322" i="6"/>
  <c r="K322" i="6"/>
  <c r="I322" i="6"/>
  <c r="V321" i="6"/>
  <c r="U321" i="6"/>
  <c r="T321" i="6"/>
  <c r="S321" i="6"/>
  <c r="R321" i="6"/>
  <c r="K321" i="6"/>
  <c r="I321" i="6"/>
  <c r="V320" i="6"/>
  <c r="U320" i="6"/>
  <c r="T320" i="6"/>
  <c r="S320" i="6"/>
  <c r="R320" i="6"/>
  <c r="K320" i="6"/>
  <c r="I320" i="6"/>
  <c r="V319" i="6"/>
  <c r="U319" i="6"/>
  <c r="T319" i="6"/>
  <c r="S319" i="6"/>
  <c r="R319" i="6"/>
  <c r="K319" i="6"/>
  <c r="I319" i="6"/>
  <c r="V318" i="6"/>
  <c r="U318" i="6"/>
  <c r="T318" i="6"/>
  <c r="S318" i="6"/>
  <c r="R318" i="6"/>
  <c r="K318" i="6"/>
  <c r="I318" i="6"/>
  <c r="V317" i="6"/>
  <c r="U317" i="6"/>
  <c r="T317" i="6"/>
  <c r="S317" i="6"/>
  <c r="R317" i="6"/>
  <c r="K317" i="6"/>
  <c r="I317" i="6"/>
  <c r="V316" i="6"/>
  <c r="U316" i="6"/>
  <c r="T316" i="6"/>
  <c r="S316" i="6"/>
  <c r="R316" i="6"/>
  <c r="K316" i="6"/>
  <c r="I316" i="6"/>
  <c r="V315" i="6"/>
  <c r="U315" i="6"/>
  <c r="T315" i="6"/>
  <c r="S315" i="6"/>
  <c r="R315" i="6"/>
  <c r="K315" i="6"/>
  <c r="I315" i="6"/>
  <c r="V314" i="6"/>
  <c r="U314" i="6"/>
  <c r="T314" i="6"/>
  <c r="S314" i="6"/>
  <c r="R314" i="6"/>
  <c r="K314" i="6"/>
  <c r="I314" i="6"/>
  <c r="V313" i="6"/>
  <c r="U313" i="6"/>
  <c r="T313" i="6"/>
  <c r="S313" i="6"/>
  <c r="R313" i="6"/>
  <c r="K313" i="6"/>
  <c r="I313" i="6"/>
  <c r="V312" i="6"/>
  <c r="U312" i="6"/>
  <c r="T312" i="6"/>
  <c r="S312" i="6"/>
  <c r="R312" i="6"/>
  <c r="K312" i="6"/>
  <c r="I312" i="6"/>
  <c r="V311" i="6"/>
  <c r="U311" i="6"/>
  <c r="T311" i="6"/>
  <c r="S311" i="6"/>
  <c r="R311" i="6"/>
  <c r="K311" i="6"/>
  <c r="I311" i="6"/>
  <c r="V310" i="6"/>
  <c r="U310" i="6"/>
  <c r="T310" i="6"/>
  <c r="S310" i="6"/>
  <c r="R310" i="6"/>
  <c r="K310" i="6"/>
  <c r="I310" i="6"/>
  <c r="V309" i="6"/>
  <c r="U309" i="6"/>
  <c r="T309" i="6"/>
  <c r="S309" i="6"/>
  <c r="R309" i="6"/>
  <c r="K309" i="6"/>
  <c r="I309" i="6"/>
  <c r="V308" i="6"/>
  <c r="U308" i="6"/>
  <c r="T308" i="6"/>
  <c r="S308" i="6"/>
  <c r="R308" i="6"/>
  <c r="K308" i="6"/>
  <c r="I308" i="6"/>
  <c r="V307" i="6"/>
  <c r="U307" i="6"/>
  <c r="T307" i="6"/>
  <c r="S307" i="6"/>
  <c r="R307" i="6"/>
  <c r="K307" i="6"/>
  <c r="I307" i="6"/>
  <c r="V306" i="6"/>
  <c r="U306" i="6"/>
  <c r="T306" i="6"/>
  <c r="S306" i="6"/>
  <c r="R306" i="6"/>
  <c r="K306" i="6"/>
  <c r="I306" i="6"/>
  <c r="V305" i="6"/>
  <c r="U305" i="6"/>
  <c r="T305" i="6"/>
  <c r="S305" i="6"/>
  <c r="R305" i="6"/>
  <c r="K305" i="6"/>
  <c r="I305" i="6"/>
  <c r="V304" i="6"/>
  <c r="U304" i="6"/>
  <c r="T304" i="6"/>
  <c r="S304" i="6"/>
  <c r="R304" i="6"/>
  <c r="K304" i="6"/>
  <c r="I304" i="6"/>
  <c r="V303" i="6"/>
  <c r="U303" i="6"/>
  <c r="T303" i="6"/>
  <c r="S303" i="6"/>
  <c r="R303" i="6"/>
  <c r="K303" i="6"/>
  <c r="I303" i="6"/>
  <c r="V302" i="6"/>
  <c r="U302" i="6"/>
  <c r="T302" i="6"/>
  <c r="S302" i="6"/>
  <c r="R302" i="6"/>
  <c r="K302" i="6"/>
  <c r="I302" i="6"/>
  <c r="V301" i="6"/>
  <c r="U301" i="6"/>
  <c r="T301" i="6"/>
  <c r="S301" i="6"/>
  <c r="R301" i="6"/>
  <c r="K301" i="6"/>
  <c r="I301" i="6"/>
  <c r="V300" i="6"/>
  <c r="U300" i="6"/>
  <c r="T300" i="6"/>
  <c r="S300" i="6"/>
  <c r="R300" i="6"/>
  <c r="K300" i="6"/>
  <c r="I300" i="6"/>
  <c r="V299" i="6"/>
  <c r="U299" i="6"/>
  <c r="T299" i="6"/>
  <c r="S299" i="6"/>
  <c r="R299" i="6"/>
  <c r="K299" i="6"/>
  <c r="I299" i="6"/>
  <c r="V298" i="6"/>
  <c r="U298" i="6"/>
  <c r="T298" i="6"/>
  <c r="S298" i="6"/>
  <c r="R298" i="6"/>
  <c r="K298" i="6"/>
  <c r="I298" i="6"/>
  <c r="V297" i="6"/>
  <c r="U297" i="6"/>
  <c r="T297" i="6"/>
  <c r="S297" i="6"/>
  <c r="R297" i="6"/>
  <c r="K297" i="6"/>
  <c r="I297" i="6"/>
  <c r="V296" i="6"/>
  <c r="U296" i="6"/>
  <c r="T296" i="6"/>
  <c r="S296" i="6"/>
  <c r="R296" i="6"/>
  <c r="K296" i="6"/>
  <c r="I296" i="6"/>
  <c r="V295" i="6"/>
  <c r="U295" i="6"/>
  <c r="T295" i="6"/>
  <c r="S295" i="6"/>
  <c r="R295" i="6"/>
  <c r="K295" i="6"/>
  <c r="I295" i="6"/>
  <c r="V294" i="6"/>
  <c r="U294" i="6"/>
  <c r="T294" i="6"/>
  <c r="S294" i="6"/>
  <c r="R294" i="6"/>
  <c r="K294" i="6"/>
  <c r="I294" i="6"/>
  <c r="V293" i="6"/>
  <c r="U293" i="6"/>
  <c r="T293" i="6"/>
  <c r="S293" i="6"/>
  <c r="R293" i="6"/>
  <c r="K293" i="6"/>
  <c r="I293" i="6"/>
  <c r="V292" i="6"/>
  <c r="U292" i="6"/>
  <c r="T292" i="6"/>
  <c r="S292" i="6"/>
  <c r="R292" i="6"/>
  <c r="K292" i="6"/>
  <c r="I292" i="6"/>
  <c r="V291" i="6"/>
  <c r="U291" i="6"/>
  <c r="T291" i="6"/>
  <c r="S291" i="6"/>
  <c r="R291" i="6"/>
  <c r="K291" i="6"/>
  <c r="I291" i="6"/>
  <c r="V290" i="6"/>
  <c r="U290" i="6"/>
  <c r="T290" i="6"/>
  <c r="S290" i="6"/>
  <c r="R290" i="6"/>
  <c r="K290" i="6"/>
  <c r="I290" i="6"/>
  <c r="V289" i="6"/>
  <c r="U289" i="6"/>
  <c r="T289" i="6"/>
  <c r="S289" i="6"/>
  <c r="R289" i="6"/>
  <c r="K289" i="6"/>
  <c r="I289" i="6"/>
  <c r="V288" i="6"/>
  <c r="U288" i="6"/>
  <c r="T288" i="6"/>
  <c r="S288" i="6"/>
  <c r="R288" i="6"/>
  <c r="K288" i="6"/>
  <c r="I288" i="6"/>
  <c r="V287" i="6"/>
  <c r="U287" i="6"/>
  <c r="T287" i="6"/>
  <c r="S287" i="6"/>
  <c r="R287" i="6"/>
  <c r="K287" i="6"/>
  <c r="I287" i="6"/>
  <c r="V286" i="6"/>
  <c r="U286" i="6"/>
  <c r="T286" i="6"/>
  <c r="S286" i="6"/>
  <c r="R286" i="6"/>
  <c r="K286" i="6"/>
  <c r="I286" i="6"/>
  <c r="V285" i="6"/>
  <c r="U285" i="6"/>
  <c r="T285" i="6"/>
  <c r="S285" i="6"/>
  <c r="R285" i="6"/>
  <c r="K285" i="6"/>
  <c r="I285" i="6"/>
  <c r="V284" i="6"/>
  <c r="U284" i="6"/>
  <c r="T284" i="6"/>
  <c r="S284" i="6"/>
  <c r="R284" i="6"/>
  <c r="K284" i="6"/>
  <c r="I284" i="6"/>
  <c r="V283" i="6"/>
  <c r="U283" i="6"/>
  <c r="T283" i="6"/>
  <c r="S283" i="6"/>
  <c r="R283" i="6"/>
  <c r="K283" i="6"/>
  <c r="I283" i="6"/>
  <c r="V282" i="6"/>
  <c r="U282" i="6"/>
  <c r="T282" i="6"/>
  <c r="S282" i="6"/>
  <c r="R282" i="6"/>
  <c r="K282" i="6"/>
  <c r="I282" i="6"/>
  <c r="V281" i="6"/>
  <c r="U281" i="6"/>
  <c r="T281" i="6"/>
  <c r="S281" i="6"/>
  <c r="R281" i="6"/>
  <c r="K281" i="6"/>
  <c r="I281" i="6"/>
  <c r="V280" i="6"/>
  <c r="U280" i="6"/>
  <c r="T280" i="6"/>
  <c r="S280" i="6"/>
  <c r="R280" i="6"/>
  <c r="K280" i="6"/>
  <c r="I280" i="6"/>
  <c r="V279" i="6"/>
  <c r="U279" i="6"/>
  <c r="T279" i="6"/>
  <c r="S279" i="6"/>
  <c r="R279" i="6"/>
  <c r="K279" i="6"/>
  <c r="I279" i="6"/>
  <c r="V278" i="6"/>
  <c r="U278" i="6"/>
  <c r="T278" i="6"/>
  <c r="S278" i="6"/>
  <c r="R278" i="6"/>
  <c r="K278" i="6"/>
  <c r="I278" i="6"/>
  <c r="V277" i="6"/>
  <c r="U277" i="6"/>
  <c r="T277" i="6"/>
  <c r="S277" i="6"/>
  <c r="R277" i="6"/>
  <c r="K277" i="6"/>
  <c r="I277" i="6"/>
  <c r="V276" i="6"/>
  <c r="U276" i="6"/>
  <c r="T276" i="6"/>
  <c r="S276" i="6"/>
  <c r="R276" i="6"/>
  <c r="K276" i="6"/>
  <c r="I276" i="6"/>
  <c r="V275" i="6"/>
  <c r="U275" i="6"/>
  <c r="T275" i="6"/>
  <c r="S275" i="6"/>
  <c r="R275" i="6"/>
  <c r="K275" i="6"/>
  <c r="I275" i="6"/>
  <c r="V274" i="6"/>
  <c r="U274" i="6"/>
  <c r="T274" i="6"/>
  <c r="S274" i="6"/>
  <c r="R274" i="6"/>
  <c r="K274" i="6"/>
  <c r="I274" i="6"/>
  <c r="V273" i="6"/>
  <c r="U273" i="6"/>
  <c r="T273" i="6"/>
  <c r="S273" i="6"/>
  <c r="R273" i="6"/>
  <c r="K273" i="6"/>
  <c r="I273" i="6"/>
  <c r="V272" i="6"/>
  <c r="U272" i="6"/>
  <c r="T272" i="6"/>
  <c r="S272" i="6"/>
  <c r="R272" i="6"/>
  <c r="K272" i="6"/>
  <c r="I272" i="6"/>
  <c r="V271" i="6"/>
  <c r="U271" i="6"/>
  <c r="T271" i="6"/>
  <c r="S271" i="6"/>
  <c r="R271" i="6"/>
  <c r="K271" i="6"/>
  <c r="I271" i="6"/>
  <c r="V270" i="6"/>
  <c r="U270" i="6"/>
  <c r="T270" i="6"/>
  <c r="S270" i="6"/>
  <c r="R270" i="6"/>
  <c r="K270" i="6"/>
  <c r="I270" i="6"/>
  <c r="V269" i="6"/>
  <c r="U269" i="6"/>
  <c r="T269" i="6"/>
  <c r="S269" i="6"/>
  <c r="R269" i="6"/>
  <c r="K269" i="6"/>
  <c r="I269" i="6"/>
  <c r="V268" i="6"/>
  <c r="U268" i="6"/>
  <c r="T268" i="6"/>
  <c r="S268" i="6"/>
  <c r="R268" i="6"/>
  <c r="K268" i="6"/>
  <c r="I268" i="6"/>
  <c r="V267" i="6"/>
  <c r="U267" i="6"/>
  <c r="T267" i="6"/>
  <c r="S267" i="6"/>
  <c r="R267" i="6"/>
  <c r="K267" i="6"/>
  <c r="I267" i="6"/>
  <c r="V266" i="6"/>
  <c r="U266" i="6"/>
  <c r="T266" i="6"/>
  <c r="S266" i="6"/>
  <c r="R266" i="6"/>
  <c r="K266" i="6"/>
  <c r="I266" i="6"/>
  <c r="V265" i="6"/>
  <c r="U265" i="6"/>
  <c r="T265" i="6"/>
  <c r="S265" i="6"/>
  <c r="R265" i="6"/>
  <c r="K265" i="6"/>
  <c r="I265" i="6"/>
  <c r="V264" i="6"/>
  <c r="U264" i="6"/>
  <c r="T264" i="6"/>
  <c r="S264" i="6"/>
  <c r="R264" i="6"/>
  <c r="K264" i="6"/>
  <c r="I264" i="6"/>
  <c r="V263" i="6"/>
  <c r="U263" i="6"/>
  <c r="T263" i="6"/>
  <c r="S263" i="6"/>
  <c r="R263" i="6"/>
  <c r="K263" i="6"/>
  <c r="I263" i="6"/>
  <c r="V262" i="6"/>
  <c r="U262" i="6"/>
  <c r="T262" i="6"/>
  <c r="S262" i="6"/>
  <c r="R262" i="6"/>
  <c r="K262" i="6"/>
  <c r="I262" i="6"/>
  <c r="V261" i="6"/>
  <c r="U261" i="6"/>
  <c r="T261" i="6"/>
  <c r="S261" i="6"/>
  <c r="R261" i="6"/>
  <c r="K261" i="6"/>
  <c r="I261" i="6"/>
  <c r="V260" i="6"/>
  <c r="U260" i="6"/>
  <c r="T260" i="6"/>
  <c r="S260" i="6"/>
  <c r="R260" i="6"/>
  <c r="K260" i="6"/>
  <c r="I260" i="6"/>
  <c r="V259" i="6"/>
  <c r="U259" i="6"/>
  <c r="T259" i="6"/>
  <c r="S259" i="6"/>
  <c r="R259" i="6"/>
  <c r="K259" i="6"/>
  <c r="I259" i="6"/>
  <c r="V258" i="6"/>
  <c r="U258" i="6"/>
  <c r="T258" i="6"/>
  <c r="S258" i="6"/>
  <c r="R258" i="6"/>
  <c r="K258" i="6"/>
  <c r="I258" i="6"/>
  <c r="V257" i="6"/>
  <c r="U257" i="6"/>
  <c r="T257" i="6"/>
  <c r="S257" i="6"/>
  <c r="R257" i="6"/>
  <c r="K257" i="6"/>
  <c r="I257" i="6"/>
  <c r="V256" i="6"/>
  <c r="U256" i="6"/>
  <c r="T256" i="6"/>
  <c r="S256" i="6"/>
  <c r="R256" i="6"/>
  <c r="K256" i="6"/>
  <c r="I256" i="6"/>
  <c r="V255" i="6"/>
  <c r="U255" i="6"/>
  <c r="T255" i="6"/>
  <c r="S255" i="6"/>
  <c r="R255" i="6"/>
  <c r="K255" i="6"/>
  <c r="I255" i="6"/>
  <c r="V254" i="6"/>
  <c r="U254" i="6"/>
  <c r="T254" i="6"/>
  <c r="S254" i="6"/>
  <c r="R254" i="6"/>
  <c r="K254" i="6"/>
  <c r="I254" i="6"/>
  <c r="V253" i="6"/>
  <c r="U253" i="6"/>
  <c r="T253" i="6"/>
  <c r="S253" i="6"/>
  <c r="R253" i="6"/>
  <c r="K253" i="6"/>
  <c r="I253" i="6"/>
  <c r="V252" i="6"/>
  <c r="U252" i="6"/>
  <c r="T252" i="6"/>
  <c r="S252" i="6"/>
  <c r="R252" i="6"/>
  <c r="K252" i="6"/>
  <c r="I252" i="6"/>
  <c r="V251" i="6"/>
  <c r="U251" i="6"/>
  <c r="T251" i="6"/>
  <c r="S251" i="6"/>
  <c r="R251" i="6"/>
  <c r="K251" i="6"/>
  <c r="I251" i="6"/>
  <c r="V250" i="6"/>
  <c r="U250" i="6"/>
  <c r="T250" i="6"/>
  <c r="S250" i="6"/>
  <c r="R250" i="6"/>
  <c r="K250" i="6"/>
  <c r="I250" i="6"/>
  <c r="V249" i="6"/>
  <c r="U249" i="6"/>
  <c r="T249" i="6"/>
  <c r="S249" i="6"/>
  <c r="R249" i="6"/>
  <c r="K249" i="6"/>
  <c r="I249" i="6"/>
  <c r="V248" i="6"/>
  <c r="U248" i="6"/>
  <c r="T248" i="6"/>
  <c r="S248" i="6"/>
  <c r="R248" i="6"/>
  <c r="K248" i="6"/>
  <c r="I248" i="6"/>
  <c r="V247" i="6"/>
  <c r="U247" i="6"/>
  <c r="T247" i="6"/>
  <c r="S247" i="6"/>
  <c r="R247" i="6"/>
  <c r="K247" i="6"/>
  <c r="I247" i="6"/>
  <c r="V246" i="6"/>
  <c r="U246" i="6"/>
  <c r="T246" i="6"/>
  <c r="S246" i="6"/>
  <c r="R246" i="6"/>
  <c r="K246" i="6"/>
  <c r="I246" i="6"/>
  <c r="V245" i="6"/>
  <c r="U245" i="6"/>
  <c r="T245" i="6"/>
  <c r="S245" i="6"/>
  <c r="R245" i="6"/>
  <c r="K245" i="6"/>
  <c r="I245" i="6"/>
  <c r="V244" i="6"/>
  <c r="U244" i="6"/>
  <c r="T244" i="6"/>
  <c r="S244" i="6"/>
  <c r="R244" i="6"/>
  <c r="K244" i="6"/>
  <c r="I244" i="6"/>
  <c r="V243" i="6"/>
  <c r="U243" i="6"/>
  <c r="T243" i="6"/>
  <c r="S243" i="6"/>
  <c r="R243" i="6"/>
  <c r="K243" i="6"/>
  <c r="I243" i="6"/>
  <c r="V242" i="6"/>
  <c r="U242" i="6"/>
  <c r="T242" i="6"/>
  <c r="S242" i="6"/>
  <c r="R242" i="6"/>
  <c r="K242" i="6"/>
  <c r="I242" i="6"/>
  <c r="V241" i="6"/>
  <c r="U241" i="6"/>
  <c r="T241" i="6"/>
  <c r="S241" i="6"/>
  <c r="R241" i="6"/>
  <c r="K241" i="6"/>
  <c r="I241" i="6"/>
  <c r="V240" i="6"/>
  <c r="U240" i="6"/>
  <c r="T240" i="6"/>
  <c r="S240" i="6"/>
  <c r="R240" i="6"/>
  <c r="K240" i="6"/>
  <c r="I240" i="6"/>
  <c r="V239" i="6"/>
  <c r="U239" i="6"/>
  <c r="T239" i="6"/>
  <c r="S239" i="6"/>
  <c r="R239" i="6"/>
  <c r="K239" i="6"/>
  <c r="I239" i="6"/>
  <c r="V238" i="6"/>
  <c r="U238" i="6"/>
  <c r="T238" i="6"/>
  <c r="S238" i="6"/>
  <c r="R238" i="6"/>
  <c r="K238" i="6"/>
  <c r="I238" i="6"/>
  <c r="V237" i="6"/>
  <c r="U237" i="6"/>
  <c r="T237" i="6"/>
  <c r="S237" i="6"/>
  <c r="R237" i="6"/>
  <c r="K237" i="6"/>
  <c r="I237" i="6"/>
  <c r="V236" i="6"/>
  <c r="U236" i="6"/>
  <c r="T236" i="6"/>
  <c r="S236" i="6"/>
  <c r="R236" i="6"/>
  <c r="K236" i="6"/>
  <c r="I236" i="6"/>
  <c r="V235" i="6"/>
  <c r="U235" i="6"/>
  <c r="T235" i="6"/>
  <c r="S235" i="6"/>
  <c r="R235" i="6"/>
  <c r="K235" i="6"/>
  <c r="I235" i="6"/>
  <c r="V234" i="6"/>
  <c r="U234" i="6"/>
  <c r="T234" i="6"/>
  <c r="S234" i="6"/>
  <c r="R234" i="6"/>
  <c r="K234" i="6"/>
  <c r="I234" i="6"/>
  <c r="V233" i="6"/>
  <c r="U233" i="6"/>
  <c r="T233" i="6"/>
  <c r="S233" i="6"/>
  <c r="R233" i="6"/>
  <c r="K233" i="6"/>
  <c r="I233" i="6"/>
  <c r="V232" i="6"/>
  <c r="U232" i="6"/>
  <c r="T232" i="6"/>
  <c r="S232" i="6"/>
  <c r="R232" i="6"/>
  <c r="K232" i="6"/>
  <c r="I232" i="6"/>
  <c r="V231" i="6"/>
  <c r="U231" i="6"/>
  <c r="T231" i="6"/>
  <c r="S231" i="6"/>
  <c r="R231" i="6"/>
  <c r="K231" i="6"/>
  <c r="I231" i="6"/>
  <c r="V230" i="6"/>
  <c r="U230" i="6"/>
  <c r="T230" i="6"/>
  <c r="S230" i="6"/>
  <c r="R230" i="6"/>
  <c r="K230" i="6"/>
  <c r="I230" i="6"/>
  <c r="V229" i="6"/>
  <c r="U229" i="6"/>
  <c r="T229" i="6"/>
  <c r="S229" i="6"/>
  <c r="R229" i="6"/>
  <c r="K229" i="6"/>
  <c r="I229" i="6"/>
  <c r="V228" i="6"/>
  <c r="U228" i="6"/>
  <c r="T228" i="6"/>
  <c r="S228" i="6"/>
  <c r="R228" i="6"/>
  <c r="K228" i="6"/>
  <c r="I228" i="6"/>
  <c r="V227" i="6"/>
  <c r="U227" i="6"/>
  <c r="T227" i="6"/>
  <c r="S227" i="6"/>
  <c r="R227" i="6"/>
  <c r="K227" i="6"/>
  <c r="I227" i="6"/>
  <c r="V226" i="6"/>
  <c r="U226" i="6"/>
  <c r="T226" i="6"/>
  <c r="S226" i="6"/>
  <c r="R226" i="6"/>
  <c r="K226" i="6"/>
  <c r="I226" i="6"/>
  <c r="V225" i="6"/>
  <c r="U225" i="6"/>
  <c r="T225" i="6"/>
  <c r="S225" i="6"/>
  <c r="R225" i="6"/>
  <c r="K225" i="6"/>
  <c r="I225" i="6"/>
  <c r="V224" i="6"/>
  <c r="U224" i="6"/>
  <c r="T224" i="6"/>
  <c r="S224" i="6"/>
  <c r="R224" i="6"/>
  <c r="K224" i="6"/>
  <c r="I224" i="6"/>
  <c r="V223" i="6"/>
  <c r="U223" i="6"/>
  <c r="T223" i="6"/>
  <c r="S223" i="6"/>
  <c r="R223" i="6"/>
  <c r="K223" i="6"/>
  <c r="I223" i="6"/>
  <c r="V222" i="6"/>
  <c r="U222" i="6"/>
  <c r="T222" i="6"/>
  <c r="S222" i="6"/>
  <c r="R222" i="6"/>
  <c r="K222" i="6"/>
  <c r="I222" i="6"/>
  <c r="V221" i="6"/>
  <c r="U221" i="6"/>
  <c r="T221" i="6"/>
  <c r="S221" i="6"/>
  <c r="R221" i="6"/>
  <c r="K221" i="6"/>
  <c r="I221" i="6"/>
  <c r="V220" i="6"/>
  <c r="U220" i="6"/>
  <c r="T220" i="6"/>
  <c r="S220" i="6"/>
  <c r="R220" i="6"/>
  <c r="K220" i="6"/>
  <c r="I220" i="6"/>
  <c r="V219" i="6"/>
  <c r="U219" i="6"/>
  <c r="T219" i="6"/>
  <c r="S219" i="6"/>
  <c r="R219" i="6"/>
  <c r="K219" i="6"/>
  <c r="I219" i="6"/>
  <c r="V218" i="6"/>
  <c r="U218" i="6"/>
  <c r="T218" i="6"/>
  <c r="S218" i="6"/>
  <c r="R218" i="6"/>
  <c r="K218" i="6"/>
  <c r="I218" i="6"/>
  <c r="V217" i="6"/>
  <c r="U217" i="6"/>
  <c r="T217" i="6"/>
  <c r="S217" i="6"/>
  <c r="R217" i="6"/>
  <c r="K217" i="6"/>
  <c r="I217" i="6"/>
  <c r="V216" i="6"/>
  <c r="U216" i="6"/>
  <c r="T216" i="6"/>
  <c r="S216" i="6"/>
  <c r="R216" i="6"/>
  <c r="K216" i="6"/>
  <c r="I216" i="6"/>
  <c r="V215" i="6"/>
  <c r="U215" i="6"/>
  <c r="T215" i="6"/>
  <c r="S215" i="6"/>
  <c r="R215" i="6"/>
  <c r="K215" i="6"/>
  <c r="I215" i="6"/>
  <c r="V214" i="6"/>
  <c r="U214" i="6"/>
  <c r="T214" i="6"/>
  <c r="S214" i="6"/>
  <c r="R214" i="6"/>
  <c r="K214" i="6"/>
  <c r="I214" i="6"/>
  <c r="V213" i="6"/>
  <c r="U213" i="6"/>
  <c r="T213" i="6"/>
  <c r="S213" i="6"/>
  <c r="R213" i="6"/>
  <c r="K213" i="6"/>
  <c r="I213" i="6"/>
  <c r="V212" i="6"/>
  <c r="U212" i="6"/>
  <c r="T212" i="6"/>
  <c r="S212" i="6"/>
  <c r="R212" i="6"/>
  <c r="K212" i="6"/>
  <c r="I212" i="6"/>
  <c r="V211" i="6"/>
  <c r="U211" i="6"/>
  <c r="T211" i="6"/>
  <c r="S211" i="6"/>
  <c r="R211" i="6"/>
  <c r="K211" i="6"/>
  <c r="I211" i="6"/>
  <c r="V210" i="6"/>
  <c r="U210" i="6"/>
  <c r="T210" i="6"/>
  <c r="S210" i="6"/>
  <c r="R210" i="6"/>
  <c r="K210" i="6"/>
  <c r="I210" i="6"/>
  <c r="V209" i="6"/>
  <c r="U209" i="6"/>
  <c r="T209" i="6"/>
  <c r="S209" i="6"/>
  <c r="R209" i="6"/>
  <c r="K209" i="6"/>
  <c r="I209" i="6"/>
  <c r="V208" i="6"/>
  <c r="U208" i="6"/>
  <c r="T208" i="6"/>
  <c r="S208" i="6"/>
  <c r="R208" i="6"/>
  <c r="K208" i="6"/>
  <c r="I208" i="6"/>
  <c r="V207" i="6"/>
  <c r="U207" i="6"/>
  <c r="T207" i="6"/>
  <c r="S207" i="6"/>
  <c r="R207" i="6"/>
  <c r="K207" i="6"/>
  <c r="I207" i="6"/>
  <c r="V206" i="6"/>
  <c r="U206" i="6"/>
  <c r="T206" i="6"/>
  <c r="S206" i="6"/>
  <c r="R206" i="6"/>
  <c r="K206" i="6"/>
  <c r="I206" i="6"/>
  <c r="V205" i="6"/>
  <c r="U205" i="6"/>
  <c r="T205" i="6"/>
  <c r="S205" i="6"/>
  <c r="R205" i="6"/>
  <c r="K205" i="6"/>
  <c r="I205" i="6"/>
  <c r="V204" i="6"/>
  <c r="U204" i="6"/>
  <c r="T204" i="6"/>
  <c r="S204" i="6"/>
  <c r="R204" i="6"/>
  <c r="K204" i="6"/>
  <c r="I204" i="6"/>
  <c r="V203" i="6"/>
  <c r="U203" i="6"/>
  <c r="T203" i="6"/>
  <c r="S203" i="6"/>
  <c r="R203" i="6"/>
  <c r="K203" i="6"/>
  <c r="I203" i="6"/>
  <c r="V202" i="6"/>
  <c r="U202" i="6"/>
  <c r="T202" i="6"/>
  <c r="S202" i="6"/>
  <c r="R202" i="6"/>
  <c r="K202" i="6"/>
  <c r="I202" i="6"/>
  <c r="V201" i="6"/>
  <c r="U201" i="6"/>
  <c r="T201" i="6"/>
  <c r="S201" i="6"/>
  <c r="R201" i="6"/>
  <c r="K201" i="6"/>
  <c r="I201" i="6"/>
  <c r="V200" i="6"/>
  <c r="U200" i="6"/>
  <c r="T200" i="6"/>
  <c r="S200" i="6"/>
  <c r="R200" i="6"/>
  <c r="K200" i="6"/>
  <c r="I200" i="6"/>
  <c r="V199" i="6"/>
  <c r="U199" i="6"/>
  <c r="T199" i="6"/>
  <c r="S199" i="6"/>
  <c r="R199" i="6"/>
  <c r="K199" i="6"/>
  <c r="I199" i="6"/>
  <c r="V198" i="6"/>
  <c r="U198" i="6"/>
  <c r="T198" i="6"/>
  <c r="S198" i="6"/>
  <c r="R198" i="6"/>
  <c r="K198" i="6"/>
  <c r="I198" i="6"/>
  <c r="V197" i="6"/>
  <c r="U197" i="6"/>
  <c r="T197" i="6"/>
  <c r="S197" i="6"/>
  <c r="R197" i="6"/>
  <c r="K197" i="6"/>
  <c r="I197" i="6"/>
  <c r="V196" i="6"/>
  <c r="U196" i="6"/>
  <c r="T196" i="6"/>
  <c r="S196" i="6"/>
  <c r="R196" i="6"/>
  <c r="K196" i="6"/>
  <c r="I196" i="6"/>
  <c r="V195" i="6"/>
  <c r="U195" i="6"/>
  <c r="T195" i="6"/>
  <c r="S195" i="6"/>
  <c r="R195" i="6"/>
  <c r="K195" i="6"/>
  <c r="I195" i="6"/>
  <c r="V194" i="6"/>
  <c r="U194" i="6"/>
  <c r="T194" i="6"/>
  <c r="S194" i="6"/>
  <c r="R194" i="6"/>
  <c r="K194" i="6"/>
  <c r="I194" i="6"/>
  <c r="V193" i="6"/>
  <c r="U193" i="6"/>
  <c r="T193" i="6"/>
  <c r="S193" i="6"/>
  <c r="R193" i="6"/>
  <c r="K193" i="6"/>
  <c r="I193" i="6"/>
  <c r="V192" i="6"/>
  <c r="U192" i="6"/>
  <c r="T192" i="6"/>
  <c r="S192" i="6"/>
  <c r="R192" i="6"/>
  <c r="K192" i="6"/>
  <c r="I192" i="6"/>
  <c r="V191" i="6"/>
  <c r="U191" i="6"/>
  <c r="T191" i="6"/>
  <c r="S191" i="6"/>
  <c r="R191" i="6"/>
  <c r="K191" i="6"/>
  <c r="I191" i="6"/>
  <c r="V190" i="6"/>
  <c r="U190" i="6"/>
  <c r="T190" i="6"/>
  <c r="S190" i="6"/>
  <c r="R190" i="6"/>
  <c r="K190" i="6"/>
  <c r="I190" i="6"/>
  <c r="V189" i="6"/>
  <c r="U189" i="6"/>
  <c r="T189" i="6"/>
  <c r="S189" i="6"/>
  <c r="R189" i="6"/>
  <c r="K189" i="6"/>
  <c r="I189" i="6"/>
  <c r="V188" i="6"/>
  <c r="U188" i="6"/>
  <c r="T188" i="6"/>
  <c r="S188" i="6"/>
  <c r="R188" i="6"/>
  <c r="K188" i="6"/>
  <c r="I188" i="6"/>
  <c r="V187" i="6"/>
  <c r="U187" i="6"/>
  <c r="T187" i="6"/>
  <c r="S187" i="6"/>
  <c r="R187" i="6"/>
  <c r="K187" i="6"/>
  <c r="I187" i="6"/>
  <c r="V186" i="6"/>
  <c r="U186" i="6"/>
  <c r="T186" i="6"/>
  <c r="S186" i="6"/>
  <c r="R186" i="6"/>
  <c r="K186" i="6"/>
  <c r="I186" i="6"/>
  <c r="V185" i="6"/>
  <c r="U185" i="6"/>
  <c r="T185" i="6"/>
  <c r="S185" i="6"/>
  <c r="R185" i="6"/>
  <c r="K185" i="6"/>
  <c r="I185" i="6"/>
  <c r="V184" i="6"/>
  <c r="U184" i="6"/>
  <c r="T184" i="6"/>
  <c r="S184" i="6"/>
  <c r="R184" i="6"/>
  <c r="K184" i="6"/>
  <c r="I184" i="6"/>
  <c r="V183" i="6"/>
  <c r="U183" i="6"/>
  <c r="T183" i="6"/>
  <c r="S183" i="6"/>
  <c r="R183" i="6"/>
  <c r="K183" i="6"/>
  <c r="I183" i="6"/>
  <c r="V182" i="6"/>
  <c r="U182" i="6"/>
  <c r="T182" i="6"/>
  <c r="S182" i="6"/>
  <c r="R182" i="6"/>
  <c r="K182" i="6"/>
  <c r="I182" i="6"/>
  <c r="V181" i="6"/>
  <c r="U181" i="6"/>
  <c r="T181" i="6"/>
  <c r="S181" i="6"/>
  <c r="R181" i="6"/>
  <c r="K181" i="6"/>
  <c r="I181" i="6"/>
  <c r="V180" i="6"/>
  <c r="U180" i="6"/>
  <c r="T180" i="6"/>
  <c r="S180" i="6"/>
  <c r="R180" i="6"/>
  <c r="K180" i="6"/>
  <c r="I180" i="6"/>
  <c r="V179" i="6"/>
  <c r="U179" i="6"/>
  <c r="T179" i="6"/>
  <c r="S179" i="6"/>
  <c r="R179" i="6"/>
  <c r="K179" i="6"/>
  <c r="I179" i="6"/>
  <c r="V178" i="6"/>
  <c r="U178" i="6"/>
  <c r="T178" i="6"/>
  <c r="S178" i="6"/>
  <c r="R178" i="6"/>
  <c r="K178" i="6"/>
  <c r="I178" i="6"/>
  <c r="V177" i="6"/>
  <c r="U177" i="6"/>
  <c r="T177" i="6"/>
  <c r="S177" i="6"/>
  <c r="R177" i="6"/>
  <c r="K177" i="6"/>
  <c r="I177" i="6"/>
  <c r="V176" i="6"/>
  <c r="U176" i="6"/>
  <c r="T176" i="6"/>
  <c r="S176" i="6"/>
  <c r="R176" i="6"/>
  <c r="K176" i="6"/>
  <c r="I176" i="6"/>
  <c r="V175" i="6"/>
  <c r="U175" i="6"/>
  <c r="T175" i="6"/>
  <c r="S175" i="6"/>
  <c r="R175" i="6"/>
  <c r="K175" i="6"/>
  <c r="I175" i="6"/>
  <c r="V174" i="6"/>
  <c r="U174" i="6"/>
  <c r="T174" i="6"/>
  <c r="S174" i="6"/>
  <c r="R174" i="6"/>
  <c r="K174" i="6"/>
  <c r="I174" i="6"/>
  <c r="V173" i="6"/>
  <c r="U173" i="6"/>
  <c r="T173" i="6"/>
  <c r="S173" i="6"/>
  <c r="R173" i="6"/>
  <c r="K173" i="6"/>
  <c r="I173" i="6"/>
  <c r="V172" i="6"/>
  <c r="U172" i="6"/>
  <c r="T172" i="6"/>
  <c r="S172" i="6"/>
  <c r="R172" i="6"/>
  <c r="K172" i="6"/>
  <c r="I172" i="6"/>
  <c r="V171" i="6"/>
  <c r="U171" i="6"/>
  <c r="T171" i="6"/>
  <c r="S171" i="6"/>
  <c r="R171" i="6"/>
  <c r="K171" i="6"/>
  <c r="I171" i="6"/>
  <c r="V170" i="6"/>
  <c r="U170" i="6"/>
  <c r="T170" i="6"/>
  <c r="S170" i="6"/>
  <c r="R170" i="6"/>
  <c r="K170" i="6"/>
  <c r="I170" i="6"/>
  <c r="V169" i="6"/>
  <c r="U169" i="6"/>
  <c r="T169" i="6"/>
  <c r="S169" i="6"/>
  <c r="R169" i="6"/>
  <c r="K169" i="6"/>
  <c r="I169" i="6"/>
  <c r="V168" i="6"/>
  <c r="U168" i="6"/>
  <c r="T168" i="6"/>
  <c r="S168" i="6"/>
  <c r="R168" i="6"/>
  <c r="K168" i="6"/>
  <c r="I168" i="6"/>
  <c r="V167" i="6"/>
  <c r="U167" i="6"/>
  <c r="T167" i="6"/>
  <c r="S167" i="6"/>
  <c r="R167" i="6"/>
  <c r="K167" i="6"/>
  <c r="I167" i="6"/>
  <c r="V166" i="6"/>
  <c r="U166" i="6"/>
  <c r="T166" i="6"/>
  <c r="S166" i="6"/>
  <c r="R166" i="6"/>
  <c r="K166" i="6"/>
  <c r="I166" i="6"/>
  <c r="V165" i="6"/>
  <c r="U165" i="6"/>
  <c r="T165" i="6"/>
  <c r="S165" i="6"/>
  <c r="R165" i="6"/>
  <c r="K165" i="6"/>
  <c r="I165" i="6"/>
  <c r="V164" i="6"/>
  <c r="U164" i="6"/>
  <c r="T164" i="6"/>
  <c r="S164" i="6"/>
  <c r="R164" i="6"/>
  <c r="K164" i="6"/>
  <c r="I164" i="6"/>
  <c r="V163" i="6"/>
  <c r="U163" i="6"/>
  <c r="T163" i="6"/>
  <c r="S163" i="6"/>
  <c r="R163" i="6"/>
  <c r="K163" i="6"/>
  <c r="I163" i="6"/>
  <c r="V162" i="6"/>
  <c r="U162" i="6"/>
  <c r="T162" i="6"/>
  <c r="S162" i="6"/>
  <c r="R162" i="6"/>
  <c r="K162" i="6"/>
  <c r="I162" i="6"/>
  <c r="V161" i="6"/>
  <c r="U161" i="6"/>
  <c r="T161" i="6"/>
  <c r="S161" i="6"/>
  <c r="R161" i="6"/>
  <c r="K161" i="6"/>
  <c r="I161" i="6"/>
  <c r="V160" i="6"/>
  <c r="U160" i="6"/>
  <c r="T160" i="6"/>
  <c r="S160" i="6"/>
  <c r="R160" i="6"/>
  <c r="K160" i="6"/>
  <c r="I160" i="6"/>
  <c r="V159" i="6"/>
  <c r="U159" i="6"/>
  <c r="T159" i="6"/>
  <c r="S159" i="6"/>
  <c r="R159" i="6"/>
  <c r="K159" i="6"/>
  <c r="I159" i="6"/>
  <c r="V158" i="6"/>
  <c r="U158" i="6"/>
  <c r="T158" i="6"/>
  <c r="S158" i="6"/>
  <c r="R158" i="6"/>
  <c r="K158" i="6"/>
  <c r="I158" i="6"/>
  <c r="V157" i="6"/>
  <c r="U157" i="6"/>
  <c r="T157" i="6"/>
  <c r="S157" i="6"/>
  <c r="R157" i="6"/>
  <c r="K157" i="6"/>
  <c r="I157" i="6"/>
  <c r="V156" i="6"/>
  <c r="U156" i="6"/>
  <c r="T156" i="6"/>
  <c r="S156" i="6"/>
  <c r="R156" i="6"/>
  <c r="K156" i="6"/>
  <c r="I156" i="6"/>
  <c r="V155" i="6"/>
  <c r="U155" i="6"/>
  <c r="T155" i="6"/>
  <c r="S155" i="6"/>
  <c r="R155" i="6"/>
  <c r="K155" i="6"/>
  <c r="I155" i="6"/>
  <c r="V154" i="6"/>
  <c r="U154" i="6"/>
  <c r="T154" i="6"/>
  <c r="S154" i="6"/>
  <c r="R154" i="6"/>
  <c r="K154" i="6"/>
  <c r="I154" i="6"/>
  <c r="V153" i="6"/>
  <c r="U153" i="6"/>
  <c r="T153" i="6"/>
  <c r="S153" i="6"/>
  <c r="R153" i="6"/>
  <c r="K153" i="6"/>
  <c r="I153" i="6"/>
  <c r="V152" i="6"/>
  <c r="U152" i="6"/>
  <c r="T152" i="6"/>
  <c r="S152" i="6"/>
  <c r="R152" i="6"/>
  <c r="K152" i="6"/>
  <c r="I152" i="6"/>
  <c r="V151" i="6"/>
  <c r="U151" i="6"/>
  <c r="T151" i="6"/>
  <c r="S151" i="6"/>
  <c r="R151" i="6"/>
  <c r="K151" i="6"/>
  <c r="I151" i="6"/>
  <c r="V150" i="6"/>
  <c r="U150" i="6"/>
  <c r="T150" i="6"/>
  <c r="S150" i="6"/>
  <c r="R150" i="6"/>
  <c r="K150" i="6"/>
  <c r="I150" i="6"/>
  <c r="V149" i="6"/>
  <c r="U149" i="6"/>
  <c r="T149" i="6"/>
  <c r="S149" i="6"/>
  <c r="R149" i="6"/>
  <c r="K149" i="6"/>
  <c r="I149" i="6"/>
  <c r="V148" i="6"/>
  <c r="U148" i="6"/>
  <c r="T148" i="6"/>
  <c r="S148" i="6"/>
  <c r="R148" i="6"/>
  <c r="K148" i="6"/>
  <c r="I148" i="6"/>
  <c r="V147" i="6"/>
  <c r="U147" i="6"/>
  <c r="T147" i="6"/>
  <c r="S147" i="6"/>
  <c r="R147" i="6"/>
  <c r="K147" i="6"/>
  <c r="I147" i="6"/>
  <c r="V146" i="6"/>
  <c r="U146" i="6"/>
  <c r="T146" i="6"/>
  <c r="S146" i="6"/>
  <c r="R146" i="6"/>
  <c r="K146" i="6"/>
  <c r="I146" i="6"/>
  <c r="V145" i="6"/>
  <c r="U145" i="6"/>
  <c r="T145" i="6"/>
  <c r="S145" i="6"/>
  <c r="R145" i="6"/>
  <c r="K145" i="6"/>
  <c r="I145" i="6"/>
  <c r="V144" i="6"/>
  <c r="U144" i="6"/>
  <c r="T144" i="6"/>
  <c r="S144" i="6"/>
  <c r="R144" i="6"/>
  <c r="K144" i="6"/>
  <c r="I144" i="6"/>
  <c r="V143" i="6"/>
  <c r="U143" i="6"/>
  <c r="T143" i="6"/>
  <c r="S143" i="6"/>
  <c r="R143" i="6"/>
  <c r="K143" i="6"/>
  <c r="I143" i="6"/>
  <c r="V142" i="6"/>
  <c r="U142" i="6"/>
  <c r="T142" i="6"/>
  <c r="S142" i="6"/>
  <c r="R142" i="6"/>
  <c r="K142" i="6"/>
  <c r="I142" i="6"/>
  <c r="V141" i="6"/>
  <c r="U141" i="6"/>
  <c r="T141" i="6"/>
  <c r="S141" i="6"/>
  <c r="R141" i="6"/>
  <c r="K141" i="6"/>
  <c r="I141" i="6"/>
  <c r="V140" i="6"/>
  <c r="U140" i="6"/>
  <c r="T140" i="6"/>
  <c r="S140" i="6"/>
  <c r="R140" i="6"/>
  <c r="K140" i="6"/>
  <c r="I140" i="6"/>
  <c r="V139" i="6"/>
  <c r="U139" i="6"/>
  <c r="T139" i="6"/>
  <c r="S139" i="6"/>
  <c r="R139" i="6"/>
  <c r="K139" i="6"/>
  <c r="I139" i="6"/>
  <c r="V138" i="6"/>
  <c r="U138" i="6"/>
  <c r="T138" i="6"/>
  <c r="S138" i="6"/>
  <c r="R138" i="6"/>
  <c r="K138" i="6"/>
  <c r="I138" i="6"/>
  <c r="V137" i="6"/>
  <c r="U137" i="6"/>
  <c r="T137" i="6"/>
  <c r="S137" i="6"/>
  <c r="R137" i="6"/>
  <c r="K137" i="6"/>
  <c r="I137" i="6"/>
  <c r="V136" i="6"/>
  <c r="U136" i="6"/>
  <c r="T136" i="6"/>
  <c r="S136" i="6"/>
  <c r="R136" i="6"/>
  <c r="K136" i="6"/>
  <c r="I136" i="6"/>
  <c r="V135" i="6"/>
  <c r="U135" i="6"/>
  <c r="T135" i="6"/>
  <c r="S135" i="6"/>
  <c r="R135" i="6"/>
  <c r="K135" i="6"/>
  <c r="I135" i="6"/>
  <c r="V134" i="6"/>
  <c r="U134" i="6"/>
  <c r="T134" i="6"/>
  <c r="S134" i="6"/>
  <c r="R134" i="6"/>
  <c r="K134" i="6"/>
  <c r="I134" i="6"/>
  <c r="V133" i="6"/>
  <c r="U133" i="6"/>
  <c r="T133" i="6"/>
  <c r="S133" i="6"/>
  <c r="R133" i="6"/>
  <c r="K133" i="6"/>
  <c r="I133" i="6"/>
  <c r="V132" i="6"/>
  <c r="U132" i="6"/>
  <c r="T132" i="6"/>
  <c r="S132" i="6"/>
  <c r="R132" i="6"/>
  <c r="K132" i="6"/>
  <c r="I132" i="6"/>
  <c r="V131" i="6"/>
  <c r="U131" i="6"/>
  <c r="T131" i="6"/>
  <c r="S131" i="6"/>
  <c r="R131" i="6"/>
  <c r="K131" i="6"/>
  <c r="I131" i="6"/>
  <c r="V130" i="6"/>
  <c r="U130" i="6"/>
  <c r="T130" i="6"/>
  <c r="S130" i="6"/>
  <c r="R130" i="6"/>
  <c r="K130" i="6"/>
  <c r="I130" i="6"/>
  <c r="V129" i="6"/>
  <c r="U129" i="6"/>
  <c r="T129" i="6"/>
  <c r="S129" i="6"/>
  <c r="R129" i="6"/>
  <c r="K129" i="6"/>
  <c r="I129" i="6"/>
  <c r="V128" i="6"/>
  <c r="U128" i="6"/>
  <c r="T128" i="6"/>
  <c r="S128" i="6"/>
  <c r="R128" i="6"/>
  <c r="K128" i="6"/>
  <c r="I128" i="6"/>
  <c r="V127" i="6"/>
  <c r="U127" i="6"/>
  <c r="T127" i="6"/>
  <c r="S127" i="6"/>
  <c r="R127" i="6"/>
  <c r="K127" i="6"/>
  <c r="I127" i="6"/>
  <c r="V126" i="6"/>
  <c r="U126" i="6"/>
  <c r="T126" i="6"/>
  <c r="S126" i="6"/>
  <c r="R126" i="6"/>
  <c r="K126" i="6"/>
  <c r="I126" i="6"/>
  <c r="V125" i="6"/>
  <c r="U125" i="6"/>
  <c r="T125" i="6"/>
  <c r="S125" i="6"/>
  <c r="R125" i="6"/>
  <c r="K125" i="6"/>
  <c r="I125" i="6"/>
  <c r="V124" i="6"/>
  <c r="U124" i="6"/>
  <c r="T124" i="6"/>
  <c r="S124" i="6"/>
  <c r="R124" i="6"/>
  <c r="K124" i="6"/>
  <c r="I124" i="6"/>
  <c r="V123" i="6"/>
  <c r="U123" i="6"/>
  <c r="T123" i="6"/>
  <c r="S123" i="6"/>
  <c r="R123" i="6"/>
  <c r="K123" i="6"/>
  <c r="I123" i="6"/>
  <c r="V122" i="6"/>
  <c r="U122" i="6"/>
  <c r="T122" i="6"/>
  <c r="S122" i="6"/>
  <c r="R122" i="6"/>
  <c r="K122" i="6"/>
  <c r="I122" i="6"/>
  <c r="V121" i="6"/>
  <c r="U121" i="6"/>
  <c r="T121" i="6"/>
  <c r="S121" i="6"/>
  <c r="R121" i="6"/>
  <c r="K121" i="6"/>
  <c r="I121" i="6"/>
  <c r="V120" i="6"/>
  <c r="U120" i="6"/>
  <c r="T120" i="6"/>
  <c r="S120" i="6"/>
  <c r="R120" i="6"/>
  <c r="K120" i="6"/>
  <c r="I120" i="6"/>
  <c r="V119" i="6"/>
  <c r="U119" i="6"/>
  <c r="T119" i="6"/>
  <c r="S119" i="6"/>
  <c r="R119" i="6"/>
  <c r="K119" i="6"/>
  <c r="I119" i="6"/>
  <c r="V118" i="6"/>
  <c r="U118" i="6"/>
  <c r="T118" i="6"/>
  <c r="S118" i="6"/>
  <c r="R118" i="6"/>
  <c r="K118" i="6"/>
  <c r="I118" i="6"/>
  <c r="V117" i="6"/>
  <c r="U117" i="6"/>
  <c r="T117" i="6"/>
  <c r="S117" i="6"/>
  <c r="R117" i="6"/>
  <c r="K117" i="6"/>
  <c r="I117" i="6"/>
  <c r="V116" i="6"/>
  <c r="U116" i="6"/>
  <c r="T116" i="6"/>
  <c r="S116" i="6"/>
  <c r="R116" i="6"/>
  <c r="K116" i="6"/>
  <c r="I116" i="6"/>
  <c r="V115" i="6"/>
  <c r="U115" i="6"/>
  <c r="T115" i="6"/>
  <c r="S115" i="6"/>
  <c r="R115" i="6"/>
  <c r="K115" i="6"/>
  <c r="I115" i="6"/>
  <c r="V114" i="6"/>
  <c r="U114" i="6"/>
  <c r="T114" i="6"/>
  <c r="S114" i="6"/>
  <c r="R114" i="6"/>
  <c r="K114" i="6"/>
  <c r="I114" i="6"/>
  <c r="V113" i="6"/>
  <c r="U113" i="6"/>
  <c r="T113" i="6"/>
  <c r="S113" i="6"/>
  <c r="R113" i="6"/>
  <c r="K113" i="6"/>
  <c r="I113" i="6"/>
  <c r="V112" i="6"/>
  <c r="U112" i="6"/>
  <c r="T112" i="6"/>
  <c r="S112" i="6"/>
  <c r="R112" i="6"/>
  <c r="K112" i="6"/>
  <c r="I112" i="6"/>
  <c r="V111" i="6"/>
  <c r="U111" i="6"/>
  <c r="T111" i="6"/>
  <c r="S111" i="6"/>
  <c r="R111" i="6"/>
  <c r="K111" i="6"/>
  <c r="I111" i="6"/>
  <c r="V110" i="6"/>
  <c r="U110" i="6"/>
  <c r="T110" i="6"/>
  <c r="S110" i="6"/>
  <c r="R110" i="6"/>
  <c r="K110" i="6"/>
  <c r="I110" i="6"/>
  <c r="V109" i="6"/>
  <c r="U109" i="6"/>
  <c r="T109" i="6"/>
  <c r="S109" i="6"/>
  <c r="R109" i="6"/>
  <c r="K109" i="6"/>
  <c r="I109" i="6"/>
  <c r="V108" i="6"/>
  <c r="U108" i="6"/>
  <c r="T108" i="6"/>
  <c r="S108" i="6"/>
  <c r="R108" i="6"/>
  <c r="K108" i="6"/>
  <c r="I108" i="6"/>
  <c r="V107" i="6"/>
  <c r="U107" i="6"/>
  <c r="T107" i="6"/>
  <c r="S107" i="6"/>
  <c r="R107" i="6"/>
  <c r="K107" i="6"/>
  <c r="I107" i="6"/>
  <c r="V106" i="6"/>
  <c r="U106" i="6"/>
  <c r="T106" i="6"/>
  <c r="S106" i="6"/>
  <c r="R106" i="6"/>
  <c r="K106" i="6"/>
  <c r="I106" i="6"/>
  <c r="V105" i="6"/>
  <c r="U105" i="6"/>
  <c r="T105" i="6"/>
  <c r="S105" i="6"/>
  <c r="R105" i="6"/>
  <c r="K105" i="6"/>
  <c r="I105" i="6"/>
  <c r="V104" i="6"/>
  <c r="U104" i="6"/>
  <c r="T104" i="6"/>
  <c r="S104" i="6"/>
  <c r="R104" i="6"/>
  <c r="K104" i="6"/>
  <c r="I104" i="6"/>
  <c r="V103" i="6"/>
  <c r="U103" i="6"/>
  <c r="T103" i="6"/>
  <c r="S103" i="6"/>
  <c r="R103" i="6"/>
  <c r="K103" i="6"/>
  <c r="I103" i="6"/>
  <c r="V102" i="6"/>
  <c r="U102" i="6"/>
  <c r="T102" i="6"/>
  <c r="S102" i="6"/>
  <c r="R102" i="6"/>
  <c r="K102" i="6"/>
  <c r="I102" i="6"/>
  <c r="V101" i="6"/>
  <c r="U101" i="6"/>
  <c r="T101" i="6"/>
  <c r="S101" i="6"/>
  <c r="R101" i="6"/>
  <c r="K101" i="6"/>
  <c r="I101" i="6"/>
  <c r="V100" i="6"/>
  <c r="U100" i="6"/>
  <c r="T100" i="6"/>
  <c r="S100" i="6"/>
  <c r="R100" i="6"/>
  <c r="K100" i="6"/>
  <c r="I100" i="6"/>
  <c r="V99" i="6"/>
  <c r="U99" i="6"/>
  <c r="T99" i="6"/>
  <c r="S99" i="6"/>
  <c r="R99" i="6"/>
  <c r="K99" i="6"/>
  <c r="I99" i="6"/>
  <c r="V98" i="6"/>
  <c r="U98" i="6"/>
  <c r="T98" i="6"/>
  <c r="S98" i="6"/>
  <c r="R98" i="6"/>
  <c r="K98" i="6"/>
  <c r="I98" i="6"/>
  <c r="V97" i="6"/>
  <c r="U97" i="6"/>
  <c r="T97" i="6"/>
  <c r="S97" i="6"/>
  <c r="R97" i="6"/>
  <c r="K97" i="6"/>
  <c r="I97" i="6"/>
  <c r="V96" i="6"/>
  <c r="U96" i="6"/>
  <c r="T96" i="6"/>
  <c r="S96" i="6"/>
  <c r="R96" i="6"/>
  <c r="K96" i="6"/>
  <c r="I96" i="6"/>
  <c r="V95" i="6"/>
  <c r="U95" i="6"/>
  <c r="T95" i="6"/>
  <c r="S95" i="6"/>
  <c r="R95" i="6"/>
  <c r="K95" i="6"/>
  <c r="I95" i="6"/>
  <c r="V94" i="6"/>
  <c r="U94" i="6"/>
  <c r="T94" i="6"/>
  <c r="S94" i="6"/>
  <c r="R94" i="6"/>
  <c r="K94" i="6"/>
  <c r="I94" i="6"/>
  <c r="V93" i="6"/>
  <c r="U93" i="6"/>
  <c r="T93" i="6"/>
  <c r="S93" i="6"/>
  <c r="R93" i="6"/>
  <c r="K93" i="6"/>
  <c r="I93" i="6"/>
  <c r="V92" i="6"/>
  <c r="U92" i="6"/>
  <c r="T92" i="6"/>
  <c r="S92" i="6"/>
  <c r="R92" i="6"/>
  <c r="K92" i="6"/>
  <c r="I92" i="6"/>
  <c r="V91" i="6"/>
  <c r="U91" i="6"/>
  <c r="T91" i="6"/>
  <c r="S91" i="6"/>
  <c r="R91" i="6"/>
  <c r="K91" i="6"/>
  <c r="I91" i="6"/>
  <c r="V90" i="6"/>
  <c r="U90" i="6"/>
  <c r="T90" i="6"/>
  <c r="S90" i="6"/>
  <c r="R90" i="6"/>
  <c r="K90" i="6"/>
  <c r="I90" i="6"/>
  <c r="V89" i="6"/>
  <c r="U89" i="6"/>
  <c r="T89" i="6"/>
  <c r="S89" i="6"/>
  <c r="R89" i="6"/>
  <c r="K89" i="6"/>
  <c r="I89" i="6"/>
  <c r="V88" i="6"/>
  <c r="U88" i="6"/>
  <c r="T88" i="6"/>
  <c r="S88" i="6"/>
  <c r="R88" i="6"/>
  <c r="K88" i="6"/>
  <c r="I88" i="6"/>
  <c r="V87" i="6"/>
  <c r="U87" i="6"/>
  <c r="T87" i="6"/>
  <c r="S87" i="6"/>
  <c r="R87" i="6"/>
  <c r="K87" i="6"/>
  <c r="I87" i="6"/>
  <c r="V86" i="6"/>
  <c r="U86" i="6"/>
  <c r="T86" i="6"/>
  <c r="S86" i="6"/>
  <c r="R86" i="6"/>
  <c r="K86" i="6"/>
  <c r="I86" i="6"/>
  <c r="V85" i="6"/>
  <c r="U85" i="6"/>
  <c r="T85" i="6"/>
  <c r="S85" i="6"/>
  <c r="R85" i="6"/>
  <c r="K85" i="6"/>
  <c r="I85" i="6"/>
  <c r="V84" i="6"/>
  <c r="U84" i="6"/>
  <c r="T84" i="6"/>
  <c r="S84" i="6"/>
  <c r="R84" i="6"/>
  <c r="K84" i="6"/>
  <c r="I84" i="6"/>
  <c r="V83" i="6"/>
  <c r="U83" i="6"/>
  <c r="T83" i="6"/>
  <c r="S83" i="6"/>
  <c r="R83" i="6"/>
  <c r="K83" i="6"/>
  <c r="I83" i="6"/>
  <c r="V82" i="6"/>
  <c r="U82" i="6"/>
  <c r="T82" i="6"/>
  <c r="S82" i="6"/>
  <c r="R82" i="6"/>
  <c r="K82" i="6"/>
  <c r="I82" i="6"/>
  <c r="V81" i="6"/>
  <c r="U81" i="6"/>
  <c r="T81" i="6"/>
  <c r="S81" i="6"/>
  <c r="R81" i="6"/>
  <c r="K81" i="6"/>
  <c r="I81" i="6"/>
  <c r="V80" i="6"/>
  <c r="U80" i="6"/>
  <c r="T80" i="6"/>
  <c r="S80" i="6"/>
  <c r="R80" i="6"/>
  <c r="K80" i="6"/>
  <c r="I80" i="6"/>
  <c r="V79" i="6"/>
  <c r="U79" i="6"/>
  <c r="T79" i="6"/>
  <c r="S79" i="6"/>
  <c r="R79" i="6"/>
  <c r="K79" i="6"/>
  <c r="I79" i="6"/>
  <c r="V78" i="6"/>
  <c r="U78" i="6"/>
  <c r="T78" i="6"/>
  <c r="S78" i="6"/>
  <c r="R78" i="6"/>
  <c r="K78" i="6"/>
  <c r="I78" i="6"/>
  <c r="V77" i="6"/>
  <c r="U77" i="6"/>
  <c r="T77" i="6"/>
  <c r="S77" i="6"/>
  <c r="R77" i="6"/>
  <c r="K77" i="6"/>
  <c r="I77" i="6"/>
  <c r="V76" i="6"/>
  <c r="U76" i="6"/>
  <c r="T76" i="6"/>
  <c r="S76" i="6"/>
  <c r="R76" i="6"/>
  <c r="K76" i="6"/>
  <c r="I76" i="6"/>
  <c r="V75" i="6"/>
  <c r="U75" i="6"/>
  <c r="T75" i="6"/>
  <c r="S75" i="6"/>
  <c r="R75" i="6"/>
  <c r="K75" i="6"/>
  <c r="I75" i="6"/>
  <c r="V74" i="6"/>
  <c r="U74" i="6"/>
  <c r="T74" i="6"/>
  <c r="S74" i="6"/>
  <c r="R74" i="6"/>
  <c r="K74" i="6"/>
  <c r="I74" i="6"/>
  <c r="V73" i="6"/>
  <c r="U73" i="6"/>
  <c r="T73" i="6"/>
  <c r="S73" i="6"/>
  <c r="R73" i="6"/>
  <c r="K73" i="6"/>
  <c r="I73" i="6"/>
  <c r="V72" i="6"/>
  <c r="U72" i="6"/>
  <c r="T72" i="6"/>
  <c r="S72" i="6"/>
  <c r="R72" i="6"/>
  <c r="K72" i="6"/>
  <c r="I72" i="6"/>
  <c r="V71" i="6"/>
  <c r="U71" i="6"/>
  <c r="T71" i="6"/>
  <c r="S71" i="6"/>
  <c r="R71" i="6"/>
  <c r="K71" i="6"/>
  <c r="I71" i="6"/>
  <c r="V70" i="6"/>
  <c r="U70" i="6"/>
  <c r="T70" i="6"/>
  <c r="S70" i="6"/>
  <c r="R70" i="6"/>
  <c r="K70" i="6"/>
  <c r="I70" i="6"/>
  <c r="V69" i="6"/>
  <c r="U69" i="6"/>
  <c r="T69" i="6"/>
  <c r="S69" i="6"/>
  <c r="R69" i="6"/>
  <c r="K69" i="6"/>
  <c r="I69" i="6"/>
  <c r="V68" i="6"/>
  <c r="U68" i="6"/>
  <c r="T68" i="6"/>
  <c r="S68" i="6"/>
  <c r="R68" i="6"/>
  <c r="K68" i="6"/>
  <c r="I68" i="6"/>
  <c r="V67" i="6"/>
  <c r="U67" i="6"/>
  <c r="T67" i="6"/>
  <c r="S67" i="6"/>
  <c r="R67" i="6"/>
  <c r="K67" i="6"/>
  <c r="I67" i="6"/>
  <c r="V66" i="6"/>
  <c r="U66" i="6"/>
  <c r="T66" i="6"/>
  <c r="S66" i="6"/>
  <c r="R66" i="6"/>
  <c r="K66" i="6"/>
  <c r="I66" i="6"/>
  <c r="V65" i="6"/>
  <c r="U65" i="6"/>
  <c r="T65" i="6"/>
  <c r="S65" i="6"/>
  <c r="R65" i="6"/>
  <c r="K65" i="6"/>
  <c r="I65" i="6"/>
  <c r="V64" i="6"/>
  <c r="U64" i="6"/>
  <c r="T64" i="6"/>
  <c r="S64" i="6"/>
  <c r="R64" i="6"/>
  <c r="K64" i="6"/>
  <c r="I64" i="6"/>
  <c r="V63" i="6"/>
  <c r="U63" i="6"/>
  <c r="T63" i="6"/>
  <c r="S63" i="6"/>
  <c r="R63" i="6"/>
  <c r="K63" i="6"/>
  <c r="I63" i="6"/>
  <c r="V62" i="6"/>
  <c r="U62" i="6"/>
  <c r="T62" i="6"/>
  <c r="S62" i="6"/>
  <c r="R62" i="6"/>
  <c r="K62" i="6"/>
  <c r="I62" i="6"/>
  <c r="V61" i="6"/>
  <c r="U61" i="6"/>
  <c r="T61" i="6"/>
  <c r="S61" i="6"/>
  <c r="R61" i="6"/>
  <c r="K61" i="6"/>
  <c r="I61" i="6"/>
  <c r="V60" i="6"/>
  <c r="U60" i="6"/>
  <c r="T60" i="6"/>
  <c r="S60" i="6"/>
  <c r="R60" i="6"/>
  <c r="K60" i="6"/>
  <c r="I60" i="6"/>
  <c r="V59" i="6"/>
  <c r="U59" i="6"/>
  <c r="T59" i="6"/>
  <c r="S59" i="6"/>
  <c r="R59" i="6"/>
  <c r="K59" i="6"/>
  <c r="I59" i="6"/>
  <c r="V58" i="6"/>
  <c r="U58" i="6"/>
  <c r="T58" i="6"/>
  <c r="S58" i="6"/>
  <c r="R58" i="6"/>
  <c r="K58" i="6"/>
  <c r="I58" i="6"/>
  <c r="V57" i="6"/>
  <c r="U57" i="6"/>
  <c r="T57" i="6"/>
  <c r="S57" i="6"/>
  <c r="R57" i="6"/>
  <c r="K57" i="6"/>
  <c r="I57" i="6"/>
  <c r="V56" i="6"/>
  <c r="U56" i="6"/>
  <c r="T56" i="6"/>
  <c r="S56" i="6"/>
  <c r="R56" i="6"/>
  <c r="K56" i="6"/>
  <c r="I56" i="6"/>
  <c r="V55" i="6"/>
  <c r="U55" i="6"/>
  <c r="T55" i="6"/>
  <c r="S55" i="6"/>
  <c r="R55" i="6"/>
  <c r="K55" i="6"/>
  <c r="I55" i="6"/>
  <c r="V54" i="6"/>
  <c r="U54" i="6"/>
  <c r="T54" i="6"/>
  <c r="S54" i="6"/>
  <c r="R54" i="6"/>
  <c r="K54" i="6"/>
  <c r="I54" i="6"/>
  <c r="V53" i="6"/>
  <c r="U53" i="6"/>
  <c r="T53" i="6"/>
  <c r="S53" i="6"/>
  <c r="R53" i="6"/>
  <c r="K53" i="6"/>
  <c r="I53" i="6"/>
  <c r="V52" i="6"/>
  <c r="U52" i="6"/>
  <c r="T52" i="6"/>
  <c r="S52" i="6"/>
  <c r="R52" i="6"/>
  <c r="K52" i="6"/>
  <c r="I52" i="6"/>
  <c r="V51" i="6"/>
  <c r="U51" i="6"/>
  <c r="T51" i="6"/>
  <c r="S51" i="6"/>
  <c r="R51" i="6"/>
  <c r="K51" i="6"/>
  <c r="I51" i="6"/>
  <c r="V50" i="6"/>
  <c r="U50" i="6"/>
  <c r="T50" i="6"/>
  <c r="S50" i="6"/>
  <c r="R50" i="6"/>
  <c r="K50" i="6"/>
  <c r="I50" i="6"/>
  <c r="V49" i="6"/>
  <c r="U49" i="6"/>
  <c r="T49" i="6"/>
  <c r="S49" i="6"/>
  <c r="R49" i="6"/>
  <c r="K49" i="6"/>
  <c r="I49" i="6"/>
  <c r="V48" i="6"/>
  <c r="U48" i="6"/>
  <c r="T48" i="6"/>
  <c r="S48" i="6"/>
  <c r="R48" i="6"/>
  <c r="K48" i="6"/>
  <c r="I48" i="6"/>
  <c r="V47" i="6"/>
  <c r="U47" i="6"/>
  <c r="T47" i="6"/>
  <c r="S47" i="6"/>
  <c r="R47" i="6"/>
  <c r="K47" i="6"/>
  <c r="I47" i="6"/>
  <c r="V46" i="6"/>
  <c r="U46" i="6"/>
  <c r="T46" i="6"/>
  <c r="S46" i="6"/>
  <c r="R46" i="6"/>
  <c r="K46" i="6"/>
  <c r="I46" i="6"/>
  <c r="V45" i="6"/>
  <c r="U45" i="6"/>
  <c r="T45" i="6"/>
  <c r="S45" i="6"/>
  <c r="R45" i="6"/>
  <c r="K45" i="6"/>
  <c r="I45" i="6"/>
  <c r="V44" i="6"/>
  <c r="U44" i="6"/>
  <c r="T44" i="6"/>
  <c r="S44" i="6"/>
  <c r="R44" i="6"/>
  <c r="K44" i="6"/>
  <c r="I44" i="6"/>
  <c r="V43" i="6"/>
  <c r="U43" i="6"/>
  <c r="T43" i="6"/>
  <c r="S43" i="6"/>
  <c r="R43" i="6"/>
  <c r="K43" i="6"/>
  <c r="I43" i="6"/>
  <c r="V42" i="6"/>
  <c r="U42" i="6"/>
  <c r="T42" i="6"/>
  <c r="S42" i="6"/>
  <c r="R42" i="6"/>
  <c r="K42" i="6"/>
  <c r="I42" i="6"/>
  <c r="V41" i="6"/>
  <c r="U41" i="6"/>
  <c r="T41" i="6"/>
  <c r="S41" i="6"/>
  <c r="R41" i="6"/>
  <c r="K41" i="6"/>
  <c r="I41" i="6"/>
  <c r="V40" i="6"/>
  <c r="U40" i="6"/>
  <c r="T40" i="6"/>
  <c r="S40" i="6"/>
  <c r="R40" i="6"/>
  <c r="K40" i="6"/>
  <c r="I40" i="6"/>
  <c r="V39" i="6"/>
  <c r="U39" i="6"/>
  <c r="T39" i="6"/>
  <c r="S39" i="6"/>
  <c r="R39" i="6"/>
  <c r="K39" i="6"/>
  <c r="I39" i="6"/>
  <c r="V38" i="6"/>
  <c r="U38" i="6"/>
  <c r="T38" i="6"/>
  <c r="S38" i="6"/>
  <c r="R38" i="6"/>
  <c r="K38" i="6"/>
  <c r="I38" i="6"/>
  <c r="V37" i="6"/>
  <c r="U37" i="6"/>
  <c r="T37" i="6"/>
  <c r="S37" i="6"/>
  <c r="R37" i="6"/>
  <c r="K37" i="6"/>
  <c r="I37" i="6"/>
  <c r="V36" i="6"/>
  <c r="U36" i="6"/>
  <c r="T36" i="6"/>
  <c r="S36" i="6"/>
  <c r="R36" i="6"/>
  <c r="K36" i="6"/>
  <c r="I36" i="6"/>
  <c r="V35" i="6"/>
  <c r="U35" i="6"/>
  <c r="T35" i="6"/>
  <c r="S35" i="6"/>
  <c r="R35" i="6"/>
  <c r="K35" i="6"/>
  <c r="I35" i="6"/>
  <c r="V34" i="6"/>
  <c r="U34" i="6"/>
  <c r="T34" i="6"/>
  <c r="S34" i="6"/>
  <c r="R34" i="6"/>
  <c r="K34" i="6"/>
  <c r="I34" i="6"/>
  <c r="V33" i="6"/>
  <c r="U33" i="6"/>
  <c r="T33" i="6"/>
  <c r="S33" i="6"/>
  <c r="R33" i="6"/>
  <c r="K33" i="6"/>
  <c r="I33" i="6"/>
  <c r="V32" i="6"/>
  <c r="U32" i="6"/>
  <c r="T32" i="6"/>
  <c r="S32" i="6"/>
  <c r="R32" i="6"/>
  <c r="K32" i="6"/>
  <c r="I32" i="6"/>
  <c r="V31" i="6"/>
  <c r="U31" i="6"/>
  <c r="T31" i="6"/>
  <c r="S31" i="6"/>
  <c r="R31" i="6"/>
  <c r="K31" i="6"/>
  <c r="I31" i="6"/>
  <c r="V30" i="6"/>
  <c r="U30" i="6"/>
  <c r="T30" i="6"/>
  <c r="S30" i="6"/>
  <c r="R30" i="6"/>
  <c r="K30" i="6"/>
  <c r="I30" i="6"/>
  <c r="V29" i="6"/>
  <c r="U29" i="6"/>
  <c r="T29" i="6"/>
  <c r="S29" i="6"/>
  <c r="R29" i="6"/>
  <c r="K29" i="6"/>
  <c r="I29" i="6"/>
  <c r="V28" i="6"/>
  <c r="U28" i="6"/>
  <c r="T28" i="6"/>
  <c r="S28" i="6"/>
  <c r="R28" i="6"/>
  <c r="K28" i="6"/>
  <c r="I28" i="6"/>
  <c r="V27" i="6"/>
  <c r="U27" i="6"/>
  <c r="T27" i="6"/>
  <c r="S27" i="6"/>
  <c r="R27" i="6"/>
  <c r="K27" i="6"/>
  <c r="I27" i="6"/>
  <c r="V26" i="6"/>
  <c r="U26" i="6"/>
  <c r="T26" i="6"/>
  <c r="S26" i="6"/>
  <c r="R26" i="6"/>
  <c r="K26" i="6"/>
  <c r="I26" i="6"/>
  <c r="V25" i="6"/>
  <c r="U25" i="6"/>
  <c r="T25" i="6"/>
  <c r="S25" i="6"/>
  <c r="R25" i="6"/>
  <c r="K25" i="6"/>
  <c r="I25" i="6"/>
  <c r="V24" i="6"/>
  <c r="U24" i="6"/>
  <c r="T24" i="6"/>
  <c r="S24" i="6"/>
  <c r="R24" i="6"/>
  <c r="K24" i="6"/>
  <c r="I24" i="6"/>
  <c r="V23" i="6"/>
  <c r="U23" i="6"/>
  <c r="T23" i="6"/>
  <c r="S23" i="6"/>
  <c r="R23" i="6"/>
  <c r="K23" i="6"/>
  <c r="I23" i="6"/>
  <c r="V22" i="6"/>
  <c r="U22" i="6"/>
  <c r="T22" i="6"/>
  <c r="S22" i="6"/>
  <c r="R22" i="6"/>
  <c r="K22" i="6"/>
  <c r="I22" i="6"/>
  <c r="V21" i="6"/>
  <c r="U21" i="6"/>
  <c r="T21" i="6"/>
  <c r="S21" i="6"/>
  <c r="R21" i="6"/>
  <c r="K21" i="6"/>
  <c r="I21" i="6"/>
  <c r="V20" i="6"/>
  <c r="U20" i="6"/>
  <c r="T20" i="6"/>
  <c r="S20" i="6"/>
  <c r="R20" i="6"/>
  <c r="K20" i="6"/>
  <c r="I20" i="6"/>
  <c r="V19" i="6"/>
  <c r="U19" i="6"/>
  <c r="T19" i="6"/>
  <c r="S19" i="6"/>
  <c r="R19" i="6"/>
  <c r="K19" i="6"/>
  <c r="I19" i="6"/>
  <c r="V18" i="6"/>
  <c r="U18" i="6"/>
  <c r="T18" i="6"/>
  <c r="S18" i="6"/>
  <c r="R18" i="6"/>
  <c r="K18" i="6"/>
  <c r="I18" i="6"/>
  <c r="V17" i="6"/>
  <c r="U17" i="6"/>
  <c r="T17" i="6"/>
  <c r="S17" i="6"/>
  <c r="R17" i="6"/>
  <c r="K17" i="6"/>
  <c r="I17" i="6"/>
  <c r="V16" i="6"/>
  <c r="U16" i="6"/>
  <c r="T16" i="6"/>
  <c r="S16" i="6"/>
  <c r="R16" i="6"/>
  <c r="K16" i="6"/>
  <c r="I16" i="6"/>
  <c r="V15" i="6"/>
  <c r="U15" i="6"/>
  <c r="T15" i="6"/>
  <c r="S15" i="6"/>
  <c r="R15" i="6"/>
  <c r="K15" i="6"/>
  <c r="I15" i="6"/>
  <c r="V14" i="6"/>
  <c r="U14" i="6"/>
  <c r="T14" i="6"/>
  <c r="S14" i="6"/>
  <c r="R14" i="6"/>
  <c r="K14" i="6"/>
  <c r="I14" i="6"/>
  <c r="V13" i="6"/>
  <c r="U13" i="6"/>
  <c r="T13" i="6"/>
  <c r="S13" i="6"/>
  <c r="R13" i="6"/>
  <c r="K13" i="6"/>
  <c r="I13" i="6"/>
  <c r="V12" i="6"/>
  <c r="U12" i="6"/>
  <c r="T12" i="6"/>
  <c r="S12" i="6"/>
  <c r="R12" i="6"/>
  <c r="K12" i="6"/>
  <c r="I12" i="6"/>
  <c r="V11" i="6"/>
  <c r="U11" i="6"/>
  <c r="T11" i="6"/>
  <c r="S11" i="6"/>
  <c r="R11" i="6"/>
  <c r="K11" i="6"/>
  <c r="I11" i="6"/>
  <c r="V10" i="6"/>
  <c r="U10" i="6"/>
  <c r="T10" i="6"/>
  <c r="S10" i="6"/>
  <c r="R10" i="6"/>
  <c r="K10" i="6"/>
  <c r="I10" i="6"/>
  <c r="V9" i="6"/>
  <c r="U9" i="6"/>
  <c r="T9" i="6"/>
  <c r="S9" i="6"/>
  <c r="R9" i="6"/>
  <c r="K9" i="6"/>
  <c r="I9" i="6"/>
  <c r="V8" i="6"/>
  <c r="U8" i="6"/>
  <c r="T8" i="6"/>
  <c r="S8" i="6"/>
  <c r="R8" i="6"/>
  <c r="K8" i="6"/>
  <c r="I8" i="6"/>
  <c r="V7" i="6"/>
  <c r="U7" i="6"/>
  <c r="T7" i="6"/>
  <c r="S7" i="6"/>
  <c r="R7" i="6"/>
  <c r="K7" i="6"/>
  <c r="I7" i="6"/>
  <c r="V6" i="6"/>
  <c r="U6" i="6"/>
  <c r="T6" i="6"/>
  <c r="S6" i="6"/>
  <c r="R6" i="6"/>
  <c r="K6" i="6"/>
  <c r="I6" i="6"/>
  <c r="V5" i="6"/>
  <c r="U5" i="6"/>
  <c r="T5" i="6"/>
  <c r="S5" i="6"/>
  <c r="R5" i="6"/>
  <c r="K5" i="6"/>
  <c r="I5" i="6"/>
  <c r="V4" i="6"/>
  <c r="U4" i="6"/>
  <c r="T4" i="6"/>
  <c r="S4" i="6"/>
  <c r="R4" i="6"/>
  <c r="K4" i="6"/>
  <c r="I4" i="6"/>
  <c r="V3" i="6"/>
  <c r="U3" i="6"/>
  <c r="T3" i="6"/>
  <c r="S3" i="6"/>
  <c r="R3" i="6"/>
  <c r="K3" i="6"/>
  <c r="I3" i="6"/>
  <c r="V2" i="6"/>
  <c r="U2" i="6"/>
  <c r="T2" i="6"/>
  <c r="S2" i="6"/>
  <c r="R2" i="6"/>
  <c r="K2" i="6"/>
  <c r="S4" i="9" s="1"/>
  <c r="I2" i="6"/>
  <c r="K2" i="7" l="1"/>
  <c r="M2" i="7"/>
  <c r="G2" i="7"/>
  <c r="P4" i="9"/>
  <c r="M4" i="9"/>
</calcChain>
</file>

<file path=xl/sharedStrings.xml><?xml version="1.0" encoding="utf-8"?>
<sst xmlns="http://schemas.openxmlformats.org/spreadsheetml/2006/main" count="6943" uniqueCount="751">
  <si>
    <t>Zone</t>
  </si>
  <si>
    <t>State</t>
  </si>
  <si>
    <t>City</t>
  </si>
  <si>
    <t>Name</t>
  </si>
  <si>
    <t>Type</t>
  </si>
  <si>
    <t>Establishment Year</t>
  </si>
  <si>
    <t>time needed to visit in hrs</t>
  </si>
  <si>
    <t>Google review rating</t>
  </si>
  <si>
    <t>Entrance Fee in INR</t>
  </si>
  <si>
    <t>Airport with 50km Radius</t>
  </si>
  <si>
    <t>Weekly Off</t>
  </si>
  <si>
    <t>Significance</t>
  </si>
  <si>
    <t>DSLR Allowed</t>
  </si>
  <si>
    <t>Number of google review in lakhs</t>
  </si>
  <si>
    <t>Best Time to visit</t>
  </si>
  <si>
    <t>Northern</t>
  </si>
  <si>
    <t>Delhi</t>
  </si>
  <si>
    <t>India Gate</t>
  </si>
  <si>
    <t>War Memorial</t>
  </si>
  <si>
    <t>Yes</t>
  </si>
  <si>
    <t>None</t>
  </si>
  <si>
    <t>Historical</t>
  </si>
  <si>
    <t>Evening</t>
  </si>
  <si>
    <t>Humayun's Tomb</t>
  </si>
  <si>
    <t>Tomb</t>
  </si>
  <si>
    <t>Afternoon</t>
  </si>
  <si>
    <t>Akshardham Temple</t>
  </si>
  <si>
    <t>Temple</t>
  </si>
  <si>
    <t>Religious</t>
  </si>
  <si>
    <t>No</t>
  </si>
  <si>
    <t>Waste to Wonder Park</t>
  </si>
  <si>
    <t>Theme Park</t>
  </si>
  <si>
    <t>Monday</t>
  </si>
  <si>
    <t>Environmental</t>
  </si>
  <si>
    <t>Jantar Mantar</t>
  </si>
  <si>
    <t>Observatory</t>
  </si>
  <si>
    <t>Scientific</t>
  </si>
  <si>
    <t>Morning</t>
  </si>
  <si>
    <t>Chandni Chowk</t>
  </si>
  <si>
    <t>Market</t>
  </si>
  <si>
    <t>Sunday</t>
  </si>
  <si>
    <t>Lotus Temple</t>
  </si>
  <si>
    <t>Red Fort</t>
  </si>
  <si>
    <t>Fort</t>
  </si>
  <si>
    <t>Agrasen ki Baoli</t>
  </si>
  <si>
    <t>Stepwell</t>
  </si>
  <si>
    <t>Sunder Nursery</t>
  </si>
  <si>
    <t>Park</t>
  </si>
  <si>
    <t>Botanical</t>
  </si>
  <si>
    <t>Garden of Five Senses</t>
  </si>
  <si>
    <t>Lodhi Garden</t>
  </si>
  <si>
    <t>All</t>
  </si>
  <si>
    <t>National Gallery of Modern Art</t>
  </si>
  <si>
    <t>Museum</t>
  </si>
  <si>
    <t>Artistic</t>
  </si>
  <si>
    <t xml:space="preserve">National Zoological Park </t>
  </si>
  <si>
    <t>Zoo</t>
  </si>
  <si>
    <t>Friday</t>
  </si>
  <si>
    <t>Qutub Minar</t>
  </si>
  <si>
    <t>Monument</t>
  </si>
  <si>
    <t>National Science Centre</t>
  </si>
  <si>
    <t>Science</t>
  </si>
  <si>
    <t>Western</t>
  </si>
  <si>
    <t>Maharastra</t>
  </si>
  <si>
    <t>Mumbai</t>
  </si>
  <si>
    <t>Marine Drive</t>
  </si>
  <si>
    <t>Promenade</t>
  </si>
  <si>
    <t>Unknown</t>
  </si>
  <si>
    <t>Scenic</t>
  </si>
  <si>
    <t>Gateway of India</t>
  </si>
  <si>
    <t>Chhatrapati Shivaji Maharaj Vastu Sangrahalaya</t>
  </si>
  <si>
    <t>Sanjay Gandhi National Park</t>
  </si>
  <si>
    <t>National Park</t>
  </si>
  <si>
    <t>Wildlife</t>
  </si>
  <si>
    <t>Siddhivinayak Temple</t>
  </si>
  <si>
    <t>Mahalaxmi Temple</t>
  </si>
  <si>
    <t>Haji Ali Dargah</t>
  </si>
  <si>
    <t>Religious Shrine</t>
  </si>
  <si>
    <t>Chowpatty Beach</t>
  </si>
  <si>
    <t>Beach</t>
  </si>
  <si>
    <t>Recreational</t>
  </si>
  <si>
    <t>Essel World</t>
  </si>
  <si>
    <t>Amusement Park</t>
  </si>
  <si>
    <t>Elephanta Caves</t>
  </si>
  <si>
    <t xml:space="preserve">All </t>
  </si>
  <si>
    <t>Lonavala</t>
  </si>
  <si>
    <t>Imagicaa</t>
  </si>
  <si>
    <t>Southern</t>
  </si>
  <si>
    <t>Karnataka</t>
  </si>
  <si>
    <t>Bangalore</t>
  </si>
  <si>
    <t>Bangalore Palace</t>
  </si>
  <si>
    <t>Palace</t>
  </si>
  <si>
    <t>Lalbagh Botanical Garden</t>
  </si>
  <si>
    <t>Botanical Garden</t>
  </si>
  <si>
    <t>Nature</t>
  </si>
  <si>
    <t>Cubbon Park</t>
  </si>
  <si>
    <t>Vidhana Soudha</t>
  </si>
  <si>
    <t>Government Building</t>
  </si>
  <si>
    <t>Architectural</t>
  </si>
  <si>
    <t>ISKCON Temple Bangalore</t>
  </si>
  <si>
    <t>Telangana</t>
  </si>
  <si>
    <t>Hyderabad</t>
  </si>
  <si>
    <t>Charminar</t>
  </si>
  <si>
    <t>Landmark</t>
  </si>
  <si>
    <t>Golconda Fort</t>
  </si>
  <si>
    <t>Hussain Sagar Lake</t>
  </si>
  <si>
    <t>Lake</t>
  </si>
  <si>
    <t>Ramoji Film City</t>
  </si>
  <si>
    <t>Film Studio</t>
  </si>
  <si>
    <t>Entertainment</t>
  </si>
  <si>
    <t>Salar Jung Museum</t>
  </si>
  <si>
    <t>Qutb Shahi Tombs</t>
  </si>
  <si>
    <t>Tombs</t>
  </si>
  <si>
    <t>Birla Mandir</t>
  </si>
  <si>
    <t>Chowmahalla Palace</t>
  </si>
  <si>
    <t>Nehru Zoological Park</t>
  </si>
  <si>
    <t>Lumbini Park</t>
  </si>
  <si>
    <t>Eastern</t>
  </si>
  <si>
    <t>West Bengal</t>
  </si>
  <si>
    <t>Kolkata</t>
  </si>
  <si>
    <t>Victoria Memorial</t>
  </si>
  <si>
    <t>Howrah Bridge</t>
  </si>
  <si>
    <t>Bridge</t>
  </si>
  <si>
    <t>Anytime</t>
  </si>
  <si>
    <t>Indian Museum</t>
  </si>
  <si>
    <t>Dakshineswar Kali Temple</t>
  </si>
  <si>
    <t>Kalighat Kali Temple</t>
  </si>
  <si>
    <t>Eden Gardens</t>
  </si>
  <si>
    <t>Cricket Ground</t>
  </si>
  <si>
    <t>Sports</t>
  </si>
  <si>
    <t>Alipore Zoological Gardens</t>
  </si>
  <si>
    <t>Science City Kolkata</t>
  </si>
  <si>
    <t>Educational</t>
  </si>
  <si>
    <t>Belur Math</t>
  </si>
  <si>
    <t>Site</t>
  </si>
  <si>
    <t>Marble Palace</t>
  </si>
  <si>
    <t>Goa</t>
  </si>
  <si>
    <t>Calangute Beach</t>
  </si>
  <si>
    <t>Basilica of Bom Jesus</t>
  </si>
  <si>
    <t>Church</t>
  </si>
  <si>
    <t>Fort Aguada</t>
  </si>
  <si>
    <t>Dudhsagar Falls</t>
  </si>
  <si>
    <t>Waterfall</t>
  </si>
  <si>
    <t>Anjuna Beach</t>
  </si>
  <si>
    <t>Chapora Fort</t>
  </si>
  <si>
    <t>Se Cathedral</t>
  </si>
  <si>
    <t>Baga Beach</t>
  </si>
  <si>
    <t>Arambol Beach</t>
  </si>
  <si>
    <t>Palolem Beach</t>
  </si>
  <si>
    <t>Colva Beach</t>
  </si>
  <si>
    <t>Miramar Beach</t>
  </si>
  <si>
    <t>Aguada Beach</t>
  </si>
  <si>
    <t>Dr. Salim Ali Bird Santuary</t>
  </si>
  <si>
    <t>Bird Sanctuary</t>
  </si>
  <si>
    <t>Gujarat</t>
  </si>
  <si>
    <t>Ahmedabad</t>
  </si>
  <si>
    <t>Sabarmati Ashram</t>
  </si>
  <si>
    <t>Dwarka</t>
  </si>
  <si>
    <t>Dwarkadhish Temple</t>
  </si>
  <si>
    <t>Junagadh</t>
  </si>
  <si>
    <t>Gir National Park</t>
  </si>
  <si>
    <t>Bhuj</t>
  </si>
  <si>
    <t>White Desert</t>
  </si>
  <si>
    <t>Vadodara</t>
  </si>
  <si>
    <t>Laxmi Vilas Palace</t>
  </si>
  <si>
    <t>Somnath</t>
  </si>
  <si>
    <t>Somnath Temple</t>
  </si>
  <si>
    <t>Rann of Kutch</t>
  </si>
  <si>
    <t>Rann Utsav</t>
  </si>
  <si>
    <t>Cultural</t>
  </si>
  <si>
    <t>Kevadia</t>
  </si>
  <si>
    <t>Statue of Unity</t>
  </si>
  <si>
    <t>Gandhinagar</t>
  </si>
  <si>
    <t>Dandi Kutir</t>
  </si>
  <si>
    <t>Sabarmati Riverfront</t>
  </si>
  <si>
    <t>Urban Development Project</t>
  </si>
  <si>
    <t>Manek Chowk</t>
  </si>
  <si>
    <t>Food</t>
  </si>
  <si>
    <t>Night</t>
  </si>
  <si>
    <t>Kankaria Lake</t>
  </si>
  <si>
    <t>Science City</t>
  </si>
  <si>
    <t>Rajasthan</t>
  </si>
  <si>
    <t>Jaipur</t>
  </si>
  <si>
    <t>Hawa Mahal</t>
  </si>
  <si>
    <t>Udaipur</t>
  </si>
  <si>
    <t>City Palace</t>
  </si>
  <si>
    <t>Jaisalmer</t>
  </si>
  <si>
    <t>Jaisalmer Fort</t>
  </si>
  <si>
    <t>Sawai Madhopur</t>
  </si>
  <si>
    <t>Ranthambore National Park</t>
  </si>
  <si>
    <t>Wildlife Sanctuary</t>
  </si>
  <si>
    <t>Pushkar</t>
  </si>
  <si>
    <t>Pushkar Lake</t>
  </si>
  <si>
    <t>Ajmer</t>
  </si>
  <si>
    <t>Ajmer Sharif Dargah</t>
  </si>
  <si>
    <t>Shrine</t>
  </si>
  <si>
    <t>Jodhpur</t>
  </si>
  <si>
    <t>Mehrangarh Fort</t>
  </si>
  <si>
    <t>Chittorgarh</t>
  </si>
  <si>
    <t>Chittorgarh Fort</t>
  </si>
  <si>
    <t>Mount Abu</t>
  </si>
  <si>
    <t>Dilwara Temples</t>
  </si>
  <si>
    <t>Bikaner</t>
  </si>
  <si>
    <t>Junagarh Fort</t>
  </si>
  <si>
    <t>Amber Fort</t>
  </si>
  <si>
    <t>Jaigarh Fort</t>
  </si>
  <si>
    <t>Lake Pichola</t>
  </si>
  <si>
    <t>Punjab</t>
  </si>
  <si>
    <t>Amritsar</t>
  </si>
  <si>
    <t>Golden Temple (Harmandir Sahib)</t>
  </si>
  <si>
    <t>Religious Site</t>
  </si>
  <si>
    <t>Spiritual</t>
  </si>
  <si>
    <t>Jallianwala Bagh</t>
  </si>
  <si>
    <t>Memorial</t>
  </si>
  <si>
    <t>Wagah Border</t>
  </si>
  <si>
    <t>Border Crossing</t>
  </si>
  <si>
    <t>Chandigarh</t>
  </si>
  <si>
    <t>Rock Garden</t>
  </si>
  <si>
    <t>Sculpture Garden</t>
  </si>
  <si>
    <t>Kerala</t>
  </si>
  <si>
    <t>Alappuzha</t>
  </si>
  <si>
    <t>Alappuzha Beach</t>
  </si>
  <si>
    <t>Munnar</t>
  </si>
  <si>
    <t>Munnar Tea Gardens</t>
  </si>
  <si>
    <t>Scenic Area</t>
  </si>
  <si>
    <t>Kochi</t>
  </si>
  <si>
    <t>Fort Kochi</t>
  </si>
  <si>
    <t>Thiruvananthapuram</t>
  </si>
  <si>
    <t>Padmanabhaswamy Temple</t>
  </si>
  <si>
    <t>Kozhikode</t>
  </si>
  <si>
    <t>Kozhikode Beach</t>
  </si>
  <si>
    <t>Wayanad</t>
  </si>
  <si>
    <t>Wayanad Wildlife Sanctuary</t>
  </si>
  <si>
    <t>Thekkady</t>
  </si>
  <si>
    <t>Periyar National Park</t>
  </si>
  <si>
    <t>Kumarakom</t>
  </si>
  <si>
    <t>Kumarakom Bird Sanctuary</t>
  </si>
  <si>
    <t>Varkala</t>
  </si>
  <si>
    <t>Varkala Beach</t>
  </si>
  <si>
    <t>Bekal</t>
  </si>
  <si>
    <t>Bekal Fort</t>
  </si>
  <si>
    <t>Kovalam</t>
  </si>
  <si>
    <t>Kovalam Beach</t>
  </si>
  <si>
    <t>Kannur</t>
  </si>
  <si>
    <t>St. Angelo Fort</t>
  </si>
  <si>
    <t>Nelliyampathy</t>
  </si>
  <si>
    <t>Seethargundu Viewpoint</t>
  </si>
  <si>
    <t>Viewpoint</t>
  </si>
  <si>
    <t>Kerala Folklore Museum</t>
  </si>
  <si>
    <t>Wonderla Amusement Park</t>
  </si>
  <si>
    <t>Mysore</t>
  </si>
  <si>
    <t>Mysore Palace</t>
  </si>
  <si>
    <t>Hampi</t>
  </si>
  <si>
    <t>Hampi Archaeological Ruins</t>
  </si>
  <si>
    <t>Coorg</t>
  </si>
  <si>
    <t>Abbey Falls</t>
  </si>
  <si>
    <t>Gokarna</t>
  </si>
  <si>
    <t>Om Beach</t>
  </si>
  <si>
    <t>Chikmagalur</t>
  </si>
  <si>
    <t>Mullayanagiri</t>
  </si>
  <si>
    <t>Mountain Peak</t>
  </si>
  <si>
    <t>Badami</t>
  </si>
  <si>
    <t>Badami Cave Temples</t>
  </si>
  <si>
    <t>Cave</t>
  </si>
  <si>
    <t>Shivamogga</t>
  </si>
  <si>
    <t>Jog Falls</t>
  </si>
  <si>
    <t>Mangalore</t>
  </si>
  <si>
    <t>Panambur Beach</t>
  </si>
  <si>
    <t>Murudeshwar</t>
  </si>
  <si>
    <t>Murudeshwar Temple</t>
  </si>
  <si>
    <t>Bijapur</t>
  </si>
  <si>
    <t>Gol Gumbaz</t>
  </si>
  <si>
    <t>Mausoleum</t>
  </si>
  <si>
    <t>Bandipur</t>
  </si>
  <si>
    <t>Bandipur National Park</t>
  </si>
  <si>
    <t>Halebidu</t>
  </si>
  <si>
    <t>Halebidu Hoysaleswara Temple</t>
  </si>
  <si>
    <t>Pune</t>
  </si>
  <si>
    <t>Shaniwar Wada</t>
  </si>
  <si>
    <t>Aurangabad</t>
  </si>
  <si>
    <t>Ajanta Caves</t>
  </si>
  <si>
    <t>Nashik</t>
  </si>
  <si>
    <t>Sula Vineyards</t>
  </si>
  <si>
    <t>Vineyard</t>
  </si>
  <si>
    <t>Shirdi</t>
  </si>
  <si>
    <t>Sai Baba Temple</t>
  </si>
  <si>
    <t>Alibaug</t>
  </si>
  <si>
    <t>Alibaug Beach</t>
  </si>
  <si>
    <t>Ratnagiri</t>
  </si>
  <si>
    <t>Ganapatipule Temple</t>
  </si>
  <si>
    <t>Nagpur</t>
  </si>
  <si>
    <t>Deekshabhoomi</t>
  </si>
  <si>
    <t>Kolhapur</t>
  </si>
  <si>
    <t>Mahalakshmi Temple</t>
  </si>
  <si>
    <t>Karla Caves</t>
  </si>
  <si>
    <t>Maharashtra</t>
  </si>
  <si>
    <t>Tarkarli</t>
  </si>
  <si>
    <t>Tarkarli Beach</t>
  </si>
  <si>
    <t>Satara</t>
  </si>
  <si>
    <t>Kaas Plateau</t>
  </si>
  <si>
    <t>Valley</t>
  </si>
  <si>
    <t>Matheran</t>
  </si>
  <si>
    <t>Echo Point</t>
  </si>
  <si>
    <t>Ajanta</t>
  </si>
  <si>
    <t>Ellora Caves</t>
  </si>
  <si>
    <t>Tuesday</t>
  </si>
  <si>
    <t>Central</t>
  </si>
  <si>
    <t>Madhya Pradesh</t>
  </si>
  <si>
    <t>Khajuraho</t>
  </si>
  <si>
    <t>Khajuraho Group of Monuments</t>
  </si>
  <si>
    <t>Temples</t>
  </si>
  <si>
    <t>Bhopal</t>
  </si>
  <si>
    <t>Sanchi Stupa</t>
  </si>
  <si>
    <t>Indore</t>
  </si>
  <si>
    <t>Rajwada Palace</t>
  </si>
  <si>
    <t>Gwalior</t>
  </si>
  <si>
    <t>Gwalior Fort</t>
  </si>
  <si>
    <t>Ujjain</t>
  </si>
  <si>
    <t>Mahakaleshwar Jyotirlinga</t>
  </si>
  <si>
    <t>Jabalpur</t>
  </si>
  <si>
    <t>Dhuandhar Falls</t>
  </si>
  <si>
    <t>Pachmarhi</t>
  </si>
  <si>
    <t>Bee Falls</t>
  </si>
  <si>
    <t>Kanha</t>
  </si>
  <si>
    <t>Kanha National Park</t>
  </si>
  <si>
    <t>Bandhavgarh</t>
  </si>
  <si>
    <t>Bandhavgarh National Park</t>
  </si>
  <si>
    <t>Orchha</t>
  </si>
  <si>
    <t>Orchha Fort</t>
  </si>
  <si>
    <t>Mandu</t>
  </si>
  <si>
    <t>Jahaz Mahal</t>
  </si>
  <si>
    <t>Bhimbetka</t>
  </si>
  <si>
    <t>Bhimbetka Rock Shelters</t>
  </si>
  <si>
    <t>Prehistoric Site</t>
  </si>
  <si>
    <t>Archaeological</t>
  </si>
  <si>
    <t>Amarkantak</t>
  </si>
  <si>
    <t>Narmada Udgam Temple</t>
  </si>
  <si>
    <t>Chitrakoot</t>
  </si>
  <si>
    <t>Chitrakoot Falls</t>
  </si>
  <si>
    <t>Himachal Pradesh</t>
  </si>
  <si>
    <t>Shimla</t>
  </si>
  <si>
    <t>The Ridge</t>
  </si>
  <si>
    <t>Scenic Point</t>
  </si>
  <si>
    <t>Manali</t>
  </si>
  <si>
    <t>Solang Valley</t>
  </si>
  <si>
    <t>Adventure</t>
  </si>
  <si>
    <t>dalhousie</t>
  </si>
  <si>
    <t>Dalai Lama Temple</t>
  </si>
  <si>
    <t>Dalhousie</t>
  </si>
  <si>
    <t>Khajjiar Lake</t>
  </si>
  <si>
    <t>Spiti Valley</t>
  </si>
  <si>
    <t>Key Monastery</t>
  </si>
  <si>
    <t>Monastery</t>
  </si>
  <si>
    <t>Kullu</t>
  </si>
  <si>
    <t>Great Himalayan National Park</t>
  </si>
  <si>
    <t>Chamba</t>
  </si>
  <si>
    <t>Chamera Lake</t>
  </si>
  <si>
    <t>Kinnaur</t>
  </si>
  <si>
    <t>Sangla Valley</t>
  </si>
  <si>
    <t>Kangra</t>
  </si>
  <si>
    <t>Kangra Fort</t>
  </si>
  <si>
    <t>Palampur</t>
  </si>
  <si>
    <t>Tea Gardens</t>
  </si>
  <si>
    <t>Tea Plantation</t>
  </si>
  <si>
    <t>Agricultural</t>
  </si>
  <si>
    <t>Mandi</t>
  </si>
  <si>
    <t>Prashar Lake</t>
  </si>
  <si>
    <t>Bir Billing</t>
  </si>
  <si>
    <t>Paragliding Site</t>
  </si>
  <si>
    <t>Adventure Sport</t>
  </si>
  <si>
    <t>McLeod Ganj</t>
  </si>
  <si>
    <t>Triund Trek</t>
  </si>
  <si>
    <t>Trekking</t>
  </si>
  <si>
    <t>Manikaran</t>
  </si>
  <si>
    <t>Manikaran Sahib</t>
  </si>
  <si>
    <t>Gurudwara</t>
  </si>
  <si>
    <t>Narkanda</t>
  </si>
  <si>
    <t>Hatu Peak</t>
  </si>
  <si>
    <t>Barot</t>
  </si>
  <si>
    <t>Barot Valley</t>
  </si>
  <si>
    <t>Shoja</t>
  </si>
  <si>
    <t>Serolsar Lake</t>
  </si>
  <si>
    <t>Kufri</t>
  </si>
  <si>
    <t>Kufri Fun World</t>
  </si>
  <si>
    <t>Ski Resort</t>
  </si>
  <si>
    <t>Uttarakhand</t>
  </si>
  <si>
    <t>Nainital</t>
  </si>
  <si>
    <t>Naini Lake</t>
  </si>
  <si>
    <t>Rishikesh</t>
  </si>
  <si>
    <t>Laxman Jhula</t>
  </si>
  <si>
    <t>Suspension Bridge</t>
  </si>
  <si>
    <t>Haridwar</t>
  </si>
  <si>
    <t>Har Ki Pauri</t>
  </si>
  <si>
    <t>Ghat</t>
  </si>
  <si>
    <t>Dehradun</t>
  </si>
  <si>
    <t>Robber's Cave</t>
  </si>
  <si>
    <t>Mussoorie</t>
  </si>
  <si>
    <t>Kempty Falls</t>
  </si>
  <si>
    <t>Auli</t>
  </si>
  <si>
    <t>Auli Ski Resort</t>
  </si>
  <si>
    <t>Badrinath</t>
  </si>
  <si>
    <t>Badrinath Temple</t>
  </si>
  <si>
    <t>Almora</t>
  </si>
  <si>
    <t>Binsar Wildlife Sanctuary</t>
  </si>
  <si>
    <t>Ranikhet</t>
  </si>
  <si>
    <t>Chaubatia Gardens</t>
  </si>
  <si>
    <t>Orchard</t>
  </si>
  <si>
    <t>Jim Corbett</t>
  </si>
  <si>
    <t>Jim Corbett National Park</t>
  </si>
  <si>
    <t>Uttarkashi</t>
  </si>
  <si>
    <t>Gangotri Temple</t>
  </si>
  <si>
    <t>Chopta</t>
  </si>
  <si>
    <t>Tungnath Temple</t>
  </si>
  <si>
    <t>Joshimath</t>
  </si>
  <si>
    <t>Valley of Flowers</t>
  </si>
  <si>
    <t>Uttar Pradesh</t>
  </si>
  <si>
    <t>Agra</t>
  </si>
  <si>
    <t>Taj Mahal</t>
  </si>
  <si>
    <t>Varanasi</t>
  </si>
  <si>
    <t>Kashi Vishwanath Temple</t>
  </si>
  <si>
    <t>Lucknow</t>
  </si>
  <si>
    <t>Bara Imambara</t>
  </si>
  <si>
    <t>Mathura</t>
  </si>
  <si>
    <t>Krishna Janmabhoomi</t>
  </si>
  <si>
    <t>Ayodhya</t>
  </si>
  <si>
    <t>Ram Janmabhoomi</t>
  </si>
  <si>
    <t>Vrindavan</t>
  </si>
  <si>
    <t>Banke Bihari Temple</t>
  </si>
  <si>
    <t>Allahabad</t>
  </si>
  <si>
    <t>Triveni Sangam</t>
  </si>
  <si>
    <t>Confluence</t>
  </si>
  <si>
    <t>Jhansi</t>
  </si>
  <si>
    <t>Jhansi Fort</t>
  </si>
  <si>
    <t>Sarnath</t>
  </si>
  <si>
    <t>Dhamek Stupa</t>
  </si>
  <si>
    <t>Fatehpur Sikri</t>
  </si>
  <si>
    <t>Buland Darwaza</t>
  </si>
  <si>
    <t>Noida</t>
  </si>
  <si>
    <t>Okhla Bird Sanctuary</t>
  </si>
  <si>
    <t>Aligarh</t>
  </si>
  <si>
    <t>Aligarh Fort</t>
  </si>
  <si>
    <t>Meerut</t>
  </si>
  <si>
    <t>Augarnath Temple</t>
  </si>
  <si>
    <t>Kanpur</t>
  </si>
  <si>
    <t>Allen Forest Zoo</t>
  </si>
  <si>
    <t>Jammu and Kashmir</t>
  </si>
  <si>
    <t>Srinagar</t>
  </si>
  <si>
    <t>Dal Lake</t>
  </si>
  <si>
    <t>Ladakh</t>
  </si>
  <si>
    <t>Leh</t>
  </si>
  <si>
    <t>Pangong Tso</t>
  </si>
  <si>
    <t>Pahalgam</t>
  </si>
  <si>
    <t>Betaab Valley</t>
  </si>
  <si>
    <t>Jammu</t>
  </si>
  <si>
    <t>Vaishno Devi</t>
  </si>
  <si>
    <t>Udhampur</t>
  </si>
  <si>
    <t>Patnitop Height</t>
  </si>
  <si>
    <t>Hill</t>
  </si>
  <si>
    <t>Anantnag</t>
  </si>
  <si>
    <t>Amarnath Cave</t>
  </si>
  <si>
    <t>Thiksey Monastery</t>
  </si>
  <si>
    <t>Nubra Valley</t>
  </si>
  <si>
    <t>Kargil</t>
  </si>
  <si>
    <t>Kargil War Memorial</t>
  </si>
  <si>
    <t>Diskit</t>
  </si>
  <si>
    <t>Diskit Monastery</t>
  </si>
  <si>
    <t>Kishtwar</t>
  </si>
  <si>
    <t>Kishtwar National Park</t>
  </si>
  <si>
    <t>Hemis</t>
  </si>
  <si>
    <t>Hemis National Park</t>
  </si>
  <si>
    <t>Dras</t>
  </si>
  <si>
    <t>Dras War Memorial</t>
  </si>
  <si>
    <t>Magnetic Hill</t>
  </si>
  <si>
    <t>Gravity Hill</t>
  </si>
  <si>
    <t>Khardung La Pass</t>
  </si>
  <si>
    <t>Prem Mandir</t>
  </si>
  <si>
    <t>Porbandar</t>
  </si>
  <si>
    <t>Kirti Mandir</t>
  </si>
  <si>
    <t>Nand Gaon</t>
  </si>
  <si>
    <t>Village</t>
  </si>
  <si>
    <t>Barsana Mandir</t>
  </si>
  <si>
    <t>Darjeeling</t>
  </si>
  <si>
    <t>Tiger Hill</t>
  </si>
  <si>
    <t>Sunrise Point</t>
  </si>
  <si>
    <t>Siliguri</t>
  </si>
  <si>
    <t>Jaldapara National Park</t>
  </si>
  <si>
    <t>Sundarbans</t>
  </si>
  <si>
    <t>Sundarbans National Park</t>
  </si>
  <si>
    <t>Digha</t>
  </si>
  <si>
    <t>Digha Beach</t>
  </si>
  <si>
    <t>Murshidabad</t>
  </si>
  <si>
    <t>Hazarduari Palace</t>
  </si>
  <si>
    <t>Bolpur</t>
  </si>
  <si>
    <t>Kankalitala Temple</t>
  </si>
  <si>
    <t>Hooghly</t>
  </si>
  <si>
    <t>Hangseswari Temple</t>
  </si>
  <si>
    <t>Jalpaiguri</t>
  </si>
  <si>
    <t>Gorumara National Park</t>
  </si>
  <si>
    <t>Cooch Behar</t>
  </si>
  <si>
    <t>Cooch Behar Palace</t>
  </si>
  <si>
    <t>Purulia</t>
  </si>
  <si>
    <t>Ayodhya Hills</t>
  </si>
  <si>
    <t>Odisha</t>
  </si>
  <si>
    <t>Puri</t>
  </si>
  <si>
    <t>Jagannath Temple</t>
  </si>
  <si>
    <t>12th century</t>
  </si>
  <si>
    <t>Konark</t>
  </si>
  <si>
    <t>Sun Temple</t>
  </si>
  <si>
    <t>Bhubaneswar</t>
  </si>
  <si>
    <t>Lingaraj Temple</t>
  </si>
  <si>
    <t>11th century</t>
  </si>
  <si>
    <t>Rourkela</t>
  </si>
  <si>
    <t>Khandadhar Waterfall</t>
  </si>
  <si>
    <t>Cuttack</t>
  </si>
  <si>
    <t>Barabati Fort</t>
  </si>
  <si>
    <t>Sambalpur</t>
  </si>
  <si>
    <t>Hirakud Dam</t>
  </si>
  <si>
    <t>Dam</t>
  </si>
  <si>
    <t>Engineering Marvel</t>
  </si>
  <si>
    <t>Chilika</t>
  </si>
  <si>
    <t>Chilika Lake</t>
  </si>
  <si>
    <t>Berhampur</t>
  </si>
  <si>
    <t>Tara Tarini Temple</t>
  </si>
  <si>
    <t>Ancient</t>
  </si>
  <si>
    <t>Keonjhar</t>
  </si>
  <si>
    <t>Badaghagara Waterfall</t>
  </si>
  <si>
    <t>Balasore</t>
  </si>
  <si>
    <t>Chandipur Beach</t>
  </si>
  <si>
    <t>Kendujhar</t>
  </si>
  <si>
    <t>Sanaghagara Waterfall</t>
  </si>
  <si>
    <t>Tamil Nadu</t>
  </si>
  <si>
    <t>Chennai</t>
  </si>
  <si>
    <t>Marina Beach</t>
  </si>
  <si>
    <t>Madurai</t>
  </si>
  <si>
    <t>Meenakshi Amman Temple</t>
  </si>
  <si>
    <t>6th century AD</t>
  </si>
  <si>
    <t>Rameswaram</t>
  </si>
  <si>
    <t>Ramanathaswamy Temple</t>
  </si>
  <si>
    <t>Kanyakumari</t>
  </si>
  <si>
    <t>Vivekananda Rock Memorial</t>
  </si>
  <si>
    <t>Ooty</t>
  </si>
  <si>
    <t>Ooty Lake</t>
  </si>
  <si>
    <t>Coimbatore</t>
  </si>
  <si>
    <t>Marudamalai Temple</t>
  </si>
  <si>
    <t>Kodaikanal</t>
  </si>
  <si>
    <t>Kodaikanal Lake</t>
  </si>
  <si>
    <t>Thanjavur</t>
  </si>
  <si>
    <t>Brihadeeswarar Temple</t>
  </si>
  <si>
    <t>Mahabalipuram</t>
  </si>
  <si>
    <t>Shore Temple</t>
  </si>
  <si>
    <t>7th century</t>
  </si>
  <si>
    <t>Yercaud</t>
  </si>
  <si>
    <t>Yercaud Lake</t>
  </si>
  <si>
    <t>Tirunelveli</t>
  </si>
  <si>
    <t>Nellaiappar Temple</t>
  </si>
  <si>
    <t>Chidambaram</t>
  </si>
  <si>
    <t>Nataraja Temple</t>
  </si>
  <si>
    <t>10th century</t>
  </si>
  <si>
    <t>Andhra Pradesh</t>
  </si>
  <si>
    <t>Vijayawada</t>
  </si>
  <si>
    <t>Kanaka Durga Temple</t>
  </si>
  <si>
    <t>Visakhapatnam</t>
  </si>
  <si>
    <t>Rishikonda Beach</t>
  </si>
  <si>
    <t>Srisailam</t>
  </si>
  <si>
    <t>Mallikarjuna Swamy Temple</t>
  </si>
  <si>
    <t>14th century</t>
  </si>
  <si>
    <t>Rajahmundry</t>
  </si>
  <si>
    <t>Papikondalu</t>
  </si>
  <si>
    <t>Anantapur</t>
  </si>
  <si>
    <t>Lepakshi</t>
  </si>
  <si>
    <t>16th century</t>
  </si>
  <si>
    <t>Kurnool</t>
  </si>
  <si>
    <t>Belum Caves</t>
  </si>
  <si>
    <t>Natural Wonder</t>
  </si>
  <si>
    <t>Amravati</t>
  </si>
  <si>
    <t>Amaravathi Temple</t>
  </si>
  <si>
    <t>Guntur</t>
  </si>
  <si>
    <t>Uppalapadu Bird Sanctuary</t>
  </si>
  <si>
    <t>Kadapa</t>
  </si>
  <si>
    <t>Gandikota Fort</t>
  </si>
  <si>
    <t>Puttaparthi</t>
  </si>
  <si>
    <t>Prasanthi Nilayam</t>
  </si>
  <si>
    <t>Spiritual Center</t>
  </si>
  <si>
    <t>Vizianagaram</t>
  </si>
  <si>
    <t>Simhachalam Temple</t>
  </si>
  <si>
    <t>Kailasagiri</t>
  </si>
  <si>
    <t>Submarine Museum</t>
  </si>
  <si>
    <t>Borra Caves</t>
  </si>
  <si>
    <t>Indira Gandhi Zoological Park</t>
  </si>
  <si>
    <t>Matsyadarshini Aquarium</t>
  </si>
  <si>
    <t>Aquarium</t>
  </si>
  <si>
    <t>Visakha Museum</t>
  </si>
  <si>
    <t>Sikkim</t>
  </si>
  <si>
    <t>Gangtok</t>
  </si>
  <si>
    <t>Nathula Pass</t>
  </si>
  <si>
    <t>Pelling</t>
  </si>
  <si>
    <t>Pemayangtse Monastery</t>
  </si>
  <si>
    <t>Namchi</t>
  </si>
  <si>
    <t>Char Dham</t>
  </si>
  <si>
    <t>Religious Complex</t>
  </si>
  <si>
    <t>Rumtek Monastery</t>
  </si>
  <si>
    <t>1960s</t>
  </si>
  <si>
    <t>Ravangla</t>
  </si>
  <si>
    <t>Buddha Park</t>
  </si>
  <si>
    <t>Baba Harbhajan Singh Temple</t>
  </si>
  <si>
    <t>Tsomgo Lake</t>
  </si>
  <si>
    <t>North Eastern</t>
  </si>
  <si>
    <t>Assam</t>
  </si>
  <si>
    <t>Guwahati</t>
  </si>
  <si>
    <t>Kamakhya Temple</t>
  </si>
  <si>
    <t>Kaziranga</t>
  </si>
  <si>
    <t>Kaziranga National Park</t>
  </si>
  <si>
    <t>Umananda Island</t>
  </si>
  <si>
    <t>Island</t>
  </si>
  <si>
    <t>Sivasagar</t>
  </si>
  <si>
    <t>Sivasagar Sivadol</t>
  </si>
  <si>
    <t>Majuli</t>
  </si>
  <si>
    <t>Majuli Island</t>
  </si>
  <si>
    <t>River Island</t>
  </si>
  <si>
    <t>Manas</t>
  </si>
  <si>
    <t>Manas National Park</t>
  </si>
  <si>
    <t>Hajo</t>
  </si>
  <si>
    <t>Hayagriva Madhava Temple</t>
  </si>
  <si>
    <t>Pobitora Wildlife Sanctuary</t>
  </si>
  <si>
    <t>Arunachal Pradesh</t>
  </si>
  <si>
    <t>Tawang</t>
  </si>
  <si>
    <t>Tawang Monastery</t>
  </si>
  <si>
    <t>Tripura</t>
  </si>
  <si>
    <t>Agartala</t>
  </si>
  <si>
    <t>Ujjayanta Palace</t>
  </si>
  <si>
    <t>Dumboor</t>
  </si>
  <si>
    <t>Dumboor Lake</t>
  </si>
  <si>
    <t>Unakoti</t>
  </si>
  <si>
    <t>Unakoti Rock Carvings</t>
  </si>
  <si>
    <t>Rock Carvings</t>
  </si>
  <si>
    <t>Chhattisgarh</t>
  </si>
  <si>
    <t>Bastar</t>
  </si>
  <si>
    <t>Chitrakote Falls</t>
  </si>
  <si>
    <t>Nagaland</t>
  </si>
  <si>
    <t>DzÃ¼kou Valley</t>
  </si>
  <si>
    <t>Puducherry</t>
  </si>
  <si>
    <t>Promenade Beach</t>
  </si>
  <si>
    <t>Auroville</t>
  </si>
  <si>
    <t>Township</t>
  </si>
  <si>
    <t>Paradise Beach</t>
  </si>
  <si>
    <t>Andaman and Nicobar Islands</t>
  </si>
  <si>
    <t>Port Blair</t>
  </si>
  <si>
    <t>Cellular Jail</t>
  </si>
  <si>
    <t>Havelock Island</t>
  </si>
  <si>
    <t>Radhanagar Beach</t>
  </si>
  <si>
    <t>Neil Island</t>
  </si>
  <si>
    <t>Bharatpur Beach</t>
  </si>
  <si>
    <t>Baratang Island</t>
  </si>
  <si>
    <t>Limestone Caves</t>
  </si>
  <si>
    <t>Natural Feature</t>
  </si>
  <si>
    <t>Daman and Diu</t>
  </si>
  <si>
    <t>Diu</t>
  </si>
  <si>
    <t>Naida Caves</t>
  </si>
  <si>
    <t>Diu Fort</t>
  </si>
  <si>
    <t>Jharkhand</t>
  </si>
  <si>
    <t>Deoghar</t>
  </si>
  <si>
    <t>Baba Baidyanath Temple</t>
  </si>
  <si>
    <t>Ranchi</t>
  </si>
  <si>
    <t>Pahari Mandir</t>
  </si>
  <si>
    <t>Bihar</t>
  </si>
  <si>
    <t>Bodh Gaya</t>
  </si>
  <si>
    <t>Mahabodhi Temple</t>
  </si>
  <si>
    <t>Patna</t>
  </si>
  <si>
    <t>Sanjay Gandhi Biological Park</t>
  </si>
  <si>
    <t>Takhat Shri Harimandir Ji Patna Sahib</t>
  </si>
  <si>
    <t>Budhha Smriti Park</t>
  </si>
  <si>
    <t>Haryana</t>
  </si>
  <si>
    <t>Gurugram</t>
  </si>
  <si>
    <t>Kingdom of Dreams</t>
  </si>
  <si>
    <t>Ambience Mall</t>
  </si>
  <si>
    <t>Mall</t>
  </si>
  <si>
    <t>Shopping</t>
  </si>
  <si>
    <t>DLF CyberHub</t>
  </si>
  <si>
    <t>Commercial Complex</t>
  </si>
  <si>
    <t>New Delhi</t>
  </si>
  <si>
    <t>Gurudwara Bangla Sahib</t>
  </si>
  <si>
    <t>Kedarnath</t>
  </si>
  <si>
    <t>DLF Mall of India</t>
  </si>
  <si>
    <t>Greater Noida</t>
  </si>
  <si>
    <t>The Grand Venice Mall</t>
  </si>
  <si>
    <t>Bengaluru</t>
  </si>
  <si>
    <t>Nandankanan Zoological Park</t>
  </si>
  <si>
    <t>Orion Mall</t>
  </si>
  <si>
    <t>Inorbit Mall Cyberabad</t>
  </si>
  <si>
    <t>Jama Masjid</t>
  </si>
  <si>
    <t>Mosque</t>
  </si>
  <si>
    <t>Buddh International Circuit</t>
  </si>
  <si>
    <t>Race Track</t>
  </si>
  <si>
    <t>Phoenix Palassio</t>
  </si>
  <si>
    <t>LuLu International Shopping Mall</t>
  </si>
  <si>
    <t>Rail Museum</t>
  </si>
  <si>
    <t>Meghalaya</t>
  </si>
  <si>
    <t>Cherrapunji</t>
  </si>
  <si>
    <t>Living Root Bridge</t>
  </si>
  <si>
    <t>Akshardham</t>
  </si>
  <si>
    <t>Agra Fort</t>
  </si>
  <si>
    <t>Madhya Pradesh Tribal Museum</t>
  </si>
  <si>
    <t>Albert Hall Museum</t>
  </si>
  <si>
    <t>Entry_Type</t>
  </si>
  <si>
    <t>Establishment_Year</t>
  </si>
  <si>
    <t>Visit_Time_Hrs</t>
  </si>
  <si>
    <t>Reiew_Rating</t>
  </si>
  <si>
    <t>Entrance_Fee_INR</t>
  </si>
  <si>
    <t>Airport_50km_Radius</t>
  </si>
  <si>
    <t>Weekly_Off</t>
  </si>
  <si>
    <t>DSLR_Allowed</t>
  </si>
  <si>
    <t>Number_Review_Lakhs</t>
  </si>
  <si>
    <t>Best_Time_to_visit</t>
  </si>
  <si>
    <t>Rating_Category</t>
  </si>
  <si>
    <t>Popularity</t>
  </si>
  <si>
    <t>Visit_Duration</t>
  </si>
  <si>
    <t>Airport_Access</t>
  </si>
  <si>
    <t>Top_Rated</t>
  </si>
  <si>
    <t>Column1</t>
  </si>
  <si>
    <t>Site Classification</t>
  </si>
  <si>
    <t>Wednesday</t>
  </si>
  <si>
    <t>Thursday</t>
  </si>
  <si>
    <t>Saturday</t>
  </si>
  <si>
    <t>Star_rating</t>
  </si>
  <si>
    <t>popularity_Traffic</t>
  </si>
  <si>
    <t>Row Labels</t>
  </si>
  <si>
    <t>Grand Total</t>
  </si>
  <si>
    <t>Count of Name</t>
  </si>
  <si>
    <t>Heritage &amp; Culture</t>
  </si>
  <si>
    <t>Leisure &amp; Commerce</t>
  </si>
  <si>
    <t>Nature &amp; Wildlife</t>
  </si>
  <si>
    <t>Other</t>
  </si>
  <si>
    <t>Science &amp; Education</t>
  </si>
  <si>
    <t>Average of Reiew_Rating</t>
  </si>
  <si>
    <t>Free</t>
  </si>
  <si>
    <t>Paid</t>
  </si>
  <si>
    <t>pivot chart 5 zone analysis</t>
  </si>
  <si>
    <t>High Traffic</t>
  </si>
  <si>
    <t>Low Traffic</t>
  </si>
  <si>
    <t>Medium Traffic</t>
  </si>
  <si>
    <t>Sum of Number_Review_Lakhs</t>
  </si>
  <si>
    <t>Accessible</t>
  </si>
  <si>
    <t>Remote</t>
  </si>
  <si>
    <t>Column Labels</t>
  </si>
  <si>
    <t xml:space="preserve">Total Tourist Places </t>
  </si>
  <si>
    <t xml:space="preserve">Average Rating </t>
  </si>
  <si>
    <t>Total States Covered</t>
  </si>
  <si>
    <t xml:space="preserve">Average Entrance Fee </t>
  </si>
  <si>
    <t>Highly Popular Places</t>
  </si>
  <si>
    <t>Top Rated Places</t>
  </si>
  <si>
    <t>Paid Attractions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</si>
</sst>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Red]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sz val="36"/>
      <color theme="0"/>
      <name val="Calibri"/>
      <family val="2"/>
      <scheme val="minor"/>
    </font>
    <font>
      <sz val="14"/>
      <color theme="1"/>
      <name val="Calibri"/>
      <family val="2"/>
      <scheme val="minor"/>
    </font>
    <font>
      <sz val="16"/>
      <color theme="1"/>
      <name val="Calibri"/>
      <family val="2"/>
      <scheme val="minor"/>
    </font>
    <font>
      <b/>
      <sz val="16"/>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164" fontId="17" fillId="0" borderId="0" xfId="0" applyNumberFormat="1" applyFont="1" applyAlignment="1">
      <alignment horizontal="center" vertical="center"/>
    </xf>
    <xf numFmtId="0" fontId="0" fillId="0" borderId="0" xfId="0" pivotButton="1"/>
    <xf numFmtId="0" fontId="0" fillId="0" borderId="0" xfId="0" applyAlignment="1">
      <alignment horizontal="left"/>
    </xf>
    <xf numFmtId="49" fontId="19" fillId="34" borderId="11" xfId="0" applyNumberFormat="1"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14" xfId="0" applyFont="1" applyFill="1" applyBorder="1" applyAlignment="1">
      <alignment horizontal="center" vertical="center"/>
    </xf>
    <xf numFmtId="0" fontId="19" fillId="34" borderId="10" xfId="0" applyFont="1" applyFill="1" applyBorder="1" applyAlignment="1">
      <alignment horizontal="center" vertical="center"/>
    </xf>
    <xf numFmtId="0" fontId="19" fillId="34" borderId="16" xfId="0" applyFont="1" applyFill="1" applyBorder="1" applyAlignment="1">
      <alignment horizontal="center" vertical="center"/>
    </xf>
    <xf numFmtId="0" fontId="19" fillId="34" borderId="17" xfId="0" applyFont="1" applyFill="1" applyBorder="1" applyAlignment="1">
      <alignment horizontal="center" vertical="center"/>
    </xf>
    <xf numFmtId="0" fontId="19" fillId="34" borderId="13" xfId="0" applyFont="1" applyFill="1" applyBorder="1" applyAlignment="1">
      <alignment horizontal="center" vertical="center"/>
    </xf>
    <xf numFmtId="0" fontId="19" fillId="34" borderId="15" xfId="0" applyFont="1" applyFill="1" applyBorder="1" applyAlignment="1">
      <alignment horizontal="center" vertical="center"/>
    </xf>
    <xf numFmtId="0" fontId="19" fillId="34" borderId="18" xfId="0" applyFont="1" applyFill="1" applyBorder="1" applyAlignment="1">
      <alignment horizontal="center" vertical="center"/>
    </xf>
    <xf numFmtId="49" fontId="18" fillId="33" borderId="0" xfId="0" applyNumberFormat="1" applyFont="1" applyFill="1" applyAlignment="1">
      <alignment horizontal="center" vertical="center"/>
    </xf>
    <xf numFmtId="0" fontId="18" fillId="33" borderId="0" xfId="0" applyFont="1" applyFill="1" applyAlignment="1">
      <alignment horizontal="center" vertical="center"/>
    </xf>
    <xf numFmtId="0" fontId="0" fillId="34" borderId="19" xfId="0" applyFill="1" applyBorder="1" applyAlignment="1">
      <alignment horizontal="center" vertical="center"/>
    </xf>
    <xf numFmtId="0" fontId="22" fillId="34" borderId="20" xfId="0" applyFont="1" applyFill="1" applyBorder="1" applyAlignment="1">
      <alignment horizontal="center" vertical="center"/>
    </xf>
    <xf numFmtId="0" fontId="0" fillId="34" borderId="21" xfId="0" applyFill="1" applyBorder="1" applyAlignment="1">
      <alignment horizontal="center" vertical="center"/>
    </xf>
    <xf numFmtId="0" fontId="0" fillId="34" borderId="22" xfId="0" applyFill="1" applyBorder="1" applyAlignment="1">
      <alignment horizontal="center" vertical="center"/>
    </xf>
    <xf numFmtId="0" fontId="0" fillId="34" borderId="23" xfId="0" applyFill="1" applyBorder="1" applyAlignment="1">
      <alignment horizontal="center" vertical="center"/>
    </xf>
    <xf numFmtId="0" fontId="0" fillId="34" borderId="24" xfId="0" applyFill="1" applyBorder="1" applyAlignment="1">
      <alignment horizontal="center" vertical="center"/>
    </xf>
    <xf numFmtId="0" fontId="21" fillId="34" borderId="19" xfId="0" applyFont="1" applyFill="1" applyBorder="1" applyAlignment="1">
      <alignment horizontal="center" vertical="center"/>
    </xf>
    <xf numFmtId="0" fontId="21" fillId="34" borderId="22" xfId="0" applyFont="1" applyFill="1" applyBorder="1" applyAlignment="1">
      <alignment horizontal="center" vertical="center"/>
    </xf>
    <xf numFmtId="0" fontId="21" fillId="34" borderId="23" xfId="0" applyFont="1" applyFill="1" applyBorder="1" applyAlignment="1">
      <alignment horizontal="center" vertical="center"/>
    </xf>
    <xf numFmtId="0" fontId="23" fillId="34" borderId="20" xfId="0" applyFont="1" applyFill="1" applyBorder="1" applyAlignment="1">
      <alignment horizontal="center" vertical="center"/>
    </xf>
    <xf numFmtId="0" fontId="20" fillId="34" borderId="19" xfId="0" applyFont="1" applyFill="1" applyBorder="1" applyAlignment="1">
      <alignment horizontal="center" vertical="center"/>
    </xf>
    <xf numFmtId="0" fontId="20" fillId="34" borderId="22" xfId="0" applyFont="1" applyFill="1" applyBorder="1" applyAlignment="1">
      <alignment horizontal="center" vertical="center"/>
    </xf>
    <xf numFmtId="0" fontId="20" fillId="34" borderId="23" xfId="0" applyFont="1" applyFill="1" applyBorder="1" applyAlignment="1">
      <alignment horizontal="center" vertical="center"/>
    </xf>
    <xf numFmtId="0" fontId="20" fillId="34" borderId="21" xfId="0" applyFont="1" applyFill="1" applyBorder="1" applyAlignment="1">
      <alignment horizontal="center" vertical="center"/>
    </xf>
    <xf numFmtId="0" fontId="20" fillId="34" borderId="24" xfId="0" applyFont="1" applyFill="1" applyBorder="1" applyAlignment="1">
      <alignment horizontal="center" vertical="center"/>
    </xf>
    <xf numFmtId="0" fontId="21" fillId="34" borderId="21" xfId="0" applyFont="1" applyFill="1" applyBorder="1" applyAlignment="1">
      <alignment horizontal="center" vertical="center"/>
    </xf>
    <xf numFmtId="0" fontId="21" fillId="34" borderId="24"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64" formatCode="0.0;[Red]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s>
  <tableStyles count="0" defaultTableStyle="TableStyleMedium2" defaultPivotStyle="PivotStyleLight16"/>
  <colors>
    <mruColors>
      <color rgb="FFC6CEF6"/>
      <color rgb="FFACB8F2"/>
      <color rgb="FF7E90EA"/>
      <color rgb="FF162988"/>
      <color rgb="FF476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a:t>
            </a:r>
            <a:r>
              <a:rPr lang="en-IN"/>
              <a:t>State</a:t>
            </a:r>
            <a:r>
              <a:rPr lang="en-IN" baseline="0"/>
              <a:t> by Tourist places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pivot_tables!$D$3</c:f>
              <c:strCache>
                <c:ptCount val="1"/>
                <c:pt idx="0">
                  <c:v>Total</c:v>
                </c:pt>
              </c:strCache>
            </c:strRef>
          </c:tx>
          <c:spPr>
            <a:solidFill>
              <a:schemeClr val="accent1"/>
            </a:solidFill>
            <a:ln>
              <a:noFill/>
            </a:ln>
            <a:effectLst/>
            <a:sp3d/>
          </c:spPr>
          <c:invertIfNegative val="0"/>
          <c:cat>
            <c:strRef>
              <c:f>pivot_tables!$C$4:$C$37</c:f>
              <c:strCache>
                <c:ptCount val="33"/>
                <c:pt idx="0">
                  <c:v>Andaman and Nicobar Islands</c:v>
                </c:pt>
                <c:pt idx="1">
                  <c:v>Andhra Pradesh</c:v>
                </c:pt>
                <c:pt idx="2">
                  <c:v>Arunachal Pradesh</c:v>
                </c:pt>
                <c:pt idx="3">
                  <c:v>Assam</c:v>
                </c:pt>
                <c:pt idx="4">
                  <c:v>Bihar</c:v>
                </c:pt>
                <c:pt idx="5">
                  <c:v>Chhattisgarh</c:v>
                </c:pt>
                <c:pt idx="6">
                  <c:v>Daman and Diu</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Maharastra</c:v>
                </c:pt>
                <c:pt idx="20">
                  <c:v>Meghalaya</c:v>
                </c:pt>
                <c:pt idx="21">
                  <c:v>Nagaland</c:v>
                </c:pt>
                <c:pt idx="22">
                  <c:v>Odisha</c:v>
                </c:pt>
                <c:pt idx="23">
                  <c:v>Puducherry</c:v>
                </c:pt>
                <c:pt idx="24">
                  <c:v>Punjab</c:v>
                </c:pt>
                <c:pt idx="25">
                  <c:v>Rajasthan</c:v>
                </c:pt>
                <c:pt idx="26">
                  <c:v>Sikkim</c:v>
                </c:pt>
                <c:pt idx="27">
                  <c:v>Tamil Nadu</c:v>
                </c:pt>
                <c:pt idx="28">
                  <c:v>Telangana</c:v>
                </c:pt>
                <c:pt idx="29">
                  <c:v>Tripura</c:v>
                </c:pt>
                <c:pt idx="30">
                  <c:v>Uttar Pradesh</c:v>
                </c:pt>
                <c:pt idx="31">
                  <c:v>Uttarakhand</c:v>
                </c:pt>
                <c:pt idx="32">
                  <c:v>West Bengal</c:v>
                </c:pt>
              </c:strCache>
            </c:strRef>
          </c:cat>
          <c:val>
            <c:numRef>
              <c:f>pivot_tables!$D$4:$D$37</c:f>
              <c:numCache>
                <c:formatCode>General</c:formatCode>
                <c:ptCount val="33"/>
                <c:pt idx="0">
                  <c:v>4</c:v>
                </c:pt>
                <c:pt idx="1">
                  <c:v>18</c:v>
                </c:pt>
                <c:pt idx="2">
                  <c:v>1</c:v>
                </c:pt>
                <c:pt idx="3">
                  <c:v>8</c:v>
                </c:pt>
                <c:pt idx="4">
                  <c:v>4</c:v>
                </c:pt>
                <c:pt idx="5">
                  <c:v>1</c:v>
                </c:pt>
                <c:pt idx="6">
                  <c:v>2</c:v>
                </c:pt>
                <c:pt idx="7">
                  <c:v>19</c:v>
                </c:pt>
                <c:pt idx="8">
                  <c:v>14</c:v>
                </c:pt>
                <c:pt idx="9">
                  <c:v>14</c:v>
                </c:pt>
                <c:pt idx="10">
                  <c:v>3</c:v>
                </c:pt>
                <c:pt idx="11">
                  <c:v>18</c:v>
                </c:pt>
                <c:pt idx="12">
                  <c:v>6</c:v>
                </c:pt>
                <c:pt idx="13">
                  <c:v>2</c:v>
                </c:pt>
                <c:pt idx="14">
                  <c:v>19</c:v>
                </c:pt>
                <c:pt idx="15">
                  <c:v>16</c:v>
                </c:pt>
                <c:pt idx="16">
                  <c:v>10</c:v>
                </c:pt>
                <c:pt idx="17">
                  <c:v>15</c:v>
                </c:pt>
                <c:pt idx="18">
                  <c:v>4</c:v>
                </c:pt>
                <c:pt idx="19">
                  <c:v>20</c:v>
                </c:pt>
                <c:pt idx="20">
                  <c:v>1</c:v>
                </c:pt>
                <c:pt idx="21">
                  <c:v>1</c:v>
                </c:pt>
                <c:pt idx="22">
                  <c:v>12</c:v>
                </c:pt>
                <c:pt idx="23">
                  <c:v>3</c:v>
                </c:pt>
                <c:pt idx="24">
                  <c:v>4</c:v>
                </c:pt>
                <c:pt idx="25">
                  <c:v>15</c:v>
                </c:pt>
                <c:pt idx="26">
                  <c:v>7</c:v>
                </c:pt>
                <c:pt idx="27">
                  <c:v>13</c:v>
                </c:pt>
                <c:pt idx="28">
                  <c:v>11</c:v>
                </c:pt>
                <c:pt idx="29">
                  <c:v>3</c:v>
                </c:pt>
                <c:pt idx="30">
                  <c:v>23</c:v>
                </c:pt>
                <c:pt idx="31">
                  <c:v>14</c:v>
                </c:pt>
                <c:pt idx="32">
                  <c:v>20</c:v>
                </c:pt>
              </c:numCache>
            </c:numRef>
          </c:val>
          <c:extLst>
            <c:ext xmlns:c16="http://schemas.microsoft.com/office/drawing/2014/chart" uri="{C3380CC4-5D6E-409C-BE32-E72D297353CC}">
              <c16:uniqueId val="{00000000-B227-4C7B-9138-5DA81311C5C9}"/>
            </c:ext>
          </c:extLst>
        </c:ser>
        <c:dLbls>
          <c:showLegendKey val="0"/>
          <c:showVal val="0"/>
          <c:showCatName val="0"/>
          <c:showSerName val="0"/>
          <c:showPercent val="0"/>
          <c:showBubbleSize val="0"/>
        </c:dLbls>
        <c:gapWidth val="150"/>
        <c:shape val="box"/>
        <c:axId val="2023360927"/>
        <c:axId val="2023354687"/>
        <c:axId val="0"/>
      </c:bar3DChart>
      <c:catAx>
        <c:axId val="202336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54687"/>
        <c:crosses val="autoZero"/>
        <c:auto val="1"/>
        <c:lblAlgn val="ctr"/>
        <c:lblOffset val="100"/>
        <c:noMultiLvlLbl val="0"/>
      </c:catAx>
      <c:valAx>
        <c:axId val="202335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sprint_1_Anudip.xlsx]pivot_tables!PivotTable8</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4"/>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7"/>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19050">
            <a:contourClr>
              <a:schemeClr val="lt1"/>
            </a:contourClr>
          </a:sp3d>
        </c:spPr>
      </c:pivotFmt>
      <c:pivotFmt>
        <c:idx val="9"/>
        <c:spPr>
          <a:solidFill>
            <a:schemeClr val="accent1"/>
          </a:solidFill>
          <a:ln w="19050">
            <a:solidFill>
              <a:schemeClr val="lt1"/>
            </a:solidFill>
          </a:ln>
          <a:effectLst/>
          <a:sp3d contourW="19050">
            <a:contourClr>
              <a:schemeClr val="lt1"/>
            </a:contourClr>
          </a:sp3d>
        </c:spPr>
      </c:pivotFmt>
      <c:pivotFmt>
        <c:idx val="10"/>
        <c:spPr>
          <a:solidFill>
            <a:schemeClr val="accent1"/>
          </a:solidFill>
          <a:ln w="19050">
            <a:solidFill>
              <a:schemeClr val="lt1"/>
            </a:solidFill>
          </a:ln>
          <a:effectLst/>
          <a:sp3d contourW="19050">
            <a:contourClr>
              <a:schemeClr val="lt1"/>
            </a:contourClr>
          </a:sp3d>
        </c:spPr>
      </c:pivotFmt>
      <c:pivotFmt>
        <c:idx val="11"/>
        <c:spPr>
          <a:solidFill>
            <a:schemeClr val="accent1"/>
          </a:solidFill>
          <a:ln w="19050">
            <a:solidFill>
              <a:schemeClr val="lt1"/>
            </a:solidFill>
          </a:ln>
          <a:effectLst/>
          <a:sp3d contourW="19050">
            <a:contourClr>
              <a:schemeClr val="lt1"/>
            </a:contourClr>
          </a:sp3d>
        </c:spPr>
      </c:pivotFmt>
      <c:pivotFmt>
        <c:idx val="12"/>
        <c:spPr>
          <a:solidFill>
            <a:schemeClr val="accent1"/>
          </a:solidFill>
          <a:ln w="19050">
            <a:solidFill>
              <a:schemeClr val="lt1"/>
            </a:solidFill>
          </a:ln>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pivot_tables!$G$3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5641-41E2-84B9-905006C0021B}"/>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5641-41E2-84B9-905006C0021B}"/>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5641-41E2-84B9-905006C0021B}"/>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5641-41E2-84B9-905006C0021B}"/>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5641-41E2-84B9-905006C002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pivot_tables!$F$4:$F$9</c:f>
              <c:strCache>
                <c:ptCount val="5"/>
                <c:pt idx="0">
                  <c:v>Heritage &amp; Culture</c:v>
                </c:pt>
                <c:pt idx="1">
                  <c:v>Leisure &amp; Commerce</c:v>
                </c:pt>
                <c:pt idx="2">
                  <c:v>Nature &amp; Wildlife</c:v>
                </c:pt>
                <c:pt idx="3">
                  <c:v>Other</c:v>
                </c:pt>
                <c:pt idx="4">
                  <c:v>Science &amp; Education</c:v>
                </c:pt>
              </c:strCache>
            </c:strRef>
          </c:cat>
          <c:val>
            <c:numRef>
              <c:f>pivot_tables!$G$4:$G$9</c:f>
              <c:numCache>
                <c:formatCode>General</c:formatCode>
                <c:ptCount val="5"/>
                <c:pt idx="0">
                  <c:v>159</c:v>
                </c:pt>
                <c:pt idx="1">
                  <c:v>36</c:v>
                </c:pt>
                <c:pt idx="2">
                  <c:v>91</c:v>
                </c:pt>
                <c:pt idx="3">
                  <c:v>37</c:v>
                </c:pt>
                <c:pt idx="4">
                  <c:v>2</c:v>
                </c:pt>
              </c:numCache>
            </c:numRef>
          </c:val>
          <c:extLst>
            <c:ext xmlns:c16="http://schemas.microsoft.com/office/drawing/2014/chart" uri="{C3380CC4-5D6E-409C-BE32-E72D297353CC}">
              <c16:uniqueId val="{0000000A-5641-41E2-84B9-905006C0021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pivot_tables!$J$3</c:f>
              <c:strCache>
                <c:ptCount val="1"/>
                <c:pt idx="0">
                  <c:v>Total</c:v>
                </c:pt>
              </c:strCache>
            </c:strRef>
          </c:tx>
          <c:spPr>
            <a:solidFill>
              <a:schemeClr val="accent1"/>
            </a:solidFill>
            <a:ln>
              <a:noFill/>
            </a:ln>
            <a:effectLst/>
            <a:sp3d/>
          </c:spPr>
          <c:invertIfNegative val="0"/>
          <c:cat>
            <c:strRef>
              <c:f>pivot_tables!$I$4:$I$82</c:f>
              <c:strCache>
                <c:ptCount val="78"/>
                <c:pt idx="0">
                  <c:v>Adventure Sport</c:v>
                </c:pt>
                <c:pt idx="1">
                  <c:v>Amusement Park</c:v>
                </c:pt>
                <c:pt idx="2">
                  <c:v>Aquarium</c:v>
                </c:pt>
                <c:pt idx="3">
                  <c:v>Beach</c:v>
                </c:pt>
                <c:pt idx="4">
                  <c:v>Bird Sanctuary</c:v>
                </c:pt>
                <c:pt idx="5">
                  <c:v>Border Crossing</c:v>
                </c:pt>
                <c:pt idx="6">
                  <c:v>Botanical Garden</c:v>
                </c:pt>
                <c:pt idx="7">
                  <c:v>Bridge</c:v>
                </c:pt>
                <c:pt idx="8">
                  <c:v>Cave</c:v>
                </c:pt>
                <c:pt idx="9">
                  <c:v>Church</c:v>
                </c:pt>
                <c:pt idx="10">
                  <c:v>Commercial Complex</c:v>
                </c:pt>
                <c:pt idx="11">
                  <c:v>Confluence</c:v>
                </c:pt>
                <c:pt idx="12">
                  <c:v>Cricket Ground</c:v>
                </c:pt>
                <c:pt idx="13">
                  <c:v>Cultural</c:v>
                </c:pt>
                <c:pt idx="14">
                  <c:v>Dam</c:v>
                </c:pt>
                <c:pt idx="15">
                  <c:v>Entertainment</c:v>
                </c:pt>
                <c:pt idx="16">
                  <c:v>Film Studio</c:v>
                </c:pt>
                <c:pt idx="17">
                  <c:v>Fort</c:v>
                </c:pt>
                <c:pt idx="18">
                  <c:v>Ghat</c:v>
                </c:pt>
                <c:pt idx="19">
                  <c:v>Government Building</c:v>
                </c:pt>
                <c:pt idx="20">
                  <c:v>Gravity Hill</c:v>
                </c:pt>
                <c:pt idx="21">
                  <c:v>Gurudwara</c:v>
                </c:pt>
                <c:pt idx="22">
                  <c:v>Hill</c:v>
                </c:pt>
                <c:pt idx="23">
                  <c:v>Historical</c:v>
                </c:pt>
                <c:pt idx="24">
                  <c:v>Island</c:v>
                </c:pt>
                <c:pt idx="25">
                  <c:v>Lake</c:v>
                </c:pt>
                <c:pt idx="26">
                  <c:v>Landmark</c:v>
                </c:pt>
                <c:pt idx="27">
                  <c:v>Mall</c:v>
                </c:pt>
                <c:pt idx="28">
                  <c:v>Market</c:v>
                </c:pt>
                <c:pt idx="29">
                  <c:v>Mausoleum</c:v>
                </c:pt>
                <c:pt idx="30">
                  <c:v>Memorial</c:v>
                </c:pt>
                <c:pt idx="31">
                  <c:v>Monastery</c:v>
                </c:pt>
                <c:pt idx="32">
                  <c:v>Monument</c:v>
                </c:pt>
                <c:pt idx="33">
                  <c:v>Mosque</c:v>
                </c:pt>
                <c:pt idx="34">
                  <c:v>Mountain Peak</c:v>
                </c:pt>
                <c:pt idx="35">
                  <c:v>Museum</c:v>
                </c:pt>
                <c:pt idx="36">
                  <c:v>National Park</c:v>
                </c:pt>
                <c:pt idx="37">
                  <c:v>Natural Feature</c:v>
                </c:pt>
                <c:pt idx="38">
                  <c:v>Observatory</c:v>
                </c:pt>
                <c:pt idx="39">
                  <c:v>Orchard</c:v>
                </c:pt>
                <c:pt idx="40">
                  <c:v>Palace</c:v>
                </c:pt>
                <c:pt idx="41">
                  <c:v>Park</c:v>
                </c:pt>
                <c:pt idx="42">
                  <c:v>Prehistoric Site</c:v>
                </c:pt>
                <c:pt idx="43">
                  <c:v>Promenade</c:v>
                </c:pt>
                <c:pt idx="44">
                  <c:v>Race Track</c:v>
                </c:pt>
                <c:pt idx="45">
                  <c:v>Religious Complex</c:v>
                </c:pt>
                <c:pt idx="46">
                  <c:v>Religious Shrine</c:v>
                </c:pt>
                <c:pt idx="47">
                  <c:v>Religious Site</c:v>
                </c:pt>
                <c:pt idx="48">
                  <c:v>River Island</c:v>
                </c:pt>
                <c:pt idx="49">
                  <c:v>Rock Carvings</c:v>
                </c:pt>
                <c:pt idx="50">
                  <c:v>Scenic Area</c:v>
                </c:pt>
                <c:pt idx="51">
                  <c:v>Scenic Point</c:v>
                </c:pt>
                <c:pt idx="52">
                  <c:v>Science</c:v>
                </c:pt>
                <c:pt idx="53">
                  <c:v>Sculpture Garden</c:v>
                </c:pt>
                <c:pt idx="54">
                  <c:v>Shrine</c:v>
                </c:pt>
                <c:pt idx="55">
                  <c:v>Site</c:v>
                </c:pt>
                <c:pt idx="56">
                  <c:v>Ski Resort</c:v>
                </c:pt>
                <c:pt idx="57">
                  <c:v>Spiritual Center</c:v>
                </c:pt>
                <c:pt idx="58">
                  <c:v>Stepwell</c:v>
                </c:pt>
                <c:pt idx="59">
                  <c:v>Sunrise Point</c:v>
                </c:pt>
                <c:pt idx="60">
                  <c:v>Suspension Bridge</c:v>
                </c:pt>
                <c:pt idx="61">
                  <c:v>Tea Plantation</c:v>
                </c:pt>
                <c:pt idx="62">
                  <c:v>Temple</c:v>
                </c:pt>
                <c:pt idx="63">
                  <c:v>Temples</c:v>
                </c:pt>
                <c:pt idx="64">
                  <c:v>Theme Park</c:v>
                </c:pt>
                <c:pt idx="65">
                  <c:v>Tomb</c:v>
                </c:pt>
                <c:pt idx="66">
                  <c:v>Tombs</c:v>
                </c:pt>
                <c:pt idx="67">
                  <c:v>Township</c:v>
                </c:pt>
                <c:pt idx="68">
                  <c:v>Trekking</c:v>
                </c:pt>
                <c:pt idx="69">
                  <c:v>Urban Development Project</c:v>
                </c:pt>
                <c:pt idx="70">
                  <c:v>Valley</c:v>
                </c:pt>
                <c:pt idx="71">
                  <c:v>Viewpoint</c:v>
                </c:pt>
                <c:pt idx="72">
                  <c:v>Village</c:v>
                </c:pt>
                <c:pt idx="73">
                  <c:v>Vineyard</c:v>
                </c:pt>
                <c:pt idx="74">
                  <c:v>War Memorial</c:v>
                </c:pt>
                <c:pt idx="75">
                  <c:v>Waterfall</c:v>
                </c:pt>
                <c:pt idx="76">
                  <c:v>Wildlife Sanctuary</c:v>
                </c:pt>
                <c:pt idx="77">
                  <c:v>Zoo</c:v>
                </c:pt>
              </c:strCache>
            </c:strRef>
          </c:cat>
          <c:val>
            <c:numRef>
              <c:f>pivot_tables!$J$4:$J$82</c:f>
              <c:numCache>
                <c:formatCode>General</c:formatCode>
                <c:ptCount val="78"/>
                <c:pt idx="0">
                  <c:v>4.8</c:v>
                </c:pt>
                <c:pt idx="1">
                  <c:v>3.6999999999999997</c:v>
                </c:pt>
                <c:pt idx="2">
                  <c:v>3.8</c:v>
                </c:pt>
                <c:pt idx="3">
                  <c:v>4.4160000000000004</c:v>
                </c:pt>
                <c:pt idx="4">
                  <c:v>4.0999999999999996</c:v>
                </c:pt>
                <c:pt idx="5">
                  <c:v>4.8</c:v>
                </c:pt>
                <c:pt idx="6">
                  <c:v>4.4000000000000004</c:v>
                </c:pt>
                <c:pt idx="7">
                  <c:v>4.5999999999999996</c:v>
                </c:pt>
                <c:pt idx="8">
                  <c:v>4.5250000000000004</c:v>
                </c:pt>
                <c:pt idx="9">
                  <c:v>4.5</c:v>
                </c:pt>
                <c:pt idx="10">
                  <c:v>4.7</c:v>
                </c:pt>
                <c:pt idx="11">
                  <c:v>4.5</c:v>
                </c:pt>
                <c:pt idx="12">
                  <c:v>4.0999999999999996</c:v>
                </c:pt>
                <c:pt idx="13">
                  <c:v>4.6500000000000004</c:v>
                </c:pt>
                <c:pt idx="14">
                  <c:v>4.5</c:v>
                </c:pt>
                <c:pt idx="15">
                  <c:v>4.4000000000000004</c:v>
                </c:pt>
                <c:pt idx="16">
                  <c:v>4.4000000000000004</c:v>
                </c:pt>
                <c:pt idx="17">
                  <c:v>4.4590909090909099</c:v>
                </c:pt>
                <c:pt idx="18">
                  <c:v>4.5</c:v>
                </c:pt>
                <c:pt idx="19">
                  <c:v>4.5999999999999996</c:v>
                </c:pt>
                <c:pt idx="20">
                  <c:v>3.7</c:v>
                </c:pt>
                <c:pt idx="21">
                  <c:v>4.7</c:v>
                </c:pt>
                <c:pt idx="22">
                  <c:v>4.3666666666666663</c:v>
                </c:pt>
                <c:pt idx="23">
                  <c:v>4.5999999999999996</c:v>
                </c:pt>
                <c:pt idx="24">
                  <c:v>4.0999999999999996</c:v>
                </c:pt>
                <c:pt idx="25">
                  <c:v>4.3812499999999996</c:v>
                </c:pt>
                <c:pt idx="26">
                  <c:v>4.5999999999999996</c:v>
                </c:pt>
                <c:pt idx="27">
                  <c:v>4.5142857142857142</c:v>
                </c:pt>
                <c:pt idx="28">
                  <c:v>4.3000000000000007</c:v>
                </c:pt>
                <c:pt idx="29">
                  <c:v>4.55</c:v>
                </c:pt>
                <c:pt idx="30">
                  <c:v>4.7333333333333334</c:v>
                </c:pt>
                <c:pt idx="31">
                  <c:v>4.6857142857142859</c:v>
                </c:pt>
                <c:pt idx="32">
                  <c:v>4.5111111111111111</c:v>
                </c:pt>
                <c:pt idx="33">
                  <c:v>4.5</c:v>
                </c:pt>
                <c:pt idx="34">
                  <c:v>4.5</c:v>
                </c:pt>
                <c:pt idx="35">
                  <c:v>4.5181818181818185</c:v>
                </c:pt>
                <c:pt idx="36">
                  <c:v>4.4428571428571422</c:v>
                </c:pt>
                <c:pt idx="37">
                  <c:v>4.5</c:v>
                </c:pt>
                <c:pt idx="38">
                  <c:v>4.2</c:v>
                </c:pt>
                <c:pt idx="39">
                  <c:v>4</c:v>
                </c:pt>
                <c:pt idx="40">
                  <c:v>4.4249999999999998</c:v>
                </c:pt>
                <c:pt idx="41">
                  <c:v>4.4142857142857155</c:v>
                </c:pt>
                <c:pt idx="42">
                  <c:v>4.5999999999999996</c:v>
                </c:pt>
                <c:pt idx="43">
                  <c:v>4.5</c:v>
                </c:pt>
                <c:pt idx="44">
                  <c:v>4.5999999999999996</c:v>
                </c:pt>
                <c:pt idx="45">
                  <c:v>4.7</c:v>
                </c:pt>
                <c:pt idx="46">
                  <c:v>4.4000000000000004</c:v>
                </c:pt>
                <c:pt idx="47">
                  <c:v>4.8499999999999996</c:v>
                </c:pt>
                <c:pt idx="48">
                  <c:v>4.7</c:v>
                </c:pt>
                <c:pt idx="49">
                  <c:v>4.5</c:v>
                </c:pt>
                <c:pt idx="50">
                  <c:v>4.3</c:v>
                </c:pt>
                <c:pt idx="51">
                  <c:v>4.7</c:v>
                </c:pt>
                <c:pt idx="52">
                  <c:v>4.4000000000000004</c:v>
                </c:pt>
                <c:pt idx="53">
                  <c:v>4.5</c:v>
                </c:pt>
                <c:pt idx="54">
                  <c:v>4.5999999999999996</c:v>
                </c:pt>
                <c:pt idx="55">
                  <c:v>4.4833333333333334</c:v>
                </c:pt>
                <c:pt idx="56">
                  <c:v>4.1500000000000004</c:v>
                </c:pt>
                <c:pt idx="57">
                  <c:v>4.7</c:v>
                </c:pt>
                <c:pt idx="58">
                  <c:v>4.2</c:v>
                </c:pt>
                <c:pt idx="59">
                  <c:v>4.5</c:v>
                </c:pt>
                <c:pt idx="60">
                  <c:v>4.4000000000000004</c:v>
                </c:pt>
                <c:pt idx="61">
                  <c:v>4.5999999999999996</c:v>
                </c:pt>
                <c:pt idx="62">
                  <c:v>4.6762711864406761</c:v>
                </c:pt>
                <c:pt idx="63">
                  <c:v>4.7</c:v>
                </c:pt>
                <c:pt idx="64">
                  <c:v>4.0999999999999996</c:v>
                </c:pt>
                <c:pt idx="65">
                  <c:v>4.5</c:v>
                </c:pt>
                <c:pt idx="66">
                  <c:v>4.4000000000000004</c:v>
                </c:pt>
                <c:pt idx="67">
                  <c:v>4.0999999999999996</c:v>
                </c:pt>
                <c:pt idx="68">
                  <c:v>4.8</c:v>
                </c:pt>
                <c:pt idx="69">
                  <c:v>4.5999999999999996</c:v>
                </c:pt>
                <c:pt idx="70">
                  <c:v>4.4999999999999991</c:v>
                </c:pt>
                <c:pt idx="71">
                  <c:v>4.4666666666666668</c:v>
                </c:pt>
                <c:pt idx="72">
                  <c:v>4.0999999999999996</c:v>
                </c:pt>
                <c:pt idx="73">
                  <c:v>4.0999999999999996</c:v>
                </c:pt>
                <c:pt idx="74">
                  <c:v>4.6999999999999993</c:v>
                </c:pt>
                <c:pt idx="75">
                  <c:v>4.4363636363636365</c:v>
                </c:pt>
                <c:pt idx="76">
                  <c:v>4.4499999999999993</c:v>
                </c:pt>
                <c:pt idx="77">
                  <c:v>4.2285714285714286</c:v>
                </c:pt>
              </c:numCache>
            </c:numRef>
          </c:val>
          <c:extLst>
            <c:ext xmlns:c16="http://schemas.microsoft.com/office/drawing/2014/chart" uri="{C3380CC4-5D6E-409C-BE32-E72D297353CC}">
              <c16:uniqueId val="{00000000-502D-4E61-B048-1C029962086E}"/>
            </c:ext>
          </c:extLst>
        </c:ser>
        <c:dLbls>
          <c:showLegendKey val="0"/>
          <c:showVal val="0"/>
          <c:showCatName val="0"/>
          <c:showSerName val="0"/>
          <c:showPercent val="0"/>
          <c:showBubbleSize val="0"/>
        </c:dLbls>
        <c:gapWidth val="150"/>
        <c:shape val="box"/>
        <c:axId val="1714059695"/>
        <c:axId val="1714076975"/>
        <c:axId val="0"/>
      </c:bar3DChart>
      <c:catAx>
        <c:axId val="171405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76975"/>
        <c:crosses val="autoZero"/>
        <c:auto val="1"/>
        <c:lblAlgn val="ctr"/>
        <c:lblOffset val="100"/>
        <c:noMultiLvlLbl val="0"/>
      </c:catAx>
      <c:valAx>
        <c:axId val="171407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05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sprint_1_Anudip.xlsx]pivot_tables!PivotTable10</c:name>
    <c:fmtId val="1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pivot_tables!$M$3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74-49F1-BE3F-96226EA3232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74-49F1-BE3F-96226EA323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pivot_tables!$L$4:$L$6</c:f>
              <c:strCache>
                <c:ptCount val="2"/>
                <c:pt idx="0">
                  <c:v>Free</c:v>
                </c:pt>
                <c:pt idx="1">
                  <c:v>Paid</c:v>
                </c:pt>
              </c:strCache>
            </c:strRef>
          </c:cat>
          <c:val>
            <c:numRef>
              <c:f>pivot_tables!$M$4:$M$6</c:f>
              <c:numCache>
                <c:formatCode>General</c:formatCode>
                <c:ptCount val="2"/>
                <c:pt idx="0">
                  <c:v>183</c:v>
                </c:pt>
                <c:pt idx="1">
                  <c:v>142</c:v>
                </c:pt>
              </c:numCache>
            </c:numRef>
          </c:val>
          <c:extLst>
            <c:ext xmlns:c16="http://schemas.microsoft.com/office/drawing/2014/chart" uri="{C3380CC4-5D6E-409C-BE32-E72D297353CC}">
              <c16:uniqueId val="{00000004-9D74-49F1-BE3F-96226EA3232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sprint_1_Anudip.xlsx]pivot_tables!PivotTable12</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marker>
          <c:symbol val="none"/>
        </c:marker>
        <c:dLbl>
          <c:idx val="0"/>
          <c:spPr>
            <a:solidFill>
              <a:sysClr val="window" lastClr="FFFFFF">
                <a:alpha val="90000"/>
              </a:sysClr>
            </a:solidFill>
            <a:ln w="12700" cap="flat" cmpd="sng" algn="ctr">
              <a:solidFill>
                <a:srgbClr val="F07F09"/>
              </a:solidFill>
              <a:round/>
            </a:ln>
            <a:effectLst>
              <a:outerShdw blurRad="50800" dist="38100" dir="2700000" algn="tl" rotWithShape="0">
                <a:srgbClr val="F07F0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1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11"/>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pivot_tables!$S$3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88C-447D-92D3-7E1E2A1DA19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88C-447D-92D3-7E1E2A1DA19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D88C-447D-92D3-7E1E2A1DA19D}"/>
              </c:ext>
            </c:extLst>
          </c:dPt>
          <c:dLbls>
            <c:spPr>
              <a:solidFill>
                <a:sysClr val="window" lastClr="FFFFFF">
                  <a:alpha val="90000"/>
                </a:sysClr>
              </a:solidFill>
              <a:ln w="12700" cap="flat" cmpd="sng" algn="ctr">
                <a:solidFill>
                  <a:srgbClr val="F07F09"/>
                </a:solidFill>
                <a:round/>
              </a:ln>
              <a:effectLst>
                <a:outerShdw blurRad="50800" dist="38100" dir="2700000" algn="tl" rotWithShape="0">
                  <a:srgbClr val="F07F0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pivot_tables!$R$4:$R$7</c:f>
              <c:strCache>
                <c:ptCount val="3"/>
                <c:pt idx="0">
                  <c:v>High Traffic</c:v>
                </c:pt>
                <c:pt idx="1">
                  <c:v>Low Traffic</c:v>
                </c:pt>
                <c:pt idx="2">
                  <c:v>Medium Traffic</c:v>
                </c:pt>
              </c:strCache>
            </c:strRef>
          </c:cat>
          <c:val>
            <c:numRef>
              <c:f>pivot_tables!$S$4:$S$7</c:f>
              <c:numCache>
                <c:formatCode>General</c:formatCode>
                <c:ptCount val="3"/>
                <c:pt idx="0">
                  <c:v>19</c:v>
                </c:pt>
                <c:pt idx="1">
                  <c:v>220</c:v>
                </c:pt>
                <c:pt idx="2">
                  <c:v>86</c:v>
                </c:pt>
              </c:numCache>
            </c:numRef>
          </c:val>
          <c:extLst>
            <c:ext xmlns:c16="http://schemas.microsoft.com/office/drawing/2014/chart" uri="{C3380CC4-5D6E-409C-BE32-E72D297353CC}">
              <c16:uniqueId val="{00000006-D88C-447D-92D3-7E1E2A1DA19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pivot_tables!$V$3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pivot_tables!$U$4:$U$11</c:f>
              <c:strCache>
                <c:ptCount val="7"/>
                <c:pt idx="0">
                  <c:v>Afternoon</c:v>
                </c:pt>
                <c:pt idx="1">
                  <c:v>All</c:v>
                </c:pt>
                <c:pt idx="2">
                  <c:v>All </c:v>
                </c:pt>
                <c:pt idx="3">
                  <c:v>Anytime</c:v>
                </c:pt>
                <c:pt idx="4">
                  <c:v>Evening</c:v>
                </c:pt>
                <c:pt idx="5">
                  <c:v>Morning</c:v>
                </c:pt>
                <c:pt idx="6">
                  <c:v>Night</c:v>
                </c:pt>
              </c:strCache>
            </c:strRef>
          </c:cat>
          <c:val>
            <c:numRef>
              <c:f>pivot_tables!$V$4:$V$11</c:f>
              <c:numCache>
                <c:formatCode>General</c:formatCode>
                <c:ptCount val="7"/>
                <c:pt idx="0">
                  <c:v>44</c:v>
                </c:pt>
                <c:pt idx="1">
                  <c:v>164</c:v>
                </c:pt>
                <c:pt idx="2">
                  <c:v>1</c:v>
                </c:pt>
                <c:pt idx="3">
                  <c:v>1</c:v>
                </c:pt>
                <c:pt idx="4">
                  <c:v>26</c:v>
                </c:pt>
                <c:pt idx="5">
                  <c:v>88</c:v>
                </c:pt>
                <c:pt idx="6">
                  <c:v>1</c:v>
                </c:pt>
              </c:numCache>
            </c:numRef>
          </c:val>
          <c:extLst>
            <c:ext xmlns:c16="http://schemas.microsoft.com/office/drawing/2014/chart" uri="{C3380CC4-5D6E-409C-BE32-E72D297353CC}">
              <c16:uniqueId val="{00000000-9C6C-4514-A239-E72DC07A7062}"/>
            </c:ext>
          </c:extLst>
        </c:ser>
        <c:dLbls>
          <c:showLegendKey val="0"/>
          <c:showVal val="0"/>
          <c:showCatName val="0"/>
          <c:showSerName val="0"/>
          <c:showPercent val="0"/>
          <c:showBubbleSize val="0"/>
        </c:dLbls>
        <c:gapWidth val="150"/>
        <c:shape val="box"/>
        <c:axId val="117484671"/>
        <c:axId val="117491391"/>
        <c:axId val="0"/>
      </c:bar3DChart>
      <c:catAx>
        <c:axId val="117484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1391"/>
        <c:crosses val="autoZero"/>
        <c:auto val="1"/>
        <c:lblAlgn val="ctr"/>
        <c:lblOffset val="100"/>
        <c:noMultiLvlLbl val="0"/>
      </c:catAx>
      <c:valAx>
        <c:axId val="11749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sprint_1_Anudip.xlsx]pivot_tables!PivotTable14</c:name>
    <c:fmtId val="1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pivot_tables!$Y$3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pivot_tables!$X$4:$X$15</c:f>
              <c:strCache>
                <c:ptCount val="11"/>
                <c:pt idx="0">
                  <c:v>Buddh International Circuit</c:v>
                </c:pt>
                <c:pt idx="1">
                  <c:v>Charminar</c:v>
                </c:pt>
                <c:pt idx="2">
                  <c:v>Chittorgarh Fort</c:v>
                </c:pt>
                <c:pt idx="3">
                  <c:v>Gateway of India</c:v>
                </c:pt>
                <c:pt idx="4">
                  <c:v>Golden Temple (Harmandir Sahib)</c:v>
                </c:pt>
                <c:pt idx="5">
                  <c:v>India Gate</c:v>
                </c:pt>
                <c:pt idx="6">
                  <c:v>Kedarnath</c:v>
                </c:pt>
                <c:pt idx="7">
                  <c:v>LuLu International Shopping Mall</c:v>
                </c:pt>
                <c:pt idx="8">
                  <c:v>Mysore Palace</c:v>
                </c:pt>
                <c:pt idx="9">
                  <c:v>Taj Mahal</c:v>
                </c:pt>
                <c:pt idx="10">
                  <c:v>Wayanad Wildlife Sanctuary</c:v>
                </c:pt>
              </c:strCache>
            </c:strRef>
          </c:cat>
          <c:val>
            <c:numRef>
              <c:f>pivot_tables!$Y$4:$Y$15</c:f>
              <c:numCache>
                <c:formatCode>General</c:formatCode>
                <c:ptCount val="11"/>
                <c:pt idx="0">
                  <c:v>1</c:v>
                </c:pt>
                <c:pt idx="1">
                  <c:v>7</c:v>
                </c:pt>
                <c:pt idx="2">
                  <c:v>9</c:v>
                </c:pt>
                <c:pt idx="3">
                  <c:v>2</c:v>
                </c:pt>
                <c:pt idx="4">
                  <c:v>9</c:v>
                </c:pt>
                <c:pt idx="5">
                  <c:v>3</c:v>
                </c:pt>
                <c:pt idx="6">
                  <c:v>8</c:v>
                </c:pt>
                <c:pt idx="7">
                  <c:v>9</c:v>
                </c:pt>
                <c:pt idx="8">
                  <c:v>4</c:v>
                </c:pt>
                <c:pt idx="9">
                  <c:v>5</c:v>
                </c:pt>
                <c:pt idx="10">
                  <c:v>6</c:v>
                </c:pt>
              </c:numCache>
            </c:numRef>
          </c:val>
          <c:extLst>
            <c:ext xmlns:c16="http://schemas.microsoft.com/office/drawing/2014/chart" uri="{C3380CC4-5D6E-409C-BE32-E72D297353CC}">
              <c16:uniqueId val="{00000000-EDBB-4B5A-B1B7-C8F5D8C0A71A}"/>
            </c:ext>
          </c:extLst>
        </c:ser>
        <c:dLbls>
          <c:dLblPos val="ctr"/>
          <c:showLegendKey val="0"/>
          <c:showVal val="1"/>
          <c:showCatName val="0"/>
          <c:showSerName val="0"/>
          <c:showPercent val="0"/>
          <c:showBubbleSize val="0"/>
        </c:dLbls>
        <c:gapWidth val="79"/>
        <c:overlap val="100"/>
        <c:axId val="117509151"/>
        <c:axId val="117505791"/>
      </c:barChart>
      <c:catAx>
        <c:axId val="11750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7505791"/>
        <c:crosses val="autoZero"/>
        <c:auto val="1"/>
        <c:lblAlgn val="ctr"/>
        <c:lblOffset val="100"/>
        <c:noMultiLvlLbl val="0"/>
      </c:catAx>
      <c:valAx>
        <c:axId val="117505791"/>
        <c:scaling>
          <c:orientation val="minMax"/>
        </c:scaling>
        <c:delete val="1"/>
        <c:axPos val="b"/>
        <c:numFmt formatCode="General" sourceLinked="1"/>
        <c:majorTickMark val="none"/>
        <c:minorTickMark val="none"/>
        <c:tickLblPos val="nextTo"/>
        <c:crossAx val="1175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sprint_1_Anudip.xlsx]pivot_tables!PivotTable17</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pivot_tables!$AE$3:$AE$4</c:f>
              <c:strCache>
                <c:ptCount val="1"/>
                <c:pt idx="0">
                  <c:v>Accessible</c:v>
                </c:pt>
              </c:strCache>
            </c:strRef>
          </c:tx>
          <c:spPr>
            <a:solidFill>
              <a:schemeClr val="accent1"/>
            </a:solidFill>
            <a:ln>
              <a:noFill/>
            </a:ln>
            <a:effectLst/>
            <a:sp3d/>
          </c:spPr>
          <c:invertIfNegative val="0"/>
          <c:cat>
            <c:strRef>
              <c:f>pivot_tables!$AD$5:$AD$15</c:f>
              <c:strCache>
                <c:ptCount val="10"/>
                <c:pt idx="0">
                  <c:v>Andhra Pradesh</c:v>
                </c:pt>
                <c:pt idx="1">
                  <c:v>Delhi</c:v>
                </c:pt>
                <c:pt idx="2">
                  <c:v>Himachal Pradesh</c:v>
                </c:pt>
                <c:pt idx="3">
                  <c:v>Karnataka</c:v>
                </c:pt>
                <c:pt idx="4">
                  <c:v>Kerala</c:v>
                </c:pt>
                <c:pt idx="5">
                  <c:v>Madhya Pradesh</c:v>
                </c:pt>
                <c:pt idx="6">
                  <c:v>Maharastra</c:v>
                </c:pt>
                <c:pt idx="7">
                  <c:v>Rajasthan</c:v>
                </c:pt>
                <c:pt idx="8">
                  <c:v>Uttar Pradesh</c:v>
                </c:pt>
                <c:pt idx="9">
                  <c:v>West Bengal</c:v>
                </c:pt>
              </c:strCache>
            </c:strRef>
          </c:cat>
          <c:val>
            <c:numRef>
              <c:f>pivot_tables!$AE$5:$AE$15</c:f>
              <c:numCache>
                <c:formatCode>General</c:formatCode>
                <c:ptCount val="10"/>
                <c:pt idx="0">
                  <c:v>14</c:v>
                </c:pt>
                <c:pt idx="1">
                  <c:v>19</c:v>
                </c:pt>
                <c:pt idx="2">
                  <c:v>7</c:v>
                </c:pt>
                <c:pt idx="3">
                  <c:v>10</c:v>
                </c:pt>
                <c:pt idx="4">
                  <c:v>11</c:v>
                </c:pt>
                <c:pt idx="5">
                  <c:v>5</c:v>
                </c:pt>
                <c:pt idx="6">
                  <c:v>18</c:v>
                </c:pt>
                <c:pt idx="7">
                  <c:v>10</c:v>
                </c:pt>
                <c:pt idx="8">
                  <c:v>23</c:v>
                </c:pt>
                <c:pt idx="9">
                  <c:v>16</c:v>
                </c:pt>
              </c:numCache>
            </c:numRef>
          </c:val>
          <c:extLst>
            <c:ext xmlns:c16="http://schemas.microsoft.com/office/drawing/2014/chart" uri="{C3380CC4-5D6E-409C-BE32-E72D297353CC}">
              <c16:uniqueId val="{00000000-1AFF-45C7-B371-2BE4811A00E7}"/>
            </c:ext>
          </c:extLst>
        </c:ser>
        <c:ser>
          <c:idx val="1"/>
          <c:order val="1"/>
          <c:tx>
            <c:strRef>
              <c:f>pivot_tables!$AF$3:$AF$4</c:f>
              <c:strCache>
                <c:ptCount val="1"/>
                <c:pt idx="0">
                  <c:v>Remote</c:v>
                </c:pt>
              </c:strCache>
            </c:strRef>
          </c:tx>
          <c:spPr>
            <a:solidFill>
              <a:schemeClr val="accent2"/>
            </a:solidFill>
            <a:ln>
              <a:noFill/>
            </a:ln>
            <a:effectLst/>
            <a:sp3d/>
          </c:spPr>
          <c:invertIfNegative val="0"/>
          <c:cat>
            <c:strRef>
              <c:f>pivot_tables!$AD$5:$AD$15</c:f>
              <c:strCache>
                <c:ptCount val="10"/>
                <c:pt idx="0">
                  <c:v>Andhra Pradesh</c:v>
                </c:pt>
                <c:pt idx="1">
                  <c:v>Delhi</c:v>
                </c:pt>
                <c:pt idx="2">
                  <c:v>Himachal Pradesh</c:v>
                </c:pt>
                <c:pt idx="3">
                  <c:v>Karnataka</c:v>
                </c:pt>
                <c:pt idx="4">
                  <c:v>Kerala</c:v>
                </c:pt>
                <c:pt idx="5">
                  <c:v>Madhya Pradesh</c:v>
                </c:pt>
                <c:pt idx="6">
                  <c:v>Maharastra</c:v>
                </c:pt>
                <c:pt idx="7">
                  <c:v>Rajasthan</c:v>
                </c:pt>
                <c:pt idx="8">
                  <c:v>Uttar Pradesh</c:v>
                </c:pt>
                <c:pt idx="9">
                  <c:v>West Bengal</c:v>
                </c:pt>
              </c:strCache>
            </c:strRef>
          </c:cat>
          <c:val>
            <c:numRef>
              <c:f>pivot_tables!$AF$5:$AF$15</c:f>
              <c:numCache>
                <c:formatCode>General</c:formatCode>
                <c:ptCount val="10"/>
                <c:pt idx="0">
                  <c:v>4</c:v>
                </c:pt>
                <c:pt idx="2">
                  <c:v>11</c:v>
                </c:pt>
                <c:pt idx="3">
                  <c:v>9</c:v>
                </c:pt>
                <c:pt idx="4">
                  <c:v>5</c:v>
                </c:pt>
                <c:pt idx="5">
                  <c:v>10</c:v>
                </c:pt>
                <c:pt idx="6">
                  <c:v>2</c:v>
                </c:pt>
                <c:pt idx="7">
                  <c:v>5</c:v>
                </c:pt>
                <c:pt idx="9">
                  <c:v>4</c:v>
                </c:pt>
              </c:numCache>
            </c:numRef>
          </c:val>
          <c:extLst>
            <c:ext xmlns:c16="http://schemas.microsoft.com/office/drawing/2014/chart" uri="{C3380CC4-5D6E-409C-BE32-E72D297353CC}">
              <c16:uniqueId val="{00000001-1AFF-45C7-B371-2BE4811A00E7}"/>
            </c:ext>
          </c:extLst>
        </c:ser>
        <c:dLbls>
          <c:showLegendKey val="0"/>
          <c:showVal val="0"/>
          <c:showCatName val="0"/>
          <c:showSerName val="0"/>
          <c:showPercent val="0"/>
          <c:showBubbleSize val="0"/>
        </c:dLbls>
        <c:gapWidth val="150"/>
        <c:shape val="box"/>
        <c:axId val="250158047"/>
        <c:axId val="250159487"/>
        <c:axId val="0"/>
      </c:bar3DChart>
      <c:catAx>
        <c:axId val="25015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59487"/>
        <c:crosses val="autoZero"/>
        <c:auto val="1"/>
        <c:lblAlgn val="ctr"/>
        <c:lblOffset val="100"/>
        <c:noMultiLvlLbl val="0"/>
      </c:catAx>
      <c:valAx>
        <c:axId val="25015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5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sprint_1_Anudip.xlsx]pivot_tables!PivotTable7</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pivot_tables!$D$3</c:f>
              <c:strCache>
                <c:ptCount val="1"/>
                <c:pt idx="0">
                  <c:v>Total</c:v>
                </c:pt>
              </c:strCache>
            </c:strRef>
          </c:tx>
          <c:spPr>
            <a:solidFill>
              <a:schemeClr val="accent1"/>
            </a:solidFill>
            <a:ln>
              <a:noFill/>
            </a:ln>
            <a:effectLst/>
            <a:sp3d/>
          </c:spPr>
          <c:invertIfNegative val="0"/>
          <c:cat>
            <c:strRef>
              <c:f>pivot_tables!$C$4:$C$37</c:f>
              <c:strCache>
                <c:ptCount val="33"/>
                <c:pt idx="0">
                  <c:v>Andaman and Nicobar Islands</c:v>
                </c:pt>
                <c:pt idx="1">
                  <c:v>Andhra Pradesh</c:v>
                </c:pt>
                <c:pt idx="2">
                  <c:v>Arunachal Pradesh</c:v>
                </c:pt>
                <c:pt idx="3">
                  <c:v>Assam</c:v>
                </c:pt>
                <c:pt idx="4">
                  <c:v>Bihar</c:v>
                </c:pt>
                <c:pt idx="5">
                  <c:v>Chhattisgarh</c:v>
                </c:pt>
                <c:pt idx="6">
                  <c:v>Daman and Diu</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Maharastra</c:v>
                </c:pt>
                <c:pt idx="20">
                  <c:v>Meghalaya</c:v>
                </c:pt>
                <c:pt idx="21">
                  <c:v>Nagaland</c:v>
                </c:pt>
                <c:pt idx="22">
                  <c:v>Odisha</c:v>
                </c:pt>
                <c:pt idx="23">
                  <c:v>Puducherry</c:v>
                </c:pt>
                <c:pt idx="24">
                  <c:v>Punjab</c:v>
                </c:pt>
                <c:pt idx="25">
                  <c:v>Rajasthan</c:v>
                </c:pt>
                <c:pt idx="26">
                  <c:v>Sikkim</c:v>
                </c:pt>
                <c:pt idx="27">
                  <c:v>Tamil Nadu</c:v>
                </c:pt>
                <c:pt idx="28">
                  <c:v>Telangana</c:v>
                </c:pt>
                <c:pt idx="29">
                  <c:v>Tripura</c:v>
                </c:pt>
                <c:pt idx="30">
                  <c:v>Uttar Pradesh</c:v>
                </c:pt>
                <c:pt idx="31">
                  <c:v>Uttarakhand</c:v>
                </c:pt>
                <c:pt idx="32">
                  <c:v>West Bengal</c:v>
                </c:pt>
              </c:strCache>
            </c:strRef>
          </c:cat>
          <c:val>
            <c:numRef>
              <c:f>pivot_tables!$D$4:$D$37</c:f>
              <c:numCache>
                <c:formatCode>General</c:formatCode>
                <c:ptCount val="33"/>
                <c:pt idx="0">
                  <c:v>4</c:v>
                </c:pt>
                <c:pt idx="1">
                  <c:v>18</c:v>
                </c:pt>
                <c:pt idx="2">
                  <c:v>1</c:v>
                </c:pt>
                <c:pt idx="3">
                  <c:v>8</c:v>
                </c:pt>
                <c:pt idx="4">
                  <c:v>4</c:v>
                </c:pt>
                <c:pt idx="5">
                  <c:v>1</c:v>
                </c:pt>
                <c:pt idx="6">
                  <c:v>2</c:v>
                </c:pt>
                <c:pt idx="7">
                  <c:v>19</c:v>
                </c:pt>
                <c:pt idx="8">
                  <c:v>14</c:v>
                </c:pt>
                <c:pt idx="9">
                  <c:v>14</c:v>
                </c:pt>
                <c:pt idx="10">
                  <c:v>3</c:v>
                </c:pt>
                <c:pt idx="11">
                  <c:v>18</c:v>
                </c:pt>
                <c:pt idx="12">
                  <c:v>6</c:v>
                </c:pt>
                <c:pt idx="13">
                  <c:v>2</c:v>
                </c:pt>
                <c:pt idx="14">
                  <c:v>19</c:v>
                </c:pt>
                <c:pt idx="15">
                  <c:v>16</c:v>
                </c:pt>
                <c:pt idx="16">
                  <c:v>10</c:v>
                </c:pt>
                <c:pt idx="17">
                  <c:v>15</c:v>
                </c:pt>
                <c:pt idx="18">
                  <c:v>4</c:v>
                </c:pt>
                <c:pt idx="19">
                  <c:v>20</c:v>
                </c:pt>
                <c:pt idx="20">
                  <c:v>1</c:v>
                </c:pt>
                <c:pt idx="21">
                  <c:v>1</c:v>
                </c:pt>
                <c:pt idx="22">
                  <c:v>12</c:v>
                </c:pt>
                <c:pt idx="23">
                  <c:v>3</c:v>
                </c:pt>
                <c:pt idx="24">
                  <c:v>4</c:v>
                </c:pt>
                <c:pt idx="25">
                  <c:v>15</c:v>
                </c:pt>
                <c:pt idx="26">
                  <c:v>7</c:v>
                </c:pt>
                <c:pt idx="27">
                  <c:v>13</c:v>
                </c:pt>
                <c:pt idx="28">
                  <c:v>11</c:v>
                </c:pt>
                <c:pt idx="29">
                  <c:v>3</c:v>
                </c:pt>
                <c:pt idx="30">
                  <c:v>23</c:v>
                </c:pt>
                <c:pt idx="31">
                  <c:v>14</c:v>
                </c:pt>
                <c:pt idx="32">
                  <c:v>20</c:v>
                </c:pt>
              </c:numCache>
            </c:numRef>
          </c:val>
          <c:extLst>
            <c:ext xmlns:c16="http://schemas.microsoft.com/office/drawing/2014/chart" uri="{C3380CC4-5D6E-409C-BE32-E72D297353CC}">
              <c16:uniqueId val="{00000000-E05F-4EEE-8BDF-A551AAEAC90F}"/>
            </c:ext>
          </c:extLst>
        </c:ser>
        <c:dLbls>
          <c:showLegendKey val="0"/>
          <c:showVal val="0"/>
          <c:showCatName val="0"/>
          <c:showSerName val="0"/>
          <c:showPercent val="0"/>
          <c:showBubbleSize val="0"/>
        </c:dLbls>
        <c:gapWidth val="150"/>
        <c:shape val="box"/>
        <c:axId val="2023360927"/>
        <c:axId val="2023354687"/>
        <c:axId val="0"/>
      </c:bar3DChart>
      <c:catAx>
        <c:axId val="20233609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3354687"/>
        <c:crosses val="autoZero"/>
        <c:auto val="1"/>
        <c:lblAlgn val="ctr"/>
        <c:lblOffset val="100"/>
        <c:noMultiLvlLbl val="0"/>
      </c:catAx>
      <c:valAx>
        <c:axId val="202335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336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sprint_1_Anudip.xlsx]pivot_tables!PivotTable8</c:name>
    <c:fmtId val="1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4"/>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7"/>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9"/>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0"/>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1"/>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2"/>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3"/>
        <c:spPr>
          <a:solidFill>
            <a:schemeClr val="accent1"/>
          </a:solidFill>
          <a:ln w="19050">
            <a:solidFill>
              <a:schemeClr val="lt1"/>
            </a:solidFill>
          </a:ln>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5"/>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6"/>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7"/>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8"/>
        <c:spPr>
          <a:solidFill>
            <a:schemeClr val="accent1"/>
          </a:solidFill>
          <a:ln w="19050">
            <a:solidFill>
              <a:schemeClr val="lt1"/>
            </a:solidFill>
          </a:ln>
          <a:effectLst/>
          <a:scene3d>
            <a:camera prst="orthographicFront"/>
            <a:lightRig rig="brightRoom" dir="t"/>
          </a:scene3d>
          <a:sp3d contourW="19050">
            <a:contourClr>
              <a:schemeClr val="lt1"/>
            </a:contourClr>
          </a:sp3d>
        </c:spPr>
      </c:pivotFmt>
      <c:pivotFmt>
        <c:idx val="19"/>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a:sp3d contourW="19050">
            <a:contourClr>
              <a:schemeClr val="lt1"/>
            </a:contourClr>
          </a:sp3d>
        </c:spPr>
      </c:pivotFmt>
      <c:pivotFmt>
        <c:idx val="21"/>
        <c:spPr>
          <a:solidFill>
            <a:schemeClr val="accent1"/>
          </a:solidFill>
          <a:ln w="19050">
            <a:solidFill>
              <a:schemeClr val="lt1"/>
            </a:solidFill>
          </a:ln>
          <a:effectLst/>
          <a:sp3d contourW="19050">
            <a:contourClr>
              <a:schemeClr val="lt1"/>
            </a:contourClr>
          </a:sp3d>
        </c:spPr>
      </c:pivotFmt>
      <c:pivotFmt>
        <c:idx val="22"/>
        <c:spPr>
          <a:solidFill>
            <a:schemeClr val="accent1"/>
          </a:solidFill>
          <a:ln w="19050">
            <a:solidFill>
              <a:schemeClr val="lt1"/>
            </a:solidFill>
          </a:ln>
          <a:effectLst/>
          <a:sp3d contourW="19050">
            <a:contourClr>
              <a:schemeClr val="lt1"/>
            </a:contourClr>
          </a:sp3d>
        </c:spPr>
      </c:pivotFmt>
      <c:pivotFmt>
        <c:idx val="23"/>
        <c:spPr>
          <a:solidFill>
            <a:schemeClr val="accent1"/>
          </a:solidFill>
          <a:ln w="19050">
            <a:solidFill>
              <a:schemeClr val="lt1"/>
            </a:solidFill>
          </a:ln>
          <a:effectLst/>
          <a:sp3d contourW="19050">
            <a:contourClr>
              <a:schemeClr val="lt1"/>
            </a:contourClr>
          </a:sp3d>
        </c:spPr>
      </c:pivotFmt>
      <c:pivotFmt>
        <c:idx val="24"/>
        <c:spPr>
          <a:solidFill>
            <a:schemeClr val="accent1"/>
          </a:solidFill>
          <a:ln w="19050">
            <a:solidFill>
              <a:schemeClr val="lt1"/>
            </a:solidFill>
          </a:ln>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pivot_tables!$G$3</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00B5-4C0D-B401-BE8ADCF93DB2}"/>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00B5-4C0D-B401-BE8ADCF93DB2}"/>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00B5-4C0D-B401-BE8ADCF93DB2}"/>
              </c:ext>
            </c:extLst>
          </c:dPt>
          <c:dPt>
            <c:idx val="3"/>
            <c:bubble3D val="0"/>
            <c:spPr>
              <a:solidFill>
                <a:schemeClr val="accent4"/>
              </a:solidFill>
              <a:ln w="19050">
                <a:solidFill>
                  <a:schemeClr val="lt1"/>
                </a:solidFill>
              </a:ln>
              <a:effectLst/>
              <a:sp3d contourW="19050">
                <a:contourClr>
                  <a:schemeClr val="lt1"/>
                </a:contourClr>
              </a:sp3d>
            </c:spPr>
            <c:extLst>
              <c:ext xmlns:c16="http://schemas.microsoft.com/office/drawing/2014/chart" uri="{C3380CC4-5D6E-409C-BE32-E72D297353CC}">
                <c16:uniqueId val="{00000007-00B5-4C0D-B401-BE8ADCF93DB2}"/>
              </c:ext>
            </c:extLst>
          </c:dPt>
          <c:dPt>
            <c:idx val="4"/>
            <c:bubble3D val="0"/>
            <c:spPr>
              <a:solidFill>
                <a:schemeClr val="accent5"/>
              </a:solidFill>
              <a:ln w="19050">
                <a:solidFill>
                  <a:schemeClr val="lt1"/>
                </a:solidFill>
              </a:ln>
              <a:effectLst/>
              <a:sp3d contourW="19050">
                <a:contourClr>
                  <a:schemeClr val="lt1"/>
                </a:contourClr>
              </a:sp3d>
            </c:spPr>
            <c:extLst>
              <c:ext xmlns:c16="http://schemas.microsoft.com/office/drawing/2014/chart" uri="{C3380CC4-5D6E-409C-BE32-E72D297353CC}">
                <c16:uniqueId val="{00000009-00B5-4C0D-B401-BE8ADCF93D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pivot_tables!$F$4:$F$9</c:f>
              <c:strCache>
                <c:ptCount val="5"/>
                <c:pt idx="0">
                  <c:v>Heritage &amp; Culture</c:v>
                </c:pt>
                <c:pt idx="1">
                  <c:v>Leisure &amp; Commerce</c:v>
                </c:pt>
                <c:pt idx="2">
                  <c:v>Nature &amp; Wildlife</c:v>
                </c:pt>
                <c:pt idx="3">
                  <c:v>Other</c:v>
                </c:pt>
                <c:pt idx="4">
                  <c:v>Science &amp; Education</c:v>
                </c:pt>
              </c:strCache>
            </c:strRef>
          </c:cat>
          <c:val>
            <c:numRef>
              <c:f>pivot_tables!$G$4:$G$9</c:f>
              <c:numCache>
                <c:formatCode>General</c:formatCode>
                <c:ptCount val="5"/>
                <c:pt idx="0">
                  <c:v>159</c:v>
                </c:pt>
                <c:pt idx="1">
                  <c:v>36</c:v>
                </c:pt>
                <c:pt idx="2">
                  <c:v>91</c:v>
                </c:pt>
                <c:pt idx="3">
                  <c:v>37</c:v>
                </c:pt>
                <c:pt idx="4">
                  <c:v>2</c:v>
                </c:pt>
              </c:numCache>
            </c:numRef>
          </c:val>
          <c:extLst>
            <c:ext xmlns:c16="http://schemas.microsoft.com/office/drawing/2014/chart" uri="{C3380CC4-5D6E-409C-BE32-E72D297353CC}">
              <c16:uniqueId val="{0000000A-00B5-4C0D-B401-BE8ADCF93DB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sprint_1_Anudip.xlsx]pivot_tables!PivotTable12</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pivot_tables!$S$3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02A-4AA7-9282-E8CA8ECA78A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02A-4AA7-9282-E8CA8ECA78A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02A-4AA7-9282-E8CA8ECA78A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pivot_tables!$R$4:$R$7</c:f>
              <c:strCache>
                <c:ptCount val="3"/>
                <c:pt idx="0">
                  <c:v>High Traffic</c:v>
                </c:pt>
                <c:pt idx="1">
                  <c:v>Low Traffic</c:v>
                </c:pt>
                <c:pt idx="2">
                  <c:v>Medium Traffic</c:v>
                </c:pt>
              </c:strCache>
            </c:strRef>
          </c:cat>
          <c:val>
            <c:numRef>
              <c:f>pivot_tables!$S$4:$S$7</c:f>
              <c:numCache>
                <c:formatCode>General</c:formatCode>
                <c:ptCount val="3"/>
                <c:pt idx="0">
                  <c:v>19</c:v>
                </c:pt>
                <c:pt idx="1">
                  <c:v>220</c:v>
                </c:pt>
                <c:pt idx="2">
                  <c:v>86</c:v>
                </c:pt>
              </c:numCache>
            </c:numRef>
          </c:val>
          <c:extLst>
            <c:ext xmlns:c16="http://schemas.microsoft.com/office/drawing/2014/chart" uri="{C3380CC4-5D6E-409C-BE32-E72D297353CC}">
              <c16:uniqueId val="{00000006-702A-4AA7-9282-E8CA8ECA78A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sprint_1_Anudip.xlsx]pivot_tables!PivotTable13</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pivot_tables!$V$3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pivot_tables!$U$4:$U$11</c:f>
              <c:strCache>
                <c:ptCount val="7"/>
                <c:pt idx="0">
                  <c:v>Afternoon</c:v>
                </c:pt>
                <c:pt idx="1">
                  <c:v>All</c:v>
                </c:pt>
                <c:pt idx="2">
                  <c:v>All </c:v>
                </c:pt>
                <c:pt idx="3">
                  <c:v>Anytime</c:v>
                </c:pt>
                <c:pt idx="4">
                  <c:v>Evening</c:v>
                </c:pt>
                <c:pt idx="5">
                  <c:v>Morning</c:v>
                </c:pt>
                <c:pt idx="6">
                  <c:v>Night</c:v>
                </c:pt>
              </c:strCache>
            </c:strRef>
          </c:cat>
          <c:val>
            <c:numRef>
              <c:f>pivot_tables!$V$4:$V$11</c:f>
              <c:numCache>
                <c:formatCode>General</c:formatCode>
                <c:ptCount val="7"/>
                <c:pt idx="0">
                  <c:v>44</c:v>
                </c:pt>
                <c:pt idx="1">
                  <c:v>164</c:v>
                </c:pt>
                <c:pt idx="2">
                  <c:v>1</c:v>
                </c:pt>
                <c:pt idx="3">
                  <c:v>1</c:v>
                </c:pt>
                <c:pt idx="4">
                  <c:v>26</c:v>
                </c:pt>
                <c:pt idx="5">
                  <c:v>88</c:v>
                </c:pt>
                <c:pt idx="6">
                  <c:v>1</c:v>
                </c:pt>
              </c:numCache>
            </c:numRef>
          </c:val>
          <c:extLst>
            <c:ext xmlns:c16="http://schemas.microsoft.com/office/drawing/2014/chart" uri="{C3380CC4-5D6E-409C-BE32-E72D297353CC}">
              <c16:uniqueId val="{00000000-1CAF-4F0E-854D-39DEAB2C1994}"/>
            </c:ext>
          </c:extLst>
        </c:ser>
        <c:dLbls>
          <c:showLegendKey val="0"/>
          <c:showVal val="0"/>
          <c:showCatName val="0"/>
          <c:showSerName val="0"/>
          <c:showPercent val="0"/>
          <c:showBubbleSize val="0"/>
        </c:dLbls>
        <c:gapWidth val="150"/>
        <c:shape val="box"/>
        <c:axId val="117484671"/>
        <c:axId val="117491391"/>
        <c:axId val="0"/>
      </c:bar3DChart>
      <c:catAx>
        <c:axId val="117484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1391"/>
        <c:crosses val="autoZero"/>
        <c:auto val="1"/>
        <c:lblAlgn val="ctr"/>
        <c:lblOffset val="100"/>
        <c:noMultiLvlLbl val="0"/>
      </c:catAx>
      <c:valAx>
        <c:axId val="117491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[Explore Bharat_Tourist Destination Analytics sprint_1_Anudip.xlsx]pivot_tables!PivotTable17</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pivot_tables!$AE$3:$AE$4</c:f>
              <c:strCache>
                <c:ptCount val="1"/>
                <c:pt idx="0">
                  <c:v>Accessible</c:v>
                </c:pt>
              </c:strCache>
            </c:strRef>
          </c:tx>
          <c:spPr>
            <a:solidFill>
              <a:schemeClr val="accent1"/>
            </a:solidFill>
            <a:ln>
              <a:noFill/>
            </a:ln>
            <a:effectLst/>
            <a:sp3d/>
          </c:spPr>
          <c:invertIfNegative val="0"/>
          <c:cat>
            <c:strRef>
              <c:f>pivot_tables!$AD$5:$AD$15</c:f>
              <c:strCache>
                <c:ptCount val="10"/>
                <c:pt idx="0">
                  <c:v>Andhra Pradesh</c:v>
                </c:pt>
                <c:pt idx="1">
                  <c:v>Delhi</c:v>
                </c:pt>
                <c:pt idx="2">
                  <c:v>Himachal Pradesh</c:v>
                </c:pt>
                <c:pt idx="3">
                  <c:v>Karnataka</c:v>
                </c:pt>
                <c:pt idx="4">
                  <c:v>Kerala</c:v>
                </c:pt>
                <c:pt idx="5">
                  <c:v>Madhya Pradesh</c:v>
                </c:pt>
                <c:pt idx="6">
                  <c:v>Maharastra</c:v>
                </c:pt>
                <c:pt idx="7">
                  <c:v>Rajasthan</c:v>
                </c:pt>
                <c:pt idx="8">
                  <c:v>Uttar Pradesh</c:v>
                </c:pt>
                <c:pt idx="9">
                  <c:v>West Bengal</c:v>
                </c:pt>
              </c:strCache>
            </c:strRef>
          </c:cat>
          <c:val>
            <c:numRef>
              <c:f>pivot_tables!$AE$5:$AE$15</c:f>
              <c:numCache>
                <c:formatCode>General</c:formatCode>
                <c:ptCount val="10"/>
                <c:pt idx="0">
                  <c:v>14</c:v>
                </c:pt>
                <c:pt idx="1">
                  <c:v>19</c:v>
                </c:pt>
                <c:pt idx="2">
                  <c:v>7</c:v>
                </c:pt>
                <c:pt idx="3">
                  <c:v>10</c:v>
                </c:pt>
                <c:pt idx="4">
                  <c:v>11</c:v>
                </c:pt>
                <c:pt idx="5">
                  <c:v>5</c:v>
                </c:pt>
                <c:pt idx="6">
                  <c:v>18</c:v>
                </c:pt>
                <c:pt idx="7">
                  <c:v>10</c:v>
                </c:pt>
                <c:pt idx="8">
                  <c:v>23</c:v>
                </c:pt>
                <c:pt idx="9">
                  <c:v>16</c:v>
                </c:pt>
              </c:numCache>
            </c:numRef>
          </c:val>
          <c:extLst>
            <c:ext xmlns:c16="http://schemas.microsoft.com/office/drawing/2014/chart" uri="{C3380CC4-5D6E-409C-BE32-E72D297353CC}">
              <c16:uniqueId val="{00000000-472A-4DD2-839C-F3E52393CA16}"/>
            </c:ext>
          </c:extLst>
        </c:ser>
        <c:ser>
          <c:idx val="1"/>
          <c:order val="1"/>
          <c:tx>
            <c:strRef>
              <c:f>pivot_tables!$AF$3:$AF$4</c:f>
              <c:strCache>
                <c:ptCount val="1"/>
                <c:pt idx="0">
                  <c:v>Remote</c:v>
                </c:pt>
              </c:strCache>
            </c:strRef>
          </c:tx>
          <c:spPr>
            <a:solidFill>
              <a:schemeClr val="accent2"/>
            </a:solidFill>
            <a:ln>
              <a:noFill/>
            </a:ln>
            <a:effectLst/>
            <a:sp3d/>
          </c:spPr>
          <c:invertIfNegative val="0"/>
          <c:cat>
            <c:strRef>
              <c:f>pivot_tables!$AD$5:$AD$15</c:f>
              <c:strCache>
                <c:ptCount val="10"/>
                <c:pt idx="0">
                  <c:v>Andhra Pradesh</c:v>
                </c:pt>
                <c:pt idx="1">
                  <c:v>Delhi</c:v>
                </c:pt>
                <c:pt idx="2">
                  <c:v>Himachal Pradesh</c:v>
                </c:pt>
                <c:pt idx="3">
                  <c:v>Karnataka</c:v>
                </c:pt>
                <c:pt idx="4">
                  <c:v>Kerala</c:v>
                </c:pt>
                <c:pt idx="5">
                  <c:v>Madhya Pradesh</c:v>
                </c:pt>
                <c:pt idx="6">
                  <c:v>Maharastra</c:v>
                </c:pt>
                <c:pt idx="7">
                  <c:v>Rajasthan</c:v>
                </c:pt>
                <c:pt idx="8">
                  <c:v>Uttar Pradesh</c:v>
                </c:pt>
                <c:pt idx="9">
                  <c:v>West Bengal</c:v>
                </c:pt>
              </c:strCache>
            </c:strRef>
          </c:cat>
          <c:val>
            <c:numRef>
              <c:f>pivot_tables!$AF$5:$AF$15</c:f>
              <c:numCache>
                <c:formatCode>General</c:formatCode>
                <c:ptCount val="10"/>
                <c:pt idx="0">
                  <c:v>4</c:v>
                </c:pt>
                <c:pt idx="2">
                  <c:v>11</c:v>
                </c:pt>
                <c:pt idx="3">
                  <c:v>9</c:v>
                </c:pt>
                <c:pt idx="4">
                  <c:v>5</c:v>
                </c:pt>
                <c:pt idx="5">
                  <c:v>10</c:v>
                </c:pt>
                <c:pt idx="6">
                  <c:v>2</c:v>
                </c:pt>
                <c:pt idx="7">
                  <c:v>5</c:v>
                </c:pt>
                <c:pt idx="9">
                  <c:v>4</c:v>
                </c:pt>
              </c:numCache>
            </c:numRef>
          </c:val>
          <c:extLst>
            <c:ext xmlns:c16="http://schemas.microsoft.com/office/drawing/2014/chart" uri="{C3380CC4-5D6E-409C-BE32-E72D297353CC}">
              <c16:uniqueId val="{00000001-472A-4DD2-839C-F3E52393CA16}"/>
            </c:ext>
          </c:extLst>
        </c:ser>
        <c:dLbls>
          <c:showLegendKey val="0"/>
          <c:showVal val="0"/>
          <c:showCatName val="0"/>
          <c:showSerName val="0"/>
          <c:showPercent val="0"/>
          <c:showBubbleSize val="0"/>
        </c:dLbls>
        <c:gapWidth val="150"/>
        <c:shape val="box"/>
        <c:axId val="250158047"/>
        <c:axId val="250159487"/>
        <c:axId val="0"/>
      </c:bar3DChart>
      <c:catAx>
        <c:axId val="25015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59487"/>
        <c:crosses val="autoZero"/>
        <c:auto val="1"/>
        <c:lblAlgn val="ctr"/>
        <c:lblOffset val="100"/>
        <c:noMultiLvlLbl val="0"/>
      </c:catAx>
      <c:valAx>
        <c:axId val="25015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15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plotSurface>
          <cx:spPr>
            <a:ln>
              <a:solidFill>
                <a:schemeClr val="bg1"/>
              </a:solidFill>
            </a:ln>
          </cx:spPr>
        </cx:plotSurface>
        <cx:series layoutId="regionMap" uniqueId="{00000000-E302-4BD6-93DD-ADE0B18C008E}">
          <cx:tx>
            <cx:txData>
              <cx:f>_xlchart.v5.3</cx:f>
              <cx:v>Count of Name</cx:v>
            </cx:txData>
          </cx:tx>
          <cx:spPr>
            <a:gradFill flip="none" rotWithShape="1">
              <a:gsLst>
                <a:gs pos="56000">
                  <a:schemeClr val="accent1">
                    <a:lumMod val="60000"/>
                    <a:lumOff val="40000"/>
                  </a:schemeClr>
                </a:gs>
                <a:gs pos="23000">
                  <a:schemeClr val="accent1">
                    <a:lumMod val="20000"/>
                    <a:lumOff val="80000"/>
                  </a:schemeClr>
                </a:gs>
                <a:gs pos="71000">
                  <a:schemeClr val="accent1">
                    <a:lumMod val="75000"/>
                  </a:schemeClr>
                </a:gs>
              </a:gsLst>
              <a:lin ang="2700000" scaled="1"/>
              <a:tileRect/>
            </a:gradFill>
          </cx:spPr>
          <cx:dataLabels>
            <cx:txPr>
              <a:bodyPr vertOverflow="overflow" horzOverflow="overflow" wrap="square" lIns="0" tIns="0" rIns="0" bIns="0"/>
              <a:lstStyle/>
              <a:p>
                <a:pPr algn="ctr" rtl="0">
                  <a:defRPr sz="85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visibility seriesName="0" categoryName="0" value="1"/>
          </cx:dataLabels>
          <cx:dataId val="0"/>
          <cx:layoutPr>
            <cx:regionLabelLayout val="none"/>
            <cx:geography cultureLanguage="en-US" cultureRegion="IN" attribution="Powered by Bing">
              <cx:geoCache provider="{E9337A44-BEBE-4D9F-B70C-5C5E7DAFC167}">
                <cx:binary>7H1Zc9w41uVfcfhhnoYq7AB7ujqiuOSm1bJsV9ULIy3LJLiC+/Lr56Yl2RIrJbnU6m9aEaOoCIeU
CeICB3c794L1z8vhH5fp1bZ6M2RpXv/jcvj1bdQ05h+//FJfRlfZtj7I9GVV1MXX5uCyyH4pvn7V
l1e/fKm2vc7DXwjC7JfLaFs1V8Pbf/0TnhZeFUfF5bbRRf6uvarG86u6TZv6kc/2fvRm+yXTuafr
ptKXDf71rRtF26bRdbitordvrvJGN+PFaK5+fXvvm2/f/DJ/3l/mfpOCeE37BcYSfECEUMzmBH37
wW/fpEUe3nysyAFimEiOyO2cJ9sMxv2sNN9k2X75Ul3VNSzp27/z0ffkhw8v3r65LNq82e1dCNv4
69t1/kVv377RdeFef+AWO+HXJ99W+8v9Xf/XP2d/gPXP/nIHmPlmPfXRX3BZbatxm4N0LwaJfYBt
hW3G70EhxQFliDDE1DVS4nbKa0R+Qo79YHwfOMNhdf6qcPgt/7LNtvmbbf7lzYm+LD6DTq/rFH6t
bzfq31cXTA4E7D5RiN0DxyYHimIiFEX29c/tnNfgPFO4/YA9+rAZiL+BirwiZfqtavMtmNP0zVm1
/XJVv6SlkwfcplTZHF/rD1i0O5bOFgcYSSrFLYAz9fpbkj2A218XN0frdancZptl7TeFO9zWUaar
20P/7ysapQdcSJtzhL8r1B20JN+hJYS4/XiG1rVk/2ubmf/z5idk24/X3ofMENscvi79yr9E1fbl
lQvzA8k5x8q+VZ97yiXtA1twhrnNrtGktyflu3n8SbH2IwUW8d74GUi/nb0ukOp6m91u0L+vSgQC
B87A8AE6t77pjirtXBcEeAAc3Y/NU9I8AMn1sDkS718VEt5VGukXREIdCEapjcBuffu5H2xLeYAx
Z1LxG5s3M2pPSrMfiZthMyS8o1eFxLJ4wQgbrBUVlFCb7NUIyQ4QJ8IWhFxrBATi18H9tbV6Qpb9
KHwbNMNg+durwsDRkOfebsUL2CV+AB4eDjun+7RBwcfIFoLZEKjd3f4nxdgPwM2wGQTO64q4jrcA
AcRaTfWS6mAfMEj/FQUnsM8s7SJjZVNy47vtmTr8pEz7Ubk3eIbN8epVqceyjQGb5vawvoCCQLJp
E4El28vNSAwJjUQCfMa1mZq5i5+QZz8m3wfO8FhuXhUe3nc6wNPtC6KCDm7wuOFhZk58xwSAFmE1
i3F/Wpz9oMyGz6CZffqKMv6LbabTNyfbLy8IEcYHCAtI85W6n4aoA4YkIojL2/Nw7dF/Toj9wNwd
O0Pl4nWRLyud/Ye4F4oPbEI5EM37LZk8IFQQTMUD1ObfEGw/SH9d2gyq1etKES+ugNgMX5R2xvIA
dl9wSBPvK419gJC9qxDc+H/4+G449lOi7EflztAZHBfLV+VqjrZftkl0uy//vucH9svG4ELILV9i
34cEqEyImxnUAq4DtpmreVqc/XjcjpuBcfS60pQNhMhJBLz/y+FB6IHgAhNb3XAk91UEUhUuGKbA
/19HYlAcuKsiPyXRfkjuDJ2hslm9KhX5dFU3b5wrMFrp7eb8+3oCuCjOKYea2PXG39cTJQ9sCawX
faAq85My7Ufm3uAZNp+cV4XN4VW1TV8yoYQQmdlKSnm/SgYlTIYUAVW54b9mmf3TcuyH4nbcDIXD
10VxHW6rfNtsk5cEgh1IjBhhD2SQkNkDBQMEzH7q96ckegCSH4uZo/K6vMkNQfH/CZf/vs6L4+2X
aPwPFLPAq3CqMBS09mf46oAoZQtKb2j6WfT182LtV535+Jn+HL+uTGVZQST25qJonvb7/8EmneOr
EJoKtuML2lYCQR/U1TCVN8bzfuxhQ2OVlEIBQfc9NLkbE/6URA8ckB+LmZ+N1+Xxzto83n5+uXCQ
ogPFoKYDhOn9fIkfQO2ZAVA/wve7WDwtx34gbsfNUDh7XdHfyRZi8pdNl8QB0NIKyJ69zRs2O2AC
7Ku8Ma9oxsb9jED7AfkxcgbJyetSjNMvuo5e0lahA44pYgxKPNc/9/RDASBEQY8AuikAzSo8T4uz
H47bcTMwTs9fVXZ01n5poRW4qsaXs1TAUCubYEHofkLUPgDXQSR0e17/4Nupr/nqnxNpPyh3x86A
OfvjvxqY/VWNa0N+zSXc+8bf7YQm0CZDFGW3/vq+P4cWpl3PAKM33YNopiM3LcoPS7MfjZth9wT/
7+53Pt/G27oBfu32SL4AjSOAz2RQHsA32jBz38DyAPcMgdSNO5lt/U9JtH/77wyd6cL56yp2vtdJ
ol+yaQwoZokQhWLZXo8BlTQpd/T0DWKz2vPT4uzH43bcDIz3r6vL8qLSpn3JDg3ISCXjCGpo940S
JBkQ60qom93AMNOMnxBkPw7fB86AuHhdrvtD08AtgJdvJRfX5Ux86wvAPd/pqFQQbQnxzZlc686M
IPhpqfZjMxs+Q+jD66IHvi0Gamcvmn9AHgjFGAQXm258+f1yDbhyaAGgUM25MW0zrflJmR5B53ZB
c2z+h83Yw4TK9ythHjDO/re7ZHcuPj3+6bd1wy232dCbitfeaOA6Klp/+fUtRWrXfPH9jtruIfdq
Zbce4C9DriDq+PWtUqB6EDpDtIA4ZJESsOuhtPTtE4SRgJwTQ81n9/e8qJoIrripA0zgDzZVwAJw
MJdv39RF++0jeYAkuDBFJVytotAk/f0O31mRjmGRf9+Km9/f5G12Vui8qX99i8EYm+uv7ZYmoEJO
QSoCt7cE1DkYB7NgLrfncE9w9+3/HdAI5X1OyIp1kbWZqj5xw0Ifs4CYjRx66UTlZDwW1YXfm3D4
oPsk3OQ4t50SNZGH7Zo6GenUZRzV2AsaI8/zrB3WhWWa40wOERAP33d2j8CgBo/KCxtzV15ujaLR
asQrW6f9amQ4cwxB1BF54CGDjENKGx3bGQqgXP/YxJQ9tVVQKLo7tREsM5Wh40qHtXamoYlPkqRU
i6kcCj9urcKb7NRyWlxlTkL46dBVgyNKO/NsaYdubHi1GqecO4XVZ05hl9KRVXRKbNKuiYHdE3Q4
TWkQHgdNO7paFoWTVDla1ZM+N13sV6n+kMSIZ05TWqZyTKq63xNtjZM3ln15VkRZsYyarH3fURQe
JbVUTpIO2k8NyTaZjYpj3tr6uMqn/o+o7RsPW6Y40jgl/phN5aIyjY/yy7GL0DrNw6XVxJaT21Hn
hT1GH1hfDGvZ5f0ypalygiHUi1i2l3Fl141jF6T93WiOllFuxYupyKUTh6X2q4gXy4LEH7gITtux
f1fGplrXvden1u+szu3DJo2zzRjbn+qJWEtum8NqZMgbI0GO4ik8zrJMOyaU1FNjXDm81Uvam9Tp
lNw2WTd5Xc9zh9jxhnaB5ZBuPB1QxBd1mTR+iwLqWhFtNqYbhkXQBsQLUn1SBBNdDBVaVWFxkbJh
E0xj4IWV8TqDHGKFbhGXG4ED7oQUlYs4YYNnwqxe6Il0yyJWzCe9KZ18GBMvG1Hhw8Iip9amWfNK
oD/7sAp9EfZN5HDcjCu4jvSub226Aa1xtNUeBqNdOkyRbmGi4WLorO7dkA2NN2QMOUa0i5D1ZoUi
6wLnQ+/rKrSdygZMoqKITu02pH5HaXpkR8znSYz9WolgrXKBlo2OgjVjRrmKFJFfFsK4sRbctVuj
vW6g04U1lJsyCX2r6Dq3i7L1RCvqwe2C1NcNnOaBU2vRG6twWmX3Dk3a8bAPI+QOutFL1GWfmcwv
mqRxK5vwZVkqx47UBXTmeLVoQ4eksJe8Z9wRSbcStOndpKTSzSWhbkqUg9PWeL0dOG1n8xUHNJ2M
BUvBP+Z5nbgVHZUTcZN6NG1jzwos5QZp7A15WTmlVPGyTPtznCN0aIUMVK0fem9I+9YpTCMPx8Ik
72OKLW+Ucjn07H1S8MFL1GC52RghJ2njE6EG4oyRJF4D5tdtYjR4o0WWVl8tObEsn4nwvCWDcnhm
H4Y8WZeZOteq1U45DhfNoA+50W7TRCddic2q4JPXy84f6o9TWp7KEteuRO15FBn1gZSJXmBp+zlq
t4kmgSvC6rhKiDdm+UVtVT4Z7EUZZZcI534z6cRLJe7cktSRW1N2Yo8iWuKpc3RcvtO9vbEqfDrI
cBMHOTnORGkRJxhHuQgDkRdOQYv6MyaYw77n6P1Qj4uapOTcqlG4CHSPQLe74bIj4eCgvBKZQwZq
b6NUw++wrPUw1Rygstno9m1LnaA06UKMTeimUZu6Q0nzVWV0viYJsRzT1qFXZQl/pwISOGmXTMcx
KttVaoXRhoJd9BKGPmRaExesX384or69qGwFxqJhlkNDCy37CNerNJV6dPpcoiMsB7S2y7Y6L4Os
Petbala6INIJ+hi+GBeR2000cpu0QkeiDE7NOG4qQkefi+RizONmkwQN+IeEfWzHKfIrIxMX/Ch2
KpLXvkVMdUJK1bpIBZHXsDRxSNXHTpxMk2PXtV6Hckid2KrQ0gq19iXqAjB2Nf89y62NDCawdzFz
s0nFq7xXsUekmFZVLyfHwsVXGeYrBFfblxyoGtfqkmRV2/oPalXMZzp4JzXNXRwF1mKoh95Juqjz
eyvG68zE+clUcUhvHvVjQEzMPagSUFqgHBNgT+XOw97x+KrI+zivJ7wCDZbGhVK85dK2Lh2VSulZ
lbQ8XeLkfTOZZpXkVnkS7LQr6mx0iOKgPLT7pnLg7QO/Cx1X75I+sr0kqsDyhTjPT7icglWCkfbi
Lg1XOmjyFRmG2q+mEQxDjjZVidRKmvBrLqTlWA3coM+q7B3IYflhs2v6eGy9EEQ9utydV7+z3Jil
KSkSjlcWr4PzuhqoO46q9jJlTe7jUwGB8NepJLx8ABp2GVNi9/mdqXBvBVmTDHilW/m1kWnpjJz9
SVWfexU3vz8+Gd1FZrPITYk7s0GIenc2SwdZNxQxWXHdnU0tp59oFrXruA+/YF2VbimS5qyN0mij
GjKtGmugHkkMd5QIm2M7blcxIOnVcDRTUQ6LuG6bTRuAwodDm3laA4QJ75EXNTH3yFjkZyiOcsck
1eCmA4anFbF2amodDTtHXe5cNgPf/fg69+GnOOFYUiwh6EX3l4ktFmErqfGqsIt3hc7EKosnp9UR
f2IivHvSfEPvzjQLhZNmyCNEQrrqwpavWGBf4anunBSRws0T8VmQXDkDlFcdexcpGNkX3uNr3UE2
kwAifiy4hGo9QLtT3TsHKMl6gSzwIytR8tBNRIDcjJIEQjdhnenOIqnTlmnyxLHdt/B7085iatIU
YNyKnq4sxsEMVPyLTDB45ipIHF0ha5OPw0lg1dVZuotyZN8kTyx8rwgAsg01NrVr3J0ZpRThoTaZ
xiuq08qtwSVqXh9DR0PgBg23nNSIU2h9gHiTij/B6peLx3d+j+rC60R+zD+zEm1v1wXOQ7Zq0vZP
WuvhpMkDuslKAUpshVCqe8wm7TKFOc7QN84BY0w4/Hsf56jXVtUUCq04reMj3Ce9o+ug8R+fZY/m
wH7+mGW2ppoi2qW8YKusGbDTwwKdOmd+kwnzBHz7ZtotBV4yATeqgcO4vx5s7DafJoFWU9D3Tq/w
p1TYa9DbJ1a095jcnWhm8yD/aJsgrRhop5FXum9OYyLZ0m5V4Oixpe+TsBHaCXfhcbkLlIlpzPHj
27onZYYSlySgogguW0Lufn+1QTT0pdQBXbUyNqupr7oLQxheaz3QlaHDh8LYiRd2oXR0N0L4Fkal
K8sUOTKztpbUiW8KC7wDRBf5YRJmn0RF0zOsyce4EsUTCTP962FjUNPm0AcMd0sQnPH74lq4S4Js
qkC0sD3MR144OEJ6WUwpcoU1HQ+2GHzTolVbR4MT9to4kIRaCz0kEL7zPPW7DFxH1eVrCFMDPy6w
lxnIaWoLjw4kEV+N6cM1KjMI4Sg7xLIrHZ1JSM9GJVxj6cY3UwGxlQlKp0uviEbYGfsyc5Ho2FFd
19chzg01dHatSdcsx2VhxkqH0c3Lir7/+q+LIoP/vr1E58cfd+86+vHb8e1Lkh791vKq2BUw6/mX
dtJ8fxYIcyPdjhy698tfmKoHuKjrdy498OHPEVXQFGmD7f5uif5CVO19O8QP1upm/DVrBY2v0OwA
LAj4XcY4vCnmlrWS9ADug3O26xP6RmiB+brhrSi844LC20oUvJUESCpbwGG74a0ogeYiuDADhBYU
7eGOLP47vBUT922ORTCTTCLJd8f9jo/MSRvitq2nZRZUyLGsoMdOhNjkRK3uTgxLROHbQVBqB1t9
BJFCzRIfWWV5OA5dsC7CsFxAwsdPRD5EHhoHCSlvO6xSWmS+1QRhBkc2xMWi5bjzgholTh/Q2imL
ZlxnwNQ5aR2NnwY7rZeyiZBflyhaFVlVnuKWJJ/CKqj8WBbRMsN9A3lTmhzaoW2vgXShDtV55md5
VG0y3TEHeDm9VXYlDqUmUntBbOzOqwvKPRUzs0yyJFuADUkhpe1F7fQhjd8XZQ4JjQRPejS1oRW7
UTE0V6FU9eByqyMXTW4V581Y6vGwLDt9OFaKHBkyWItAFcFyjNgXFk+TK5QYWsfKm9gpEpL0LpB+
bFlEIrhMedJ508TIYRl3xhvqfPrDSoCDGqaGrnCQ8E0io/GiTeC652Ed1sCx2OmOJURthjIHi4wf
5xVrnYikkJBbfXDIY2k+swTS16Y2lqdCC7txU1LPrlF1VcR58kny0XwKtd2uEDPkdxklg3QRj/KN
zui4nFIbknTT6OqypW2wyykFWUZSJQioh5qve6tDhUNibV1YFrCPxxOTAYxrU/vriKdplQ4TCR2d
WtWhQKHZWkYn3CGss10raxpfoxR5wRTDU7SJTOi2tGp8yBqsVT5R4keTwN6UitGLdt+EG2Jj4oS6
JeeCtNnXsgcUPFJR8zHRbEgcZZcm/FDTXnVu1pFyciZRS+ymKMsqhyUqPM2EpGs7K6MzTjLiYlMF
EcBd9AS2rSpGt2yj8SwIg8Gpqzj1GTySnFUg4raNhxb73GqQl48lrxxpNYOfW32xCCaZEieHWdYR
s8ZFFuHg62gEyFRnNgejjiPbcjEclcgP+pKcS1EHWxu1CXAdQLU4fMDEnzLNYy+yR1ssaInzo0A3
tYdkUb0rCBA8zmQbrBftZGKXEOApNUvDr7w0kTsEhfFHokfjcoitcietqqZ1TD8BZWyrtIUERFno
SwCc7naKJvwBvI7iXmFh+hXZvQKVDnlRet2U1b0jqULgYHRtAsd0adMdZ12ugK9KgOSC3JUUwFh1
nK1snnXBglhSsbNIT8B2sa4Kc3+MBxE5ZdRGkZ9CkPueagmBFzVWBoQqr3Pix7hUKZAgLbrqx7JY
W43GyGmyKay8Msxl7lgo4Bs8yrAG9sq2z9NhuCSoY+sRF/yS5VO6QihtzoeQm6OhDRNvwiU7g02x
mYuVGT4OVhxugdXX60xUydqMQbOsSEszJxWNfSoTm7xPTb1zplMERFnWd4DTEKTNIY4nSDk4OMTO
GQUQeX5fTe3KjqzwvU1M65HO2FcVKXDiDY3VfLSljj7rKe4/h0HcLYAeGU8mE/ZnOq+tTTPy7CyG
9xk1TlhZRe8wPLI/rWqkg9NImuVONqHiKAWQvD4rwj/hIdkqjhA6q2PM3J7ZfyZ5Yvw0N+Jo6tLc
VW3Ffd2p9KgZKf9TsVDGTt6G2pF1XOZuE7TaNxJsj45M0rk4wXp0O8L5OlO02GRUA92n5A61RpLg
KI7lsBqFVn5UZcj4g1HBEa9xKt3KQmXqlJWsjQ+7g7bcMPuDoG3mo7q2zyHAeTfmeQ/p7GCcjql8
wS015pDCteZC8M4+zEw6uCFj8Go2ErFNy6fRR12LlpQN6bqLqfZ5rZVLpyJZEW1xL+VR7/Oy7D1Q
9covdjY9HxPplcBgbUQ4sD/SsE5HeLMDAwaxp7abjEA2W2D3jjPoQDy1gefzIh50Hiqq+pyDnT8r
wy7w8qpQg9u1SbkUfcTORMuSC1xb0RWWwME7o046v4X7d4dTNsQr6IvTqzbn/TJnobUxdgQ5a0/y
AnLzeig902fxccizPvEx7afPoWXXqzjJ9HlmRfG6H5p39lTYqQfWkqWOHdvkD/Db9mFRJXXqcD6K
dxMytdPVYQ9sgo0yIBLqMT9lQTN8jIci+hrHCbCjMQ0uiBmSFLSjtz+HfR27kCyyExwSeCVllolP
LTBF3oAm5dp6zFaMNZN07BxbC+CAIKHWXS/fQZQpj9JqEl5Kp/6oqyx2IkrgZh0W42AThnHhTCjs
1zbRehFGE103VheGO3K9WUgrTs+5rDNf6yDCzmSi6gpKqjo6IbKbtha8DK92mmRCxEHABLsxHYaj
SMehG45QNBihOnY0qaz7g9RhvIBrjK07gRdbdnZW7Gy8ioyjgyBxMWY5EOfUnExA0BgwgSW5ol2R
n0QKzG9Sj4UNbCLQh2Wr6stgUhByTzlZdH0JJTY1tVdAPo2LAtfd+yoEN+RAJ0WypDJUm7AMky3R
NquAnCXhaZhEKHPHtNKLku+4mUrQddsyYORqI9tD2WN82GWo92wLtUtDY70cWQGWzoIxa43D5Kgo
g+EsVpFYNhOKN7VQJexmU34I+rxyM3AnbpiPwNoNRX3e82paWCqQF3Vsd2dRB7zAlI3gr6Eke6gs
cRIBO72uO4tBMFADES5jIY9s8Kufv8Wm/2Nh/P+7CP1ea9xtz9mu3orxo/H5vYa879+/jsdtCQ3h
QIIByEzADahdaH1dRRZQLIaY24ZU34aramjHFN7G4xKKxRIuSAvQXAqdtBAt38TjEN4LxChceYMM
GUPTAflb8ThE3T8YjZtonPPde1buRuN1AF4+0bZYRdiz+WndQYva9/zkJpO7W5++n7z+eO4sygcN
70SdDtJvODCYzjSN46eIiOH67arXL1f9G4+fMV6xtJKxH3IJXqWsqvNegF25CIep+Pq4+PdppR/i
Q+50d1vsbEpUmwTCh8JYPb0zGIqvTkRjjh0wLBlYNFo2weLxyR7aqxkfUQP2QPrmAopOVFEHkroQ
+PlRqD8ff/59dvLHYmYMrLRLZGIoPfktNuwY455l73sUI3E0qiYflpacROVkY2mu8/i/i46aMRZG
IdPJ3YRdasthU0Rt0LqsbiP9BJ+0e9CeU7t75cZdeJSeetS0lPs91Mj7jRhpQFyT1CQ64kkUk2Pc
Jm3ilnWZj9JBKcPlAuVRV60e39EZn/V9S9WMxzIyqxNej9xvw7AroUSrlpCGfzUJLfvEKcO+y5x2
lNZR0Yc48VsIbhUEn6Ei2d+iIn9IMKPs0nDMgBzsYQsU4S6toFDFe/3E+h44kWpmFQrQ1F6NDffH
sZa/o2IsnKBr49PHd++hp89sQ6qgjl1TCDQTqvUVgkrUUW7ppHWf9/iZbYBUlZsy4txPG9l9xH3J
nAGyqedZHjWzDFXax8aQkvtAuk+TjwarqzxhikI+U/yZNSBDiNWYxmANCtbG7ijEwBygAVLbe3x/
HrBtYqY8mQ3NFnEbymWW1mVwLrOsbD/ScrLRprEiW76DHiUq1o9P9hDWM9tD4tHKC2ALlnkxSnFW
wx2U5iMk6tbXZz1fzkxNrVCL+oGr5VTgzB9DZlXOoJO6egKNvWwV5/Niq10kLG3JGCwLS03Zoq+w
6fy0H7H2SkgR7GdOM7MnlBWBgk4NuWyaljSrXBQ58qccp8Ds6qYfnqfXcmY0yqIrAzpkamlIMl0k
1Rid5lLYF49j8dBezaxGnwwK9xDjLIm161mqK0mPQjYW5aeEq2R4YqseOFG76/53bX+kQpMoadSy
Stm4tiDFPbVDXKXO44t46PH0/uOLQI8INkcsW1kSaKOIISMUEzAhz3v8zHy0nSyAtRVi2aWAQJOG
mc9aC5KQ5z1+Zjxa6EUY0zFWS1Z3CWAwQrOMU6NRT8+cYKbPiW3x0oYkfmnjrMzXBvO896tYTv3Z
s1awi5LvwivJSGtsDWJp15H+CGxcfTbosByfJ7+YKZocK6DG4V1dkGixRq+aiQ62E0HhFj1Pxeal
tEGPpWhIJZdJHRq2rne9lU7csuop37wz03tin2+8+h3+fAzjEGU9QAxkkKm8OAQm/yyzpk5swibI
En8IyZj/ngIf82ebh33+hCV/KOYRM8VLhzCQwJeAKUxVajaRVQcSIvvEhrBONX3MGgeY6KkDakiY
bJEMUyg9wXpavO9QI9pnbvBMQcdAADOYWMEyk1brUd3LpZIpfeJ8fCsC7ttecv/88Q5awkroQV1S
NFWFP+Gga3weTEAMGpvK8TSss+KrsVgPNMikcn4yUEryYyKVin9X0DfKnxDlAUskZrqs8pgDiazZ
0sigpq6Y7CszQOnyeXZUzDQ5rajA4xDLZWWZfhk2GEikkKrwy7P0eF61hGYxoeI4ZMvQDOoPDt7t
pEZW9jwzOi/AlzTMY8uS9pKnkMm4LVbZrqekGusnTtkDWrbrH79rhmpdjpwMlVo2Yx+QtWJVhT4P
Bsh9LyIRVBdy3Rrot5uECS9NNtXkebDwmYumfZ7CIarEUijol3MM9A5mztgy65kWnM+89MSmpGxF
Jf225NgXYxd6kygs73mwz4yECGyUx+UwLes2bJZTDvSxqEz8hA16QCX4TPfh9YsRdEGV0zImOnNJ
g2MvGAvyzEM1U33IegqFdTEtCeSNDorwJ2goeSqQfEj0mTZjYXLgpMNpGcqxOW7HHIF7LiMcP/Pc
zNQ5itvG0GqcltDDZq9JNyReAJcTls+C9Vtr/R2nQ03HTZPA05uAQOGAyhqqUFg/T3a2U8I7T1c5
mVQnAVarIZGb0LaDdk/JnmdH2UyVYwTNUX0ABecS63RR23noQplpWjy+Mzu12eMv2Exf84BH0wSV
6mVv8StIO5NuwZrE5Muml+KZK5ipLO2gZz9Ogn5JQXHP7aaIfcyK5HnpOJupbJNDKNRPol8WcAFm
Df8vk9aLx/yZ5obNVBY3WRqoKW6XUFVhhzrN5LEZ0meKPtNYcNRBkmDaLMsiDrBbcQLd2tGQRN7j
4D6gtNDycO9g8iCsE2sCmsfketgkTdgctUGQPlOpZioL/KjV4TZuFlULNZf3tEcqPeWVAu7/WeLv
LnLe1Suozf1fzr5tSU5c2/aLiABJCHiFzKTudtnl9uWFsN3dEgiBEIjb1++RHedEuFjuVXvrtcOt
UgpNaWrOcZnRmSIrUkK3F4COft2yrXtj4//L2oDG9GrwuAkUS9NqPg8tujV0dCQfssx5Tv0QtNQ0
jFRNOmPlg6+WIL/rsrXy+6z0ELPK7DYIRv7/ps7IQPJ45r5TP0ZrnFYuldF8zhYUjcl19NF/Ya6f
45ezUoWzqdoRo69NJguXKpdzThrPZT9Eq2Rx2oOejdEZ+WtAX/EiauFZ2aKHaFVww0trgcGz3emy
TTKLlxdf/XKDf+DWvyzMOtGkaje0WOOpWvI1mkkemWryu6LoIVa1NOjM0tCdu3nv8kXWf7lmj/xW
nRzidNztZHq5uLNWkuWcxV+DeSSegx/iFHgH8HBkMJ2TIexO41p/H90+eg5+CNNhzNYGmbA7Nxwd
bt7UADhbkDu8zi9yiNOENiBsBBmmnrnocUR75H2ViNavRUUOcbo6RjqGkcs9ghdjvncpj0/BFKSj
354hh1Alw5ppZ8SMfq7ubB5QE5dmIdNPv9U5xGpUV8T2q8bNWo3tXdaAgDiqZjv7jU5enzPOVoaK
LXbllNFvUUOeR0af/YY+3KqgMTV624KprGUA6g75uhGATf3GPsRpVgO4GnXJVDaLTE9Oxi+9qnq/
D/oPsPiXI6ZTgH5kqXMlILF10TbJQ0KG0G/mV0XsXw92tIUXM65pcO7a9c96iz6TWL/BkPiXqzo6
RGlaLyLAfb2VGBZEzx10NJ5vIxV+R290iNNZxE4qZqcS3PfwC5twDoBFuUd+mUZ0CFQwJkjYVr0r
dW/3U78mP2QNEJnXhokOQVql9ZDMtXUlYFlbobXB1NVbndd/W/hDiGYdZzXgaVMJ1nj2mI4iemyD
ynz2m/ohRMlEJjvZGttRAnFI9fIlASrNb+xDjO6sz5pKKlfaeKZ5lK5f2yF97zf2IUbZwtalBhu1
DJrxhbntMWbjGxj/f1nw8HCT9ktViYkKsKCrICiCpnqogRfyOxLDQ4RGkQHyLSDBGR5C7/SWfE3t
1vodLVd5ul+jP5DI022PNWll99wL4D+19Jz2ITqZWQAIRE0dYLcZtEZyz2K/G/QqT/XrpM0WT7w3
eNtxLR7Sfi07W/m1Wa/Wp78OXbfTKp3DpI3+tM+uaJI/vDZfeAjJNmus2cF2PTOpftg1e0537ndO
Xe2Lf52zG2a1bgufyg3wypd9m0jZODqe/CZ+iEjaVWvX1NlUjgGgBKRTN1mVffEb+xCRqq3HGKLO
wTmukd0GIf/OMup3sUFU6/WyYGMP4M7gSpY1X/N4ZMEpy5LZK3D+g3iWjnMysXgOzgP/aPtTiiq2
z5qARvF62hKkHzbIbSpdCjDHQkeTRwN/8Rv8EJML+u/b1lXjOZLmZmnR2x9oM3ntFJhovJ65dS5U
QYvB0zZ+T535WbPNeq7KIS5hIL2FQ5qBDazpe+Bwf65u9h37EJrRUieUrhHKxuA9P7hUNHcDW7nn
qhyiU45sbpHPYqPEOwcOtfnUcumVYLHsEJtr5tiiMkT+SrepASW74v2JIAOqvY4Wlh0CFFhgVqFX
M5WCgfOwzJ/RfPjktRWPYC3oT4SApGJdnBPxaXCqzilkIr3yCBSEDntRzgnq0Ssmvq7vXR/erTNA
334zP0Roo8HATSQdy1TRxxaAwzPsAYjfiqeHCHXCAnPp5qkMTfvMgrZorPRKUtgRXWXjoNsE1WNJ
SEyKRUe2iFjzt9+iHAJ0Q0dhTPU0AmDAv4pxvauT+KPf0If4XO1UqZQEttyidsnbPhkunW78kBEQ
TXm9U/p4gZgF4DslWkj7qdv7p4SOfm1/lh4C1BkyKhlBE6QH/KXNR2eDe1CNtg9+K3MIzyWgOBWZ
wxedtz9HZHDrmP7wGvoIcJpw8UjD+7FUEDJZjbkF8chvHx6xTXOVKt60oDns8yDP8yLIKWi7n37z
PgRnvbMKrCs1lpk0hWLbk07fSjuv99h/tlzYEcW0BKgHzyaxpdRz7HKb8OZx4GbNl4ZAd8lv/odL
NFbd2oFlYMu2pt9ayT4HRr34DX0I0RWIx5YnlUX8z+PNPNooj2bm16pjV+WxX7NQQWRcW0owcRZ9
1nPQ5Swwf/jN/BCjch0gHhHKEdI6NVvOO3Uby7u0lW/pCVyX4Hef9hCnTAqRurTFllyD51qTl3rw
e4uDevp6Xdo6HvBgxtAQbXqewvpdRblXGwpivoeh063Sw7zZklYa0kMpmZ4j8LC9kL7Qn3s9Osgv
YTzX2IlVuG/5ZgewmzwBY+yIh9JrBcbhKG3ZzRDNCufkMizgxnltlyMWagJ91LEMS47j8X7eyH0b
r34xdERBZYuApNQgbJlUosuTfbvPbO3XN2NHpFN21SJaibJl1M/vaTQ82HDynPchOm2N7gRfgqEE
iedzHdnnVg1ejzjGD8FZrUwrYRpbcqxMngGEDokrnfqdh0c00kSbIWig+oS+DdQQLFHPLsj8UtAj
FCkM8c7q4nAoRU11ky8oVED1LeB+C3OEIjVNBlRasyFusk2D4sj5h7YOd78veoQizQ1U8YC1G8o9
s2D/juwJN6lf95wdYUgu6FJonvXYLn3GwGTv0k2NEqzkWXnVcNDhf326AJ4bZgKKbKUQcoG2G4pn
ZVWxwa+PwI5wo005l1pdmTINRjUU82L03y5LFs9H41FOINIkZEsWmNLKDaJQgjc5Vii+eJ1gR8BR
kqxrGs6hKV3LCeQugCuneP36nY/xIWKnFgi8kXamHFkiJnAMifqutrUTnuMfbtO1ttwuK9aml6Be
1pP+tLaR350XH69T0i86SBzWvUvNzTaG42Vpe3njte5HvNFMZ7qZdjFlU8X757CvxA1LUqP8FuYI
OKI4J2Oy4bNmXTWMl8RBoh+k+R5iQX7zP2S/aMapvjMzVp6Oy6216Sc5tH61eXaEHCVKE2CMrSkT
Nn2ElunzoqaPfvM+ZL2i2hbatmIowVj+1vVXaQ4YfHguyjXp+6V9NqBkngZOm5LaJv0GQd31xik9
e26Zw806hcG67RRKpYjULOeAvuTBFiRnv4Uhr+duNwg+GYgxlfG8ORCWzZ3q3kIx/ZOC/ibrPcKM
hhq6BwYyn+XMlahydIsbHDYJBHwKoTOhbrTZlo9Oj+0thVwbaMBSDvELKG7J8B71v9F+zBIIqyn0
JXtwxDvG86StUYwX65CGS76zZrCfIBIRQCZxGzr1vZcyGAqQ6GtyimLU2s+Jcas7tRGqZAVHl3q9
dUMAjU4CDWB2W/XNshVQBUziLwGQvdslos2YnGiyYsylraf9IgZoeIBtR3Z30YSs+2mcNe2+rQlj
1fuJ8aD5MUYg35fpTrK5tCt+78lMe3xuwjlOr8KikSo41BncDRRcRPbA0w68sHDYyUcoNC/5TLi9
NfVo9zLss3S7LLqd2Wm2TMTnOVkYStitnFkhWqN75LNZthWprSmUSfvaRvdLVzXZbUujiZU7Vnsp
Yqrm230P9JPt5pCdWDjPe95Utto/tlHTJ35ZCDscmHpljitHe8ijyh5VH2hbCZr5hdYR6UVZtSGR
bE0puf6rYupjldR+8z7ivKDUsa4twbxjV5Vj1t5VceRXHKSHUzKegUyJUEEqIdO15lWQqTxro7cE
tK7Hym+i6ojysqGgXKFpVwrSNPmqhr95Y/2SPno4JxvQW2eom/al25x5AkGrvunppP2Osn8UwX45
KCWvQ9cRPpbCKvbAkL8C+e+mr15HGT0clFaLeZ7N3JcQr3F/2HTYUczv0slzKx5OyqGrJ9BEsr7M
UFTOY9I8yF34kb9gjPP6GA4RwtC1Mn0JceBKn/pwacp1CCHx4bc2hyCNujraA4odyYWO1zMZO7dD
lCdWw8nrDxyhXpMeliqQU1+iUfX3YthdHIx+jA64a71eHOOgZDdsCSTEwww4smmE7m1Bs4b4lZbJ
IVzneNjp7Igp2yHb0zzpB4oee0qgFey3OIe3yGK6NgpXgQQhjFjukqWBFkjtmSAc8V6Q+6ygRY4r
HD0aCxnt6Kptt4Sl39wPyc0Sgiod110Pomvb3nE6Q5WHD5b74fsZOUTt2HQCQKYex3DnkjvZ0fAb
3rSbXymYHII2WfUAkSbkqyhlrbcVq1yZhFPiuekPUUsg/53V19upqbUoxmUQuZsg2uS38seYtdHq
VryTy2Dr6F8SaPO/du20H/KTHUFfMaFdIxtloP+czMGtgupNEUIm8/8oX/v/mfzsCPwC3bSqeJt2
UEeLqH0xqp77oko6AgXXsQ9eQDh7CoIMwunI4lRWiAyP0YsM4rj3+/pHfBh4ujx0DfJPiGbJFEJq
DQQotOwgFu71iY4AMR7SHW+W68lUTVF1r2sB3tk2bFPod24fIWJ76CwYr6QrYaBbq3xdmoVBARyy
cH6b7AgT4+OuLVw2unJzBLDl3X0Gev+n3+ocQrud9DZlbu9KY7uxWAX9e59i34kfIlsMezSOKtEl
cttLCy1iQka/EsBRR1UHAcScoCBSTmweCxUwtBqW/YPfohyiepKtFdEyd2XlbHp2Eqp/Oq49r8oj
TmxJ6r7r8EXLGsqAP3Sz0J82wHXjNfcjUGxsWNezLtIlcq0naFfdt4N4Q8vlep38Jqk94sTEij4j
t31XjiuRd1FrUyhb9YvfJRYeL2AFobZZUV1SlfYib1IITcnEddIvTI+AMZatPeVdqMsk7hpIkqU3
ikGD1m/VDzewNZ0QVVZ3Zcbk8jBazYpkaubn/z76NbP/3cIfgjRb1DYvEe73dmcDUv5wFNkZstd9
f+Z41XVeORakWF/ncFD/qCoz2bbcbfIDD3VY8MjP//0X/H7r0KuU1K/lFzaHaA2CjgWGYF81+TC6
+a+FDn7SA/8I2f46fI1cuZNV15YZJP5Q3RlTCCTGziukKMSuXk0e7jNu3S0mXwmJN35ETA5JCb/j
gB7xOxnfky0eUeyA4mu0nboazd+i6bpm9nvpHqGB6carlFPRl6Gjk8nxHZrriRlmbynQ//7jQjD6
9frooB6HOatx5MTko5vCDyKqvJYe0tmvh4ZmyJSG8NgBkzuOT7VFh2Z3UecVtfDKfj16hzMmUAB7
nqPEVh/mLTAfOxn7kdQglvZ69LbuIheSsb1eremz0TSGsU6cnvwi6vAgMigahZW+bnkYN+X9kD4H
DFKZfoMfzmK3Td3mtroF8APKXAU4pcNX6Of2s+f4h8+azktlkNm2ZSShhpsKqIL24PN98Jr9EVUG
xU9UuCCXeBKRWPu7JozCJ0JM7N4IqH8qLf95HtMjsIwzSlbOHU4z7mL9boiizt1AYXOwFzzEHLlA
S4+PpyFu1/4h2PAqeDBJM+ivJKLs4jjZbxPo6sbwgqgc1BW2QKl3uotXAkHFYauLXchq/9FXW+0u
0Ee1feHiZv1JNWP3s4EtzVbL+UIrt2AIaGDIPNQ121/gf7M1z+qqU/HS1akZT3iwQd461HYpZAjk
5xNcpoL9hH891o+UVP3slUjSoyoZcI0DuRKSz6KKmqc5U9kDqYnwu2DpERLXBwpmBOGsSrKGf3Ey
PGeReO+3XQ7XHt6amw74Ag3NHTjblrBbAoOeN3b6NWJ+t1UOF59zgRb7uKpyMNDquLXj3kJtcwPq
4bTghSBuecZb6VVdg17f6xMnGrKYsxlqoIEJ+Jmppb3sphWf/NaJvB5dbpXDG5Gqcu6ZhKPW/nlq
yFvrdF3s363T4Q6JQuhgK+tUyVtXfwSqmr1LpVi/r00UvFHZ/Lc/cTh0wipLBDGDOo8rVRzONIOF
0PtsUWy/rRcw2t4A5P7LJz+i5gBPEG7mrTiLelIKUvArDDSaAMZosHkiBRDdflUlegTRCYnaSWVb
LFoHHybF+GccRJ45VXK4YAIIjqAQ0KkSfo3fJrpcJhq9cUD/y5c4gugSCiznDg7uSYkhmW6hhh9f
eqidbzC8m9vQC11Arw6ZvyaFMcbmdQ1HquoqJAiuu/gC20Q/aiv8NF+PPsJ9r64325RJEk8XYK7h
aSgjv8cKPQLp5hqlSAjUy7JmKbuYedOnNKu93nE0OQRyyE0Ek7S2OkVzfQeDwxySv55rfgjjjYbt
2E8YGvL/5yobLromXu/D//By2iCEVo+Zqk4wv7tP4uB+4H5VPHrE0AFWeBXCrWHL1CzDXTOOUxnE
9KPXsXmE0FVxIueNBtjskRjPxliWb1nLLn6jH6I0zJSt4jCoywTi9vdAvX4eoEjtOfj1hPulFyR4
ImAJAcPMdiPtxWVwY4Nsuh8UlR5hdMG2op+ibV3WTQPJcZk+BIkdz37rcgjP9eodONI+O02a1euF
kOWTsUr5FRUpP9y0ss+moWVddurm4Um1fdnY3u8SP0LpNrmuQgskUu0EfezOdWGxt28Z+V1//m+u
2SOSbgY6fwfDD0E0zhBEz2xhOBSF/db8cMHuEOkZ58nUYC3preiE6Ye8sl3mB0iDIPXr7ZjBJpUl
Ks5AtOp3AtuGyt73q6r9eJD0iKZzsAHukoFmJ73s6Nk+AwXwxsr8U6r9zbofsXSM7xHEqQQMOLeA
zvdhrWMQjAS0PF+glNSXdZztsGUZZh2fOaprSzFMKp6hkGn4dhlcFg7n3UAT/7tOYhjIVikMKLwq
8JQd7sk2m+hO03g818lqL3E1QVM4UH59NXpU+KELoXurpvFMFy2BspheQKlc31jXf9nORwDhGgwR
JEOm60vPTuK2houVO8tRjd3Ja0sfEYRdXU9wnZPJabWS42zdGtcVMuYR9Xs2HSGEdlJunyvjzq6X
5qxTtpxMxryK5PSIIES2GVNDtTtHV8myJR5AMmeJFzScHgGEJpkZbOcw+OwgO92ObMj7lvjBE2E3
+jrWmXQg8rvOnUkTmYKqqMlR3/vh91UPB1Wv4HUWUnjmzUTqPA3gzTGsLPS7NY/4QQGYbMgCOp17
gIJgjmTFU5vQ6Q+vuR/hg/B0NjTiw3QOMjRs4AwizvUW+y3MUa6stkvUo4cM06IqIe87vaofPNwT
vwzuiB3cYX8yTG4ez13H2wKi2xCzYZWfYAu87V/vGLcMkMxKtvG8JdGeq1DZIlGeuQojrwePleMB
HTD1XUOuZZm2v0Mr/biE9AjBC3ajh6ql7izAnjlli5QFDjW/5j09Yr920CCqekZilRjyY9T0o5bE
j15Nj9AvqVF77A1zsL6Cn9pqSHWuKsDo/vtW/5dn4hH91UZqIKqn6YVXbQw3Eadrfdk4nKMuzBrc
gv/9z/zLJXJEglUzrVjU4EfEJA1O8BMSRbc6PyQYPSLBjKySaeIYXYiuPqWAgRVZv/3pN/XD1a0a
xBTwjPZsVrMVtR6a06grv9vjiATLDAsnHcf2PCs3wwMsJTkEjHe/6+OIBNs05Xy3iz1Pcm8v0ag+
7VETe37SQ7juUrO9R63nbFKZFLpdmwKQVD/YP7r6rw+DLtmSKUkrcw50YItmNx2MwDY/5SYwoF+P
XjHW2qjh5lxPgyz2WLdFCuV6v4TmiAFz0YaSsxXppWm6/QUeTXBjCru3pOT/JZSOKLCKLkvkAFY+
xzYCH+V6axtYyOdeu/2IAYPDDcrVW5ZdWIDS+Rz87NvuxW/ow0tXwei+gn9GAh91WsF8dAc6cZLr
+MVv+EOcRm1P+z202SU2GiZby9VN7oFHbZf6xepR7suMqUMqbLJLNkY53Lju2tAznTmCvyDENUwb
wdCa4fq74iE6P0AiPSK/4M8At61kyC77VfpILfCFYzJdPLfLIUybsJXTvvXsBBWum86a9yH3UxOk
5BCjYQxQEdWanTjgD00XPLCufvbaKv8B+YKMkLS0YyfCnY5KZlrwruWi3Se/8Q9dyc5EQ9O6Prmw
Plohoc5Gdnel6r2lJ3gtPP3mpXvEc9WBMixdKn7RJhhvpmqe9dOYhEKcwVNNqluh90U+Tnv1v3hc
//Pe+90fPYRvspGqm5uhxdtvXbq1iNq6JeasFKKuvcjq6i839Bp2NXlHB9zta7PZLrntYQ0u9QUP
a5jb5e2u5u1WVltQfad0AeyuCwFpVTlttn2BzXZozfCgOKwYH+cR3rH8dg1YMqjc7q0I6jykWU1F
bqfEIBHqOT5dHmdDL74bK7WL4NmZ1PqW7gpyz6cND/pEnLZhXiyM/mizfoSE3DLXeaxg8QOZ762G
d2oeZS7gLM82SMOrm8goDul7jZrlpHPwClqHCY5J330yBGaTsI9t0r+10fjP1g1sPnHAfWnusEKq
mOeF1OW+uZVb5Mh07L73KNomLl9tFEZLHqdcyK9dzVT2UwsHox8QOffewuXS1s325QrSuzHwdFvz
DqJRY7Es9QjLSPjZ79V5R8uGnANSrWNRpdhpWTHzBVaRcJfc4/A+SmeeXerY7Rq8sKHfYEIouiLh
ZuaPTejq9BTWdKGFTPiALCzV6SnVEMDN10FweECOS9NLcZoyPJqTAhWSVfSY2dDZJE8JT8Abmeuy
YgnSRpwlXLs7fK1e1rlNkdnlWRS0+uR0R74N8DI/Ldu+Jj9dvW/0Ymwfq6fdkpT/IQeSJE90qih9
2CuZOnFqd3BU2CVbXARFhJ0nrn0EQyPF9zJ1bTA5Ee6ZcJcQqsbIxnTY7wr2k3RdfgyprntR9DOK
wbcJGEjZS7QmECMs2o7BSUykMGsd89a13RKAxbIDtAUFncTN7rzhW/b9LYlRSCO3XHWpzBVX2YUr
2RU9XxdtUZLYgnG+ZpbzeB+6UZ0XizPqiffCNS/rSkSXYjv0xF0aGsPrtxeSEajEyq094V0j06/p
RLv+Plt3FIFkHLrV5ouZUMyH32qcEGRQ00QpnHpjSpvnSKWWXyCwotb7jiwRqtrhBG21HW3maRZX
W+Vt5BOQnBwia2HrfpAWBpoXOyfMfExiHaUnWY1x8wNvn7RF0GjWw724ifvxSblQ8BfAswZ9aTa4
G5+yPuzjuz0OiHqI5KL2P+uu7R0YMzAfZU8DglaeOyM3cmt01AyfZaDhZ47jTQke54lmmXkKp0lF
P1hTVemWVyLTolyWeY7vQluz/kuz8C0uoHkfgo0uFhplkHaOefuzmhahRK4Glf6IKR/MZ7DLd1mg
u4S7CzyPfnsEqm9M8T/3AfvZN3beYfdstu0FlpFRVBiJSPoJU+aZ3whF9qcpC8UlJEPavEutS/g5
TGEZ/GFQct3fLyB4kACdaOgGpLB1RtDcjsvUdX8rdG7kfcMH+Bn3fdNW5UCyyN67IUtI0TDKyNeU
E5b9GS2qegKFPLj6HO8/QW3RebPE4iQgEBSc1npPlzt4SMz7DcSD6Jc2q1l2Mi2Yjs/JJtvuKRJV
Hd0ufe22czDIZr3JNhvyMoENcPg55JWqPsghE6Yw2xRAE7EJsxEkGs1h5DfvY2wfx3CfwltquGk/
wbij6t+5OEvkJZSqT07T2sw4O5c4tfIC/HRkH4ds5j9hQYqNXaHutryTa2hxlMh+Xc487icrTiG6
VfO9aiBwfKmEM6DXBMksXmQ6ZuxWG2N4PlWB5T+kzBoDd8pRwaQ67aIqhPcQo+vt2OpxOk0LCYPT
BO/eKO/afTFf6ZRhBqc4FBHkDFfMog7EaPNmDcbu3F0leXII2u3qaVhATDvHxi7fSLgtHPZqAhaX
Bawg+CPSJfFXhRBOiqaVRBdcL3H/eRvgzwiBI60heZZTte/17TKBJfuywZ/OVrkcpmTFeb+bpe/z
ZsI1DV/dRM3jz8XNNP4DFhwWF4KCWg3cgzHK9UOaydkzTBzR6Tx3C9ExHI5NF5dtFmXqPM+CwlFW
RFO63y/rKFC1WOEsld2E1YYcEUw2KW9HuKwF+W7rOvjIY2XJSTLugtMYzlF2SrZ9b/6w4U6bm3na
l6x0ug8quNiSanugMO96H0ZjU39EFflqaV237ZRdoBovprtM4QXztKGulF6YqnHfTVUVD8B5M7k+
aBE2quh3G00FMxYO1HBsGKt6AXtuH6MPU6g0yBgdm6b39Rom5KZHy7h56qF0Vw/5vDEY6EBXPB8W
m0W3sJcfp3fxOAQdbFBXOAnzlo7YY53UrfyTtumOnaAh2Taee5HW8wW/bG3OsVZs/MTVLKu7UdQN
LLWbkbePzhJ4bp1xHLX8BKskWv21QyoZmuajbOKbsa+FALYZDCzskRQ6SneymTZzYxpNgRkmwBDD
4t3A9TCfp60jH/E30z9gnj2t31qIxoOTnhHZs2KA/KIoApxPFdyazfqxIRxW6WlmwHWJuw5gVT3b
NCg24yZYytl+WUEgmWEGjoZCKt9junH8bl02Ud8EHWHoHNWVCtyL1nvf3QG6K3dkRd2+/sStMXYw
8q7DMHq+dmpoWFA5JPvjHmZMjziJ9626TRt8egjNchiOPSw4kId3cL8Y7W04yWy6WSeexdebe5XQ
BBBYxhEGuRmiPIRendidKIZ62bZnmq1tlsPILOWXhGmcb7miS2PfhVOUDt93OxrW5LDkXuPbjdFw
fWLY/fJLM66woMGPpH31TqEctnxIFRbxbieNXU8ddfF0g/s/MAKLS/R8XvYkWWDoq6Z+x8e0YoZp
rgr0pyTaJv1+xprNd0MD/OC7Zq5lXbBG9uOX1SQk/qpJsqU6h0JY2BmsFG3Fnx00U8P3UK1n2fce
yivq29AOiuB9BUFEmGs3pEludAJfY+RvMkx5nw+B23AVtiuuD2R7kIzlQTwnpxEiDf0G2GgS/ICq
/MaKEJd6c7u7Qb0kDvv7rMKl5UW97ui/6KRjn2MCXERBt7RqCrxFWQJHxD5xJWmTmM85XUM9PBk5
SFCOI8h3XkzWtP0j1WYJ2pyDgfW96YdpvcRRzeZ3URda6O+iz5q9wM96kZe5hVPO+4FI+iUd4fJy
GlmFUkBaBxN/2jpTJZfQNgt5h/4T7T60Khl3+Ih3Q48DkyE2AIsHUC0tFURU7WOl28ysRcqYeL8B
+QLjcV7r+cO4LwMI0eC9kqWAjCFckJMsqs07NaLGlEst2uFMN/Bq2wsoatE5rWjXnWxYEXyJWrbR
I3Pm6uTKx2vykwLtK0WRpXNMTtoNYeRyta/b5yZtoZqU7xqsxRcDchv9Q4y8f7CdQ8ZVSNHAs76B
KtxW4HSf82ThdPpMHGQPbgRfDO77ZA2RplMQeM2Ub5QFE1yQaxk+u76bkoLEfDipTbquVCtC/Wsc
2mW+kES1EZxJLCTPIlbT9ERb4EjzkUb7JcNltEy5jatmfHKATmVdoblO2gc1Vtu7dLsaoO52p/dj
mqrwnMLBZsU1ipTjZHeGY39p50DcKt7F04trq2j+0FkXFWg0DOTb1lbLXFQw/b5BugbXTAUWTY+u
W27XRt7IyUBYg4FXjcuWFvs+ZSbvYYbET5MNyY1APvB50Qm9F5BS0jnPmmEsZES4gGarIXnfs4bf
pYvY/mRg/zSPBKGjy70Z9+xxCIh9Hy6QeMUTiE4PgqdkR+4UMft+DgyQ5NOaFBw08kc0RUDWhnkp
hRo5aMiPm03Jp34JxFmRhqtc63W6n1WbvRMLFPRPCtu4iFe3FERWNWy/WfbguNjuRLS23zYxNx8z
2tqiDv+HszNdrhs50/StVNTvhhtbIpETbUcMgLORhxRJkRSlPwhRIrHvO65+HrCqpy3aVZqpsMNh
SSQODpD55be8i3Obi7Z4EKkqlRdhOw7sZMizrPFmPVFT50Vku8t+wT1uOTqjGT06xlxf9OniqoDl
7PjFOqzzvmxTcbEAX7QfJs2VH6N8ArUQmH0ptWNYyHHKvZCV60KTX2L9e9KHS/8ghOMs3pgUswuU
0xinJUg2PYBTvswrsiluayw1zrpN05nUMYlVpUHkjIZ2MRo2bGxopZN+0cZGqK47be76/QjPX39c
ndx0fLXYY3852LWIvpC5Fs1O9KZmHuukTuxzOo85Zq9ROebeZNSt+2gNea1/aKzBqnfINCwlkgSd
E58qbVT5Zy3GSzj1xZKIJNC7NO69QSSkoqofZOK3OTnK5IWWZlm5t4hlSL7NrrCa8zhX4/qMKdVE
OhT3rmB15+wtUXsphKF0h4pOaB5aN0/S29mg9t9VpW0V+14SdwIqmkiemg1+t2tkYVofINWk4hL8
rGUEhpqFOhnQpubXBH5A8WHoerfW/UVFY3zRNR3e8h6CIi4zxjU18+WW0liaVMFANtfLrss74kJc
ysm4qgu25MeMYnX6nIlMneyKOZPVFZP8bHRWpn0pmFJSJs+VwASRJnTsszpIlrxwGInuXTvMwVhE
rfvJgdPfP7oTsf2p6xplpoGQjcZ5FZZCGz8605rOkaeZprS8vg/bwlehlZvX3erOy6sN3T//3iaw
2XZuipPg3ZLHs0JwQFTtDR7PIpt35Yi660ElmlndOOwyIqJutY1LeIpnSbMwLqE1H1NLj6ejlcWZ
XgT22pICeLnjOBEy8BX1Bxlf2vjLWG+5CDYu/XSb9m0bTQeVRVn7mHdaNe6rVOvVqevUIHhjq5ra
oDHzefySKQEXyYkz1X3pp6wZ93WkF5qvssG4TJoodPyGaXJ/XtLUjnglMoEM2NFl99t6bEhKGwc5
mcdhRSUXgnQTnqvIbA5TOLt3jWUuPdmBWNf6w5Lnuddi1+lBCosGC38xN632y+SKxY9wOB1Oq9VR
oMVqkF7XT5VWe/3QT92tNCYZv45Ym7i7NdP1OHCm7Vz1og6PiWNImn1OkOZi1VlGYV2EKZapl3W0
VJ+Uy0MIrL63jdzTE3ADj12+phpZ6qJrh3llXR/IAwx50XMEpF+nyUoOlACG+lwhcS5jX6hIT+7q
UcQxktBG4SSDxyITlu8SVReqOQ3i3CpjI7l200lf/ZYN/5AZotjlYeKUbLVwuKh0OhhX9CssceOW
s5NdTGOrnunEPJF69KaDpYoDBLzCI8a8K80o/IKeRZoEUUFQTNI2u+p7ncxsRWBkOuXSjf16XTAc
Af+vHxPZWvlV01tdftWGQ3c51HWVfsUgun/RmqzrgnnQeI32LB+zwd6GO5nL2T7b06NDLtEH0dqQ
q4Nr6mcvn2Sxh6ysHC+tp4jcgFHliNmdO9OvJRJ29Hf69HqCjoADo7t1eiB+t48ZyZhnChDoJ1rp
qjtbjdtoN5YExAcoSJbReBqdKOpzXsqw6B2M7jBNdrNuuancpa6T3EYN3vA7A5pD8zqPZjb6Wkzn
6gtaDRjUtsLt7F0Zm4vJ0kzMj21CPXJYyrTzzJQAWnvj0OJiF5lD/M0VRWc+WtMQj/5SdAbVjrTz
cfbS0c21z0lihM/ulpoc3RmW+cPi1C99lvc26a5qDJLZws6Go8ITxPWV0xYvlWDLei6WHT62ILq9
y5XtvjX/MmvlISzuDn3L0KaUwVR9P5tykk91pCn4x4kK6QxqqkAZqauRKAhISorpQjhV9S3PZ8sg
ztlxWj6i1KZS32zjyTqmvb18p3SO1ss2N8OXIs5XJfD/XkbzXMST3Txooe6IFwPLDPGd0jKmM5JG
4qyqNiN26PHim5HRTDetCmUN1YjZkh05kX6TaI5DN5vUQ78UE4KiezW2jhnM/apbu9EZu9HLi2H+
iCayYX+qWzXeaprdfXJDaTwAoOjXQxXCFjlqFYXxnBfzuHNsF0HfNR3rTzzz7LI0MmBtTooBNxon
dnWqYqUaX9RlMXm1FmZPMHVnrxGwfOranpzLdq61G+lM85Wj1tjdVyHSC7tcLPOhwVbiYNS5frKx
SSbmlVb3GKtILB/qqII9PI7o/XiiGcL+4zQg8foFARGKs26Z7PiJ1rAlPWdceA7mlKaEBWUZVkXG
IeEfu3r/EM8OSaJFKyGKyDJSoSEPK1ctaIHBi51wI/omE/bq+JTIdk0OZq3Xj8ivp9md6VaQwGcc
GO4SbsSzktGoB5+wvfST19Ibsz7UWSxt36q5nYeqCqdqnzZhGvumLevpecO6nqoyL4rLWco15zMy
rbvLDHvKP1iRnEjYlsTau26tVUcglHK6pRVd7ggTZblvhUi7wIzH3AAuhzHsrpp0ggj6GBe8C9oR
YS2qmnJ7ArQ8Lkt/12lxOvqlGIz8QtPGYj0gP7Z+1wS2SV6ONeRltFYz2yd0eRzZpO8yZQ9+0/TT
hVUZJJxxUl4udSzuQC83MATQd6TPgVCDZcvwSVuBk+9dGDLLA32meeQg6nTje++2kSnxwMlW2gNd
PtTlqWRCkXyJ16YrfN4UhHc3i8nMiZj5WPhxE9bolyNepK6QSHOlryanHk5zZTfuQWLLjTVqODpu
4mkC2cP9pKxtE2rpGEW4KzZUTASfLEjXTk2nHlKG8sxq7nO2MfOul4GzMzzVba9HwYiitg4SszBt
47GyydCCcVJt7Et7dOD69M6SPSYOMjWBjt588pTT0LC9ohzi+EGfV6JHpGmOceFIoxB+oczcDCq6
YaNflSOtLQ8S1BwFKSw0/YNdN617iyFIMnoLKtD1blhCUXmLudpkMKo2+m9ai6uCJ6B6qFu8bEZ5
iJd6kt8cvtT0qSNBdc6iM3Lp27nMzJs8mnREk2uKgjjpiuJugcCf7c2004vFE5DtRxqYcblGFOo9
LQcW9UxSiG162OB1rbrwKq70ZD0Ztj6XV6qmT+s5tTWhl17H7YsurCS+NtewBNwT6ll5HNxRM28g
2EmHPdVa68T8p1zqPf6NU7sHLlYXPlMVMTyXU9FpGCSuvXvSctopT3pebG/IofAJjFbVKaxFCrDi
eqB/mPnwK/pu8NBiMcxL3TEFxaXotfKYgLMYnydzUV0QOk7YHybi9RS0oq6zXW5ZbhOYONL0mde0
xRLvqQZzdRnayK8Bvsw3ezDc0qogjRM1X4S9Ll0fnkikRIASg86GSsKCeTaj0Cq6cMbZWslZ+to+
0iSomNY35HYefVgj82AWrmnQsAzyvT0PRvMiE5HlGrWDYfcWfreImLzWWZHD58qYkPUcpgV5ou1r
easOjlmby3zKDNdyH9GMLvrzRGk/13zxxE5tcpDZqj4ImeTzJ41vozQvNnqrGvabmjUF6eiuo309
bBX0ZahV2UzyBV4WgakljKIPS2F0FCvtYDlscDujZyV9Zi2CalXvClV+SxaqawByiyz0l7YftYZk
QAoKpqqHbjviVlO1F52qBveDIHhEpIpuun7PYqYRX9J0qrK9HdmlNvF0a6vEi9lpk1ubdJ+9bCpp
i31NatS8xLUtJtfrDYVa8yTtwb036M8l2L/Q/++fVWsP2WOtDZV2U0UMfG7HrVBFsWBxc9OXY4Ou
MbS5us1PccHci0Vi19a+lRQ+zg4fxaG5hAEYiclfmSFVVLpJKxMZ6MLp3cupZpJ0Jrt2nTNpkd19
LPM0ay9kZE3VSRvwSv9i6Xqo+86Ws+2HqtAGL5fmpJ0rHXWqW23ohoQYhwy9r8iMy90yFG57nXQ9
RJdC6HK8X3Nwgb6rdwx5EisvkZhpI63/5jpdHd5bU0fwL/E3SMf1Qlux7yZlRdcwP011ZC3kU1hc
+4ac++G4VKWyji1d9umQZ86qP9JVFOIiyZgE+rVeAADYQTzVWzdgba70traOmrZvWtMcfMspUs1j
z105dbfYzBoF8hh73QBa3ewTzWDe45SMeBYvx2LN9ZZmrkXQxlLYx34e1Hqs7VnTSyTdzGlQ9PQi
vNKqQRnpWRht1z2KDlX1FxnZQ3EmsU3kPhfxoD5OE6OZII/cNIKdCCDtJinL3LkMo7zMPk4uD+Zy
Md2su9AHLHWuRu7VxNF8WcVNOsgiupjTVmUPFHpJOPr6QLbcBGnlFrStbTTaEt0f2My15qP94Sx1
wBxQumqfAQfcJIzlZxQM9c7wlUIAs9gVjIK64UQC1vJge5nW7Q3ndEnjGTAOozRyN7V8tHjskKuU
iLP1gelJOO9HdvJeras8U0Q72qWphYrEztFRrzO3MZ5rHvTUcepDlspGnNe8gqJrmEvVf56SQSFa
kQ1Ih+z7qJ6X2DMmR0hmnCagK73p3NF3aGx0X4oRyfqbCtmFztxvUq8GPY1ZYO7utqsaU18V05QF
S9FujnJ951yLNrTLkw25fDo2ZT1YQTQudXk2O3RqaJHqzFurpZXDPqGJb3haZxjanhllnwS5GynK
zrrpajIkq0isr7PERf4yXKN0vkOSwe7pvcdhu363SmFFz3VW6flJt6A6nnS6vs0V9PK2v8+RpCa3
KYU9nw1b65bXpRFpfV6WSOto8M2m66+KdMSjvzwwW0m6DrBf09tXg150k98vGIeeWm4hDYbVNDMf
bLzDzNy2N4zq6O4V8ODrfMQZ+EGfsqi7avvVKC8ktnfr9rZlCNdB9QvO8J2002fafJoVpMLV6g6x
VuoZvytZ7cWOzDrjgCSQbmX+1NbTB6W1o+Uvmma0bBa3aaFL1GJ7gqqmXUUm0Qr1oZNjrsFLT2Ty
fdjOx+9ygGePvIGITk2lFsPTiXf5R6ttzZ69F4mi6b3a7SD602LCKErGeqIHlik04DVW1ITXZiz7
aU8YRQtxzMtkfOnTuZ7P1SoL8amdB8emeGnS4WJZ5Dp/cmVRjx82DUfr2BVD6BWI3TQe2Wi0Ncvr
eeTMZYB54y6LkhddDNPgmkFJgQYDufFKa6vJ6FoJjCtt0X+FuNq4HsQic9rNTp3RtWub+A6YhEFG
NGLKfJeCbORcxGMD7UY1uqF6lLWugGuXOvOs8VCGbVP1XgLfz/YqFxyB5TP7bocXGkkRzVsaNnr/
lW7Fmmie05O+pp4gyvb0EPMKtoeHSD11536GHoo5UDnbTvwZhvUytN4wYWLTHIqxF0nqTw364eSh
ujMLI2itGChH8B9d2yPPqwn3wKTK6n0dRFDnaW7fhD5CydaDxW9rl+MUR/VJxVvvN6L8nustZtrh
h8rs2h3dgnUAqayF2uk/wmHW56Wz8yNC3fMc6E5aDd66xOIDA6tyCJwQ8vdfQzC9VxZyFrssqrLL
d7p6Su17Z/xrCPX3gkIit0bGNVzXSu5cmhaJ+IsUGuMdCLtCrVGFiZR7jkmdJpIa9auOaN39hMNr
bAirf4f0eYfspBVm9iDSmExo7L8mrpL+spi0Cg3Erq1pOJljii2AVI15M3e0bimwUk33K23mPf05
hGpDFf27e3gHLIsY0cyJ1sp9hZtpHiQwQ64ADzY++RrjR2Zx7k+UBv4ITPUOZ9Y2HUsNTPEeQYBG
fuyXKhyCOiLPDSZOJtRJUSTJyUrnpfzJE/4DCOd7daIUfBiniSn2josnR4/szK6h1/yTL/RHV3+H
Pqtx9OtkrATIkeI5a43Hya3Dn8DF/+ja20P8J7YiaXpT1FEo9gu2H17cLqdkyK2/ePF3CLPeMPqy
Ghyxpwe9Y5CaeKFB5/HPF9Qf3fk7eGg4j0kvVOLsI13rONPH0DNiTv+/dvXtU//puZhZbYEO4rmY
a4E2b69wmVyrj39+8T9Yobr148Wd1iimek5ZLrFU5veOntLk685i4ivkmkXt1QNo7CNMIVH/JXs+
672eTexGk0RGSOyxQxWf7KbtrlOD9uqff6G34Ppvdvd7NRuZLhZtocjeF66K6UCrcpkYrvCfl8Xo
nUebzJu/KW2jdA5Jnd6na3JvsNLEMeySIaZWieId7ozf59HCutnrJSnZb3f3n9/m/xW9VDe/3Uf3
j//iz9+qmmI/ivt3f/zHfVXw3//afuf//syPv/GPw0t1/bV46d7/0A+/w3V//9zga//1hz/syMv7
5XZ4aZe7l27I+7frc4fbT/6//uMvL29XuV/ql7//+vV7kZQBRU+bfOt//f2fTt///isjX8PYSDv/
+c+f8fsPbF/i77/+7/L71+Jr+cvX8vsv18m36vlr+wtYHf7Y/dsrvXzt+r//qqy/KZIGBSdPt6QB
huHXX6aXt38x/2bqjuVIWwENFHJzZipxQ43//qth/Y2/QfrXYa4odTDqv/7SVcP2T87fqHGY9rvS
EKbOTxi//vcd//De/uc9/lIOxU2VlH3HhX/cONJ1dEPq3JnBnemgK98dJoyVGKMlM4ZCU0FbVBTP
Ze1mO0vKziPFrvfVmr/2TlKTKWfPlQG+W1Wa4Tej7i1JBbDTLel2zJNgCJw8jiAA/X96yL/f8g+3
+ONZ+3aLrqV0xEMkT0S8V6iyRhjmRobfiVuEs0eJa+44jpjcxOo8Ns1XIFXXTjcEXQT9L3OanxnC
vzvs//sGbJS3eFRSvWfPmplRuxNNXgS4uAFrnUcfIJxFVzXcxU1t+kMYhh789IshbgYvNX5KQ9wi
8P8Eg9/uwHE36VehOyA53lGPOzsx27zIaYZhngiKVN5j73ydNOXP2DDbhf71g7BZh8qslPmejOSs
YdcD82iQch2rYx8BpJJ9/VQ1Bdj+hbEPal6V32wt9HGalC9DvTxrs3krSqM805rVdkxvw6806KZd
O5v6HdzJ0d/2xYEZX3saympBG9DOdhoVvJdl4EqEQ9Xagm6DIxat+3AwbxoNoFgc8iCXxvnchd0J
IJ4b2EkTXkSl5jL0rJdDJ1YG+eHDSjYCkGO9rwxX0O2a5uu5y14NoHK7bsyfy7eSH0341VUvY1zc
Wav89OerdMscfnxwbAlGKbrh2Lr9L8Z2ci31PEoapFKt0N2REH0G50nru+390DQB+8SRogs1qp/k
0Oa2QX/8YFvAVZKutMy3MMK//9PxWtRK1p1Cv83t4nzn9nl6kuDMjib9uyCymLglcqXV25risljY
0GUHKlG6JS80By2dx9F+ALvoM1pmSRtmFjCdcZH0mpYDKLHed5VpU8uC69r9+TN7I1i8u3fQ6hIA
r84MT75P9nRaEExA0OFShlkGDV3hyyjO4NuO4AsZmuwy2TN5gOZ7Xc/uabQAhGbRxUBH2AsL5/Rb
ALLnfSXODlgwDxwRxbHGl5ZACTzgd4lPk/Tbn9/3v75rm3a66QiTgCSwg/3xkfdmQnth5LaxY0O9
BHtKz0UJ47cH3Tq18puhV75m5+bP9ue/vmzgs6ZymKMZOmDVHz95MIuQbhcSiSGFqT8OyvVU0v//
2exu0cZ2LNNQ0JA3r9v3nkQl8CNLa/Kctr4sD7Jtsos2jJ9/8hDfmJ/v3z7esibwBIOx/HsuWFW0
UtK1zQ+Vmb+GmMJtqDFVehGjNMajbHKlTZwtI+i00lizi0Lkr0Zkr7f1CmiS+QbnzqIwkByVX1BI
7xhl6secQmwPPtf0W/oHvlW695qjMSB35LU5Ly1iS4MbZPOQeqORq73GGGGX5Fhl4zd00GfimzCQ
QgNcDYok4cfw1DHOuuTW0iHX2R78PoMeupKrNnvmyv9r5lk7phFsgNpMAJ/iXgSCoLb3ptk9zr3L
ULiewG30AM7X5Fmk1m1Rr+FFWKegE630tTWH6tgNsaJZUx61WdFFxGt7n1fJaxuFzEQqYm5jSXp2
I44BrsH6LqPO9Mc6f3ZG1iBY84dmrVeAdeo+ZnGA6My4b+u2TJR2nOLR3Flm/2SU7PZpi97LknWf
6ll0+OTRqJ3n0kTGiQ/DKtr+augLYRlwWZBPyXMXzeDKmsb0Iydv/MQUX8qWNm00FOYd4EaSh2Tl
IF4dbSfz9JUKovPGqHeDAhNUL+r7O6SpXpyM0xOjlXME9p0RAYF7GhimZRwgQUpp6xet9iRBUQV2
2CpfxcDZhGuF/mB38Z5YBvZNJM+WzetgFJD4WscJnC+MNAq7OIu8/pga6p7JXcE2bPsgC934QPJj
cbDgjpFbvJqya+8c7NG9oh4+kGAcgAQ8tzrw0m4AAaPJvNupjdtRLATLtkkd30V4umny15L+J+rm
42XTj5drkb3m+MUcZirlIELk1esmINCTdQUZEbGtcnQDU5fX6JdDSGSSQ6fazgKTwUYQ1qzzajsy
l4r8CrZiDYIme9UijRXLm8UM5FVAq/MzvRGP4wYjL6PNABuYbDCH0WtFBxlwMdGatqcbaHF1nmWX
euBogM6uxbNVFfkHmuLMDUbN/dgho7Om8bNj6dUxXvT20gnlvd7nfEfS07OTDuRW24shM7junBZY
qMHh8bZ2l4llo9cKiFKY0z+Mk2c3JGcUkXVrubk69Ev+zMgWEypWuNGzNd4WbruBnsNy3suZqQTA
lQPt9ftakcjEjZ79tgUKVphhWLck7l0AYpUVadfrVTnzsoZkyzY0rlcVG5ItZgXBjgDfqLNdapx1
PdMc4/Oka9rOmMLEr10WbdUnz283zu2SxQzluk81zjSl+N6mGLpPA1CePYKhxOt6ZqvJuL6qgATs
EmhKvlzAr6+NPBnOzD0VUCKSHjQEoLdzNUGnSbMw3c99WHoFAUzDm9xTUvA7fA+WbvbbCy50cWvm
zRPIAddz5vS1cbjrsEmf38LFILPXHmlgzx2JBGUa8QGdA1oJDLtfO0vqAU7v6DbyECkGyIdW8imy
ZOmNwjiCeE/PeeVmQdYQlQhU2c5Z6ydhVue30wmiB14wEU9AGHZ4YTrp66KH4Y0J6KkgSfITB6ks
YP31Hv3HgHj6vcwJJpbJymV803ldlzwgSUXI07juSKzNnIoHMotDK/PnnvxqC2d0Qwl5uXP9FpQG
QXihpnxKZ+4tGZxrs3LWY5OLW+odtKcB3Xl46TzDwUx9F1ckD1/T36uJeEtYnMTSdtux41Ty+u0b
Tkv2um2JJhG321EgHfO2r7mxt3dQm+o6QXfT05kAw1E446EtfKPclk3J+Ck0AUJVRvukp7ZxFm0K
myXKd+3KUsEvZfkt0rk2wQRS+321CCKqs2o7osn0AURYv5s19i/wEXM3aSu/5draMQdFe9Fvb2fW
WHlirc5rBOSQNhx/Va/zxVskTmh4BokT5cEEeIkdTJq1rO69zOtm9fgNhztx5303869uxwsYkqFm
IjKsey0rkutK6VngiprjpyMisIa5/HauYOilMPUlec4ccWu04W6Js+Vg4VrkZQsPclth88pP0gy4
FUSa/cigHKdBFl2rCDyQEDuvGIk+7sirsRQJxfZ2u7R9Skp2OK6Hpk8VVIJ64YLNSFXwFn/zLTqG
TVweysywQBRV1bFJu363nXGt4gOimFUtBjaQXLOz43DXJrMxnz4fpL0tHR6SNN8NE7gyLcyXB8AR
1VEy/fUseKiejgTI21op++I5deNXKAT3oZ4uHBgtU6CRR72dNqEiLmY9WyBE0+ZqlrgrOZqjezif
m57dtxl2LCDmAHc0e2TJQRowqbueAJIEAnka3xYS/EsTH/O64sBb+uaaKNlcJnbcn+yJmUsnaF/N
VjwHMJoY5w2Tu6sqFQYpAyOvYpYNdBXm2rGt1+gZbUSGBBZw7D3Qm9HrIdEfIB+RaszJa9VUT0hT
9Xv8DYtvmP+sH608rS/1MpuDqO4/AguODtQ5ScB4zHjSbQMkU7GUZMRWEgBFCQPLWvUj2PW9WCmT
xiraUoN6rE6tiOWNMQAAmgDm+TauK6yEpjq5WwGX0S72mrW9tozY3kt7Ni5wQXwetHwOUmkCAsgg
F5jT2u3B2KyXa8t2Yiz/7G5lXiXrLABiyP+4DMuEmGJQaRAB6OFnwVymiT9tAi4oq+k+Uxiornlk
k6MA24uLjJN34YmNZvuCdoS260cQvEZT5tCB6n5nSvsE3g02WCE9sCerx/R1YgSL8m/m4nZeG23q
J6kd8vEpF+u5mG0MXHstgUMaxrBvB3GRV+OXCNTJS9a38bFo3DCY5pDptul8wwtll0bLt2EmedaM
mKCl6Z1fIf7uaU2f+6wG6DQZLVbHAJgAUMzUqeESxzMT66hhiOFbHeijMbIDkucbbcp8HNJIE/Vh
H9FL27kR7zSKr7SpvWSmWbEIpwdDny5avC48N6EtqZT2UjssPjmZ2c6cDROaj/ZV9ETdtDEsMEH2
bZSlsD1a/dxqVhaUESETDV0mlwmipE0S60E3F+zarfJZM5ho+kpYSobk1ZgrtY9j8icjJNJUZbw8
WL3NnFqaK5ZlnEB26YSv6IJWvmm4+WPZMGG1V/1pNAkVmtE9lWjCeEXWtN+ilZESJ/GwWx3ZH7KK
JBg/5HU/ZRshhxou81IN6NxbHLe17GzpnHMRwUE3BFJBYwVnq275ra2iF+B3AmmxTRl/IhGsG7fW
7LZgvJLMbwvWLaxSZiuROtjT9KzGAYpHOd7GLismVAUA/hKbMtBar9t9jq5+a9B9OHSOQVnIae0p
0mzUK5/BmT3p2UCOLPTbDqqVB6SGFQpN+8IwYnwhdclAQ0Y3ZT6d68X4QgHZ7PVRtJedbrYPg5Z9
TjnTwK0dGnA9F1NLUAOwl10BvdV2oIxcWrQ92fUWTte+WK+ygRNvdHuwRsK9t5LsuV6KMwnGfLOi
cEYWaF3VLXmNZqizkSYOdaOb+L05JRB3io+KkSfCUOu+N3O+K7hzKElpfKPDBfuc6Dz7kjR5Z2Ty
lNussDpnNQyaW5Fg8UyLfOI529J9rKyyvYQXPt0XjaZDU2a5mVvzKokWf8qy2F9c4loI0m+XNfGM
04plDlAwtiBdUK1glUXu3fUrX5Yc01wxySkT5POrtjrmkYEr89CdDJW+llr8CoDoqW05h7pSXMP6
04O3E72fKcK2dKfZ1mrEMrkG8ESVR05AcW3uUmvRdvDYXc/ezsxyqeAUbFXLOtMgkvABgyFqn6qC
o2echulDBMASMIrOyy43Bw4AahcLnUlP6fn8IXP67K4ZxsQvdGOnAR70Z0Y++H9Y5u7tlGv7qjwn
+Gz6oH3cIHKVcUbfnaiPcZ83x9b6pbBkDHJ+Vj5di5EOyCAgN0MqGzRWk1rC8Gs+dVylLV71Vdef
i3Aszzmn3tvqp97cAeRILihWX2lC8K1y5w7Q8sFR5m0ZcUx2ISdXWmsvW6NK2GtzHCI1XomGN7Jk
2xkYsT5hTI9+Rw5FUIjq21aVBYeZqmHIaOBy9fh6SQhjNCOzXSHha2Siv9CGNSHi1sBY1nVnN3z8
AqgCfi4JFqjhD3k7wtqwUQfT4skIVMwxzGrniMOh0h9L+/bt7FUz+zS2w/s/L/z/teNsO44uDYlI
N7Km740wBnPQ67hC79reHtNWUtk9X1p2cw+q2r5NItbfn3+k2GZM71sNDsxj3TD5RP29COqYjlB0
0wVl6pI6l2Epg/6+f2pq+pCpXqz7VTMyHhwLCzDmuoc1C4wtqx9F88lt6nvo0RCsYmrrLbMZpK7t
HCnvszG60TF79K0Cig7CUEMQT4CS6mm8cQowJqbbk3P30cNb7/StLJOGCXOniF+duR990Jtw2dcy
mLTeOJsAMS+cei7Os2aQQ45bHiwpu3pro8eApaSkZ2DeaToUuK3uQxLbvRvc76mGGGUJRwRA9ZZ4
xkn1f6g7s924lW3L/kr9ADfYRZB8zSSzU6qXZdkvhFv2fR9ffwflfaosaV8LGygU6j4cYOPIUmYy
yYgVa8055kZyzPZF5IaI+Iz3UuiMt115hhAWswkSkmhEvAYopXmCc46Hcx92HGNdEsZO3UATRGKR
l0UmHiFas9YzOthmA0+4gX7/na/1H/pwrsf8RNo4a9cBxstuGGD8RiRmNuxTp7M3naniAy4+Nj7Z
2JtMA3UVy1Hfjnli+X++oQzz7Q1Fx8BzmX6zRtG+evnSLCbGkGTInbDLjRvkV46fIlu7Sya5+mPq
+vOgp0A4dEU4gkhvKqjb916NQcCajac/v5m3PXub/qhwbMYTOgT/V+/FKnud42Y47LvQcoO8Qfrf
RPwX2J+HuWtHtFLa5JdTmx+SaPx3QY3PzULmBLwBz+WrYJT18koUfEKrL7V+37gUYxkNnS2RAe/R
qP5h0aDLjL9RuPQ934yp2E1NwZQMvS9m0u0A69Vv0/mztnRXyOo/LX2evDd2+oc1w7OEx13kmQZz
n1cfDKZHRFlS9CSzp91F2NMwT3q7PfJ80sqZ3IeY7XNT63TPcCt+LeZ82Y+zUW8Qnw/bfEy+q/zx
z9/0S8XHr2vNHFEKnTuPJvCrQX2NMDfx9JobPks/V0jBfvwqfrOUGi+fm3cm3K9m0OvrCcEijV6Y
hNl1EPnyux1MR5NhmXV7N3GuEG7CG9ZEGVShnWx1quaNMcovdp5+QPB5zHXnQ5tIDS/idDmYGcJ6
VF1KJOo9UOzaX3+5mgvhmUJwq/OcyeeRyG8jD8uFNhc5UbcvAFVsnZziWTY894NesmWa5nGomnNM
k+wjgTP1rqv4irAe0tLVqicD2dQG8Bv+tdo0N4RhLRQZ1tVk9O2mT9NvsjuIXp99vK+3qneOVmfd
mtQ4Q4SsAyZNGmh9FMQOnRoHXcy2L5GTrlPHTOqY7vU83doF+MTOWs/WOhSQPCwLcvO0gktDK2sd
2z3vMilMruOf7xDz7bVZJ8mCBr70PFe+nud6xjjD0yXemzyoGQ9lE22dPsJAMRX0xZym3y6xhQ8U
LvWmH0f9+WPSWkWq31QUhA6t2pBtR+H0OtX6QOAQOslgXOtmuEFq16GyvKQlAd7HpRMaFe/u1sbb
kZYjoKOQYyIkQ+nXog56GSy6LcUmRWmH3R0sIj01NA9O+zSYmBEA65xdD5Wqga51o+XJrp3094IH
3s5cHeF53F4mk3vdeY3FLFKFytCJmj36iJM5cWFM7oSkHOU725j5dqVhdGi4nsOE1zGd1ysNU5AQ
GyS8p7CkK5hShBhLpnaN05c/c9XR4YCduQWQwqloJUOWWcubGYh3Dosx8qc6/mpyhE8m5k24W+kF
cgTk+mZQJvidksM7/e1zazGbt3LacKhxtHdmef/0pTHAYwAqHFaNN5PjkpOraaiYGOauMHwzt2Ee
lXO9LTqqzrmY8dhPw/f1vLRktJ+GJv4J9uudFevtAukgi2CeaJmApN9sE7k5dA68i3oPpeWHhZVm
y2XgxfLW3E7Le69mvq2BHJyLjrda6AzMGK933gqsCQYQ/LNUN7usrhZ/HUuqzoQPYESCBi4FteoZ
cpiuHV0Dw3iq5iq7lAXFva0jXXaN5TK3G3UYOXhvMrhXGygVOu6lbrxMrekdQN/bfZR3LNZBsSNZ
0V8LCVrsZUU382g52pLsq67ufS2jAzHonJ9oZev+qOfvDC3/ofrm1bgjdI9yUYjXTxKaTHeqYBPt
w5TGZlNZNgfx2TynuJkOcdHTT40QwhvZcOxoT114Fo3KtWdIv10LCrPSfdJlPeIQOZD08GhohFrG
idaKsWsoLWuLI2YsOXZbon8yFaeJ555IaXBwQjzv7jDIsZolgn7tOn6xzSG5zThRbYvKig+2cux9
lGF/SELrQ97AEDA0hnq1Id2NYuiwi6EEbu0Q9IxYJ5RIzW7niT7J82yjym19w8zt23oSlknPy80w
TYzws6XNcFLqbtop9a5C7B+XDQlQ1+Di2jqajZe7c+2qJG5tlo1o6eObrGCMaXCW2JnC7jc0liv2
QA65iWd+pW1ON1vwRZdT4/q4BvOglO2EUJ0e0fNaX5gTo9ElAT5ld3gt+t789DzatGu86R7T2lPB
uPsqTvkS/rxpvS1gXdZXilcUJ7qJWevlB2kjmxFs63T70mEzHkDo+YWzPhJ2PF5ErYet3VXFJxuz
J3rvMXtnz3xmwL+sJ1xMjcJC84Icynit7/HcOfOmmXxDPWeKVpntfGNk9PvdnE641Xj2Y1mLYpug
6j6S/qb7mc0OOWv0sUm94hCXgaQcdKfAvMxtyt7FRMlhAISC+rNuDKdsqZ60jubr8/yB1oah0ecL
Qf/E0BafRL1OAwRN9pSm5F4v1h4f5nsGaXVy2zaT/ajnwkfcfm5HIA5CKlSmq+aliLyf/I+hR67p
P+wuzfekAS97XDjmO/XwP1QWOOxdwzU8z2ZXlusu9lvVBZkmK9MprvYNQ4rnAUFhryNhg4lQnfAY
qj6fNlGmjrOe6c9+hG2YPDI8qI/PYxilDwinWg8V/qTf5uv61sgHG/0ic/H6U8lE348WZhEOtsD9
n2+xt+uea0oqCp57nTPj6zPSACGsK2i87DXX3hMsxNyEpSJbOKI+d6Owiryz6r0pnh3uKepTDmU2
lYz+OsAoNsCrtBl9Dlrb9Wape2eTrJP751lM9/z1DgyFRtYXlByIRoZ1DDj2+B6sah6CtmmzQCBm
AeTEmvPn6/F6o3x+c4K6ludtVQ2tP//ty5SLm6ZaRrpSEjewI1reA85ZpgCMy0hbeQ+j/w8vtz7i
KJUsg8PEm20HG03HIDLbT2K9a53iDD2AFanj3uHs+F6/5zlp7Pcn2mGNY0VB0YmQzeDk+PLjxe3I
tLFN4n0cx/jPk9FmLWyJUbC9HaMmL95MJGgGCcHivkUZesB1GB7wIJVXdmU7Hye78G7ScThIa7hG
Tz8HeLbkxp7GJph4Rn1aHd1F7tbl3psWuan7MjmXVuqhVimYbqq+3HUJfxzyuVxn17dALNIj6Q0G
EIwOc3JlFj721PrAGcaOtzgIJt+ORLrVrXg8zuG0oyPZBG3U2PvCjKwTWg6NiUp23WFM2XJsswBG
YMO1jTY5y0ZLIfVl0XXJOXmnRm30ofu6/hDzg9jUvhqr2s6YmuF2oVDbFXmY+k7MSQ0f8EjbUJh0
BOEGbhLm1H6JG/OEQFWgA8u81JdFU5IEaCenAbjghNKizGhZhdbechr34CW8Bxh8q9P4vu7t6ygG
mqjRHb5wpQZxS1PG5wET9B4XuXjnQXsVg4jwzXQpwkxEtKxKOuf1l1+2FzWtp+Xs8igo3MPzucfK
UY2UHViElloqNQv9um4aApXrCcu7WuzArNcvsMps32178D/pQF3vtE7qJ3n8LTdTrO1IDzfsDJL+
zmgHgM5S32WB9O2yLXcMEezt2pXYuZbSHpZqss/e+ufTqr/uY/NBOKhNplmiJBGDFQxtUR6wPLvv
dH9eHx6Q/fFA8QRTx7DQ6K9udVZOQ1g4q3Zxq/ZtvGxoEb2zWLxePJ9fwuFCC0+Xhnid6cwpTNAI
ANpdzGntVyO90LEdOWbUCjFIbzVcG+29U9HrooAXZe20KW44T7BsvFqhIg1WvYxxuTSV0wQMvzC/
KWJoxigzEAww0tMgiR4rOF1bu/+3Dp9VTsk+h86PAp7mJh2Xl3fV0hT5mBaAigdZa8zlCa3FwK78
NF1fEJfVsfZ6d89q90DbIdvnthw//HmRflbAvVjG1vdAv9rkLIPodxWI/75K89i0jtlqcgegimiA
pekOhW21HMT1Tm3aEQhOUujdl1lX4RUX0r6qZlSnYFzcey1z1Mr1aDF02uluIPzvSe9MLmXTUd3F
9a7I4vYORl53FK3Dx+lj59wQsX126ql5NCNUCZu5NJL95PU3lhNhahm1/J3iS6xttBefkQKWgYC0
QM3TbHstplxIuLEbttDdwFN1BmI27/Q6wh07VuPp+UN4Q5zf6FPknLuYHzB4DLee0pWfG2hHFCWY
b9GLgCIYRgcvil3fATTEc613x1mZP2u0GAds2EjI4I36SWTdZmZhYU9OxpNScXfIG9miAFDuXs7O
yFS7CzSRAqpSsglyiR+QQ8g6Yy+1XVGbyif0bBPV8bzL8EhdzfzmrgZSsonjaIUbYP0Np/wGwvKj
alOLRWg4iWngzdp6vomaeARj5vRPWlV+//Mt85zn8Ppy0hFHU+nQCn4T5lF7+N8U56YdwCF6JwMJ
AU46npNougcYHm6twTZ2qjfsTSKXcAvYEMGRqEkjh/e70RK6V8CrjG3u8Zil8CEumizSv5A85DBe
9tQFf0WexxE3G/DpEhAjjBsuutxj6v2m0hqeQRrqW71Hsif6zt41JmxizNHtVpPV45Avww5s4kNB
Q9rPVPuvK5v1QGRg3ffWh+dNZbPMScygjQsw5uInknn3Zv3CW0Ct28mIxnd6kc85i6+uN8FGyKxo
R0IMeK3ILXCEm/rQs0ygCfJThqlPqKPii1qVxlZXxbyz9DC9imUfX5jYpTeMSHFwTYbygT1ShuLk
3jKf+jh64XmK5GWoRLczkKrM8rREaeU3CzfnmKLb5N9uawobX/O4uFhZQ9+cuCWpPX9WXaNuTSBG
O6NR4w+y2bvDYPFFgmwoz2mnywBvbrSL0XV/mMa8vWNqTQQjiJZb+NFqa5uIDVbmcWBJ1QQ4pMdL
FEnekbHibY/J4+BlC7e/8obLQpYOWMMKbIfO2tLV5Ix269thBpev1eT4QeCx9ruRtVKLiX3bCtNJ
d+AguZV6Lb0y9Qp7LXyAz1bo5Og8CP45x3Gl7TxCtrfdGIEK4EJuYseQQUxDgzKKJtl7WW5vClMb
Q45DQ2EVVa9L/csVtpMyzwBAyp3boixJgSTu2lqwwlZ25TuiejcF581eaht0hNhPLOGyvbx2qKb4
nSSfQ+yMkdLSxUHz2YTWuWJhWaC6wTWJ4nL7fT/N2s4i4QOZWBODvezdwwLPBzZIOGyKvCo+JNEq
PkrYFDJwx5D+BEAxE5TEic0aTBDSTV9vWcGWns8BLSvdDrprBEs77LH7w2417ftptJ5sDfwQtuz7
ME6+cxIfNjWjzIui1xxw0cBZiI5xb+BImEGcu00A3YNmURnXJNXN/V7SudrbDKR3jM1ZhkdecvZy
650O49uvihEfinRKLA7q4vUpHfI4ymCF7w4mEQVIzeshm/OOaI7cQ6xE887rGW8LS45tkIs58SJT
dxzvVQniIm9rzAgrHjomi5grlKGGAaGD9Lx+Xyo9vpg9OwmiTu7qamjBYfCFyKyxgqrg8jpTyShg
cmDqcnLeegMblY5P3dcru0WUYPT7uuGjJLJq74qO5VqU6+YuwpadJ8lvRFl9WdYvKipFiOKa55XQ
ji/oF5sglahC0yohe47e5EMF1eOopHuZj3G2Y8rwE+d/5QO4+Zk5+Rcz5r1rOjBWcK5AVCW3mTHM
NFaq9qFTLBOA6dNfW2udUWq1bhQ/oSizAo8sm1sDkS8aERYiz2OXjHl6LwCD6BdTb/f7Sq67aZEh
Bq+pS7KEfWYoBnK/12WO8I4UWc+wfC0Vd1A2skQo8Fl+1rbdAVU8e0/Gjd1ldfOYJJkGP4Y9M295
Q7XjVD4dF+V7WswUAAzI3z/NWSrgw2ggVjRO8xXKEH8wp2Y7M+cHvMBfSGOzO9oQSVhnWGkTY6Ie
6GeYuMbcHeNedy+Nhmn6APH76PWRe+gcFrcSRrCvA2v1y9Dr/a5C/I3mu9+3UQdPxUBFVPYhkJ71
Y2piTRvXlPLr0eiCYakwZTahdzSBRgRejvU/V/KDXJxvBXrdbZbb5pGFbTzjqbECFn/uYrG4+7HJ
KVngoG2eV0pPcvlQmvIKGs9Z7VHpxAXXP/asnkM7X8dz4fB/29F5mXxrq6762f8PsHQaqD3WE8Rv
FdTqG33h6fT/t6MTXdzvLs7/88u/bJyO+Rczbv5fKgvOmc+d8182Tkf/i8MCmwfdBodqfTV4/m3j
NPW/+AnnU8kDtc5QeS9/2zj5EbGtlCiCQytOTuKt/oWN83nK/lsZsp4PgOtLToKGjcfttWsYPRld
wtKwmYglPwH6Xzmt2NfSe0jDOkM1aAT5QsNl1MKHJDIx0MhPThvtB+8zQPGcdnd0EcYKJKPc0ybf
GSjp0zN9YaTNgqUqD6JwvETb8tiY1j7ro12txD5V7UGvt1UcBnZeXxjtVg6kpU38LiPOPG0PdpMD
DrZuZSuuhLT2U2Pf2qFBk2WzzsznKN4ttUejtbmHiHKvZiQT0sIsV22zQgfL/VXl90vEcgcOTswr
wnu6dGr3OETFmZbGVWnPj7XFQbwvbxibB2Qe7HN0uinGD1JZHhTKJ98N7YdORod2Sq8LwDQImr1i
A7vooIAXb9Iov+0j52CBFdsmYvzctx6KnxbmBZcs0m3E1PLYaFmAGuCb1lt+UxdnG9nyb3feza9v
64XR9dXc89eX6GAksriZuGteHeXh55hdrGuwHJvGZ297bpRFU3MtluXaaekExjH4MeUEGnq0kW/m
z2/AflWcUDNj9qJDKukm2FQorzY8HE9u5cEYC1AnomFJzu7QAj/Jjc24CBEQG3NtQ1ncD6G6SRv1
OJaJBW5JaMdCMlR2Nj+gnLQ7iNISGbGV7BwjLEiiUWegnAdY49kWrIMG1BLeMoNNzlzEoezLacEX
0zKBQjEQTMztUA1L0M8hnnbPumhmZswxVtNg6MxvyxQum2lWt4NOlEzH3sWz99FqzIvQmS/ddLgo
m7g5VU0dXfz7NfK/XQBf2OD/23/1/6HznTWNqfN6cPnvre8PbVIP7ZdXC+Tfv/a3z938y8ITudZo
z7qoNe/+b5+78RdNI5qwLIKSs9naoPvPAmn/JeBTU2TRvHIxHfKj/yyQLLimR7nH6cpcjbXuv1kg
qaxf9RlWpz0WbjoJEPmQFaw//63jXZeZBvfeGA5AUZftkPXmRpvWXIOC5c+bn+i/QPKf43wrOvwT
qup/zKYJ1N19Apau34UAmALRTN972M9YDUie7Wc5+NCZNOQUTXmf1Xp3seoMgQ0tpa8oCCh00lv6
RzRLcSgdytUjFEX1FSp6OmcJoTFLJZ4qr252cljuKlv/UdT5jbHQXs0jgZQKIx7abg34uXUFbtzc
iEprPnOKI2kAAOABt7ak8rdCXjUaPyddfqBIPlM8jfGmh6y+KWR0E0EG87HsaXC9lmhjWGl5xiRl
XfSprU61VstzXPL4bGoyEtZp0vIYetGDnmRfJgZUGRYxUun6BeUH+yPw6jn0e0reLcEyGN5Ne7jD
KbfP2sw+15RXRzMTw06FS+VH2CjhHRocyTfOsMwTkAFj+GkM3lW3RAB2W8u5XRubW6+OsdN32R5E
Z8FYoCkvnbTCxTh34VeLivEg6eGf4s6sfY41Jph5zzmybtQnvNfyay+Xz+3sxagxVbNqMLut6WFV
rOFPfR2kp12GyAGP3lRD8+6n1CfX3L5UWTvsRFH9SI1+2mte41y3esqYIOJQNqQGZGO9crcZMikW
QFwGk9e0p6aYzTu3U99rAIJb2IbN9UQS1pNVLU+AIWP01QucEy/FYtjpZ7vJhqAGvk8Jq7GEj/nP
pHSzg1N5n70e5wTIDwwefQ4UcjIckoEL/VQ5yOj4V5gjyO+6SJz8IZHywem79AQgFvx4NCcPXYhj
LnMY7cLXihipRfnd1APhNwoCt1TmWcGUxN0WSuQHB9hX4ECuvRzS5iP3q/djho0X6BpwS2VWrV/0
cRGMdfcQUinEyxzIakaNrbrHlCwjxAGjt+9Ka7UD2J9yIEtggbs7Q9RzkPUO7LnU6qDfV/2jHo0Y
NKV7R2TiA9L7m9LSuGd53rdjbMtNNxYWc+URMMBMLkyI2MFs2n2BWuJYhgkNELwU9Y0NDStgh9H8
uM3yaw8LY1DZ0XQsEqPeSe7B66gn8SeM7ITDKv3vPI5ZzjwysvoajluK78PNW+uC01R616U2MK7a
XACzdo9G1M33BVkHp4n67mD0hIH1tsSrkYL8S8biEQpjsuWrIt5DLGO/ydIee8GghZ/aqh6DMDOb
Mwbs6KSWSUKWHhHTbQwBCnAI2x8VBEQ/wn2B8U95V5KB6W00w2OsZ4TH8zRY276TJ8z91rXehuga
QkHZ703J7UTSEkNDd7jWU0WLTZPqW794h6RXzUZOTnVw9ZRttFbGbZj1mJK0JAKJMVc7DI0YL4hQ
Bo4dxX7WTy4y4tpNDiapEHlQ5EWJnV+XZP1qw8el8+SHIRqcQ+Mu4UdkfBw6dLo1YtTTfWITGYbK
arloHJF8wC/WnKOqkdYmxnd0lytDu8KSodDi5elHWZof9bjtdxXkxqiLykPdzTd1P5o/xprgCOSx
k6+B2VMb2gQMROdKndwYGrbX1V8JZpt+jFZXXDu1NZ28RU6HvneBRAML3mpOnu0MFX10KTav8CsD
FS1M3yFuKcLCiTRe35ImU5Ee31zMIPl4cldwHynSIaez2Lmw8yK9mVRYn0OjT69jYHHbSh+IdUjG
fQFV8GOpDwMg3qK96ptl2MYkTvlDgr6w6BYuZ6rSD+QYZDtCadQdBfPtLErC5Qh38qtlSo51Otyy
D2koEEOMWbqIvrYYFw5Grj1Ec6MHyirxI5plf00KuGCcpBLQru7gl2Zynt0Y60JkV7ci1ekIJfaA
+9MhhgLNGIErtA5wfy60aYGkHGkzD36vNcIPE7fY623WIhvvqw12LAc8AgaM0bFYhRPxA7NL6XsS
KKvtebdFK78lpot8LMW2bXvg82e95oA/phMN4k4F4xCyvIRMx6oyfERMxa64vgcaV1YQJXg7q94z
P7ojT3MuTMnxgDgOLCUYws1RMOMFyDl91TCHp5uUTu+DWbs/RZdeFtPA6otxdYpJWjHd65GZALk3
YJqZh8bTnTnFNIjdTNsILb1zZqO+dKDcPdaoHYPGBCsCivuxAH4ktCn34Ya35VZq3ickNmjmvPp7
NXNDyS5/IN6LCKx5Qfyc61dqVJeF1yxbdrv0A0ZjdKKa5m3b9Zt2syXcWWMEUr1g6em98ntpKpT+
1efRMcHzasqKg9x04sChIwDCskxOWLBvmJ+3l64eoXxAtZQYnF4WwJArWtn03QFdeqvKEmuLAxhx
zNoHmrC9rzp0hbLvi4M1V19gyd0TyYJhmABr2YuvZDUdJlt8L4YSrE5vEARmiV+Tgv9nB/4X9e7/
INCTQfH3p1IXylPcfvlfN+2X7z+6+EXF+/ybv6pd1/4L5xF2bg/ZuY0NgML173YAgCYaBJY0OMYh
KFoPUf+hOnl/GXQCHDoFVMFrgfx3rWuYf9EThu3Mn5M2VKd/U+q+dmZQ4MKGkh46HRe5PJL5l5Uu
d742GkPaY4WMpu4+Hlz3QTlaWfui8uQ1C7rb+ZoBaLfU2S6I2U6DvI+E/9tl+4fjLL2WV2JkBBhs
XZ6H4tBCkEzf9uU70cUoE22h6Yc7q3vM3GWAi+2FxzEqzIchS7zzTF9/lcYVIWh3mqgHQAJ4RdJZ
HPi/kh22nGpfZXHxWcQo08oYlDzBI0niF6D2bvSeqDDsr6ZPLvOANg1TClhSTPg2CNzbuAOcmjRm
eXShMm+1RoMvMUc5B1yUOagFnWWdLJdb0JvTE+1wBxauROGeYpW9kCSkAFsyKaNS/j2HzmE2jm0o
5y8VMJztkNpXdPm0A5NqQU+TSfgX1Mz5pbDyEC15k9PDm/EQz7KnybvMXy2rV9+NrBUPCOG8PdGn
46nPpu4mITmKhTLOsO1EU/W1d9zuOMixvY7tHoNuZZi+JAZ0h6izv4mkhe21NJdATy3MrvUBHiT7
BfFEHxabkhcEOHngNli6J2MIWaylbn6IJ0/bDaBUj2lphRs1WuYZk6W245/o+9kJpV9R7B86Ribn
CCrKkdUdlumS78olWvzGboaLpdcSkN52FDAjrgNnaIDiDpjWdosziSDs7SWIhOwfRKPXvsd4w0dC
Hd8TLCqeHOWGQbvANLVaXac0sBQfrblR2bJwTNGmy4gm8sPA6OPjNBECk4o2PJg28sq2MpOgqegk
W6odvzdF6gasmOWtXbh0HkKpDZdTjUaRYZ/tI+pmYj9d2nFzcEvtwm1i4IYzg3R07NdUwatMImOW
rGghmEXJUVAQqeBkkDwya+lhHsiV27zkB0nbuQxVhguvCAAz3OQDTuAcxTanmQ7fVtEmBwsJj1/3
LXloWdY/JWnEfKDrK4jgEYL7UtO+OqqZsYuWy1UhyHj0OB8Q36K1O3tNS60petb/kt+jtvf2UNaj
j4qcpdUkOi6XEQZ0XrMybvXZMm6GYpyv9VpTcCvG2Z9QCW5wzF8TfEg6Eo33fR31/W2eC7nPc9r3
dh8SkaRQyRYWPPwR4O0N55PyGvVCFFhmIgIyyuQxbkykRXFD8lep45oF/XWoprp+zEvL4ttEbF/m
GUmnXvHTAlrLHNMrHoi7BbAO69jnb1TbIW7kYZw9mj7xbB8rgUqiLCPYM3i/cUMVTrQtNM9D26S7
W06SnOYiKzm0PfThLFr0ec/gDXMJEa9iN1hiJJyBbf4KULP0tXp2YJ4US3EAxmOdFvpCm8Ga5XXS
adbdOIN/LBnJ10rtkRCIS7eyl32al6NPXIJxGbnxtcciE9B+u9aHYpvHZBlGejlcjIaVfFuqNkZS
OQ9bL4feangqPC8kZF0rx2qeIlb9AxlX8tRijr0sJ7s/qnIUOw0F9HXH24Y5I8K7iPCpL5Q8yUmm
vTj00zB8a3FY3LEyu4TmVO1ns0EPYDgpWoYIOTgSyoGgKEEeSnZ0bZqu3PxrVM0wLHuhmmLyCZAj
LqGrm2EXxtm0Q4rs1lflqKOXHdoovRymmiiXlsFYGo2EGFculV0Y4lExCPzpfbPRrXzrDqPV0wKY
pD8m4aMFWPjaJh9YbU3hVSZgl5zv2UvMnlhCwx1uiYZiZGNCx3nsmloBqgmja8mU98TmNwK6iRd0
EAIc2zKUp2kp4k+1UaIqc6OW5xrRSA83wct2qp7KCLu5N1vnuM7ECcVgaAdW7f1YiBSOjnVZoq8b
+vLkkj34ZCckPaq0wqqCJQT/B+rOfUlTVpEJ7NU/kypb6iBUbf/T6VBjh6Pqnwryqg+1rK7LWPvY
zFN3KFe3pGeQw+uCB1UMNw3av4v0ep5/xTHWyaS3kXFUPdlFmxO+ufAC+uQcIRq6BI4U5TE2Q4rN
X8nS0Jtp0cTTaOzBcdnzUabL6J3rgkTNH+QtdsOdkRb2fVRX1rzr6a586XgUvoShWT5WeaxdEibN
mTCs2KDpf/BqhaemD3VKmjCbVGg/RuP4lBWedrG4Yg4vdJuIR0ncl0RSAV/+V0i1XO9/Igesu19J
1WlZEkiQLPKnsZjijq2wc4+Tk+bpbd911bF3jOR+QLByHzP7kyh3KaevRmrin1FBxlkQJ478WDaz
RY/VXY54p8R+SUZ5IdEM/oDJgGokNPX0oLmGOIepPccgE6bmnnOlhNXDVc2y3NmPBv5Lu9MaeZeF
svnEaLu5s1mt75eiaQ4E1o87DodAfsmgceWG5KL50lKhdbBFElFgU7tMduhgUJqcR1riuXvdIdpN
T2N2p4H6viD6ciUEZVGgZ1UITsTTG/1j5bXJp0mkg7lp6wTSdpFHPYPbahCfJWCR8jqlH1cFfVIq
cA1khQZ455m7KtMzYAhYlPlMQm7jSUxPeVsbHyxtsu6r3ihOntFBsKVavw5zLfrA4JlQO4OZ5Qay
UttRa9FQwnCP7nJOJpKbzf6CWRJhDNiXyFPB/WA0A/2cSVUkcczIBpGFroFI4fihnY0y9TOmJuNG
ggC5WrLC7AMFvgOowMpK30ZFNR9SgynnFEXHsKtmECPYOqt2iT9GZtFdOlZUILZgXFwiEtuOXOAt
MeUHs0jJu/Xg58XFrK6HnjDZtuG8vbWIWKMWc2nAEBTMopoVRFqAqurnizosNZtMeqwCB6cjoOzE
sSc+Uc6QHG8SXPJA2YB6G2QZmZs1+/veSx3jJmvQaCCJ5VZQFf2rtLXaO35rJ1IMJy3ifqLJRelL
+gwXU9QtQVwtUYFYs+2e6lCqTZiKhTQ+s9+FhKiyHVnw1BqhbSrDAXxXqeh6VIvY9Tb3qB237lmS
D73BNk7orL2p7R+xfpzb8okchC+hcDaplZ1M5wndqgUobEQ+QXREh2W/oleytq4AKizjRy1emhsM
lmlgZSEtOQR97tUa36H2iz7IlAG1t3e1jPjEzMv3aUgUBQgnzqF64jKklmNzRSIv3SYijDbwV+pg
DnVjuelm3axOVaUEMVLFeBOLWGshm+TpBRbi7OH5sG3iFNyLscuPKankN2McWwRx4Cj6MZoFSTpR
NaUf3ZV3ggWTODYv7Rxrm5IwUW8ngqNgGxWuSTQwqtc03IgRg+OvvHe3m5NtmtQTQdZhER3EPNlH
VQHJkw2Ku5K4oiv4Do1JfZs9zlVsmacxGjmO04kMD14YNvkhBbdy5rhOAoWhxIGPPIEUAzwxWqPx
degi68aeTGRzLfLke1abmCDUmMAKQCFJ6Ld9CHshHE/Ais4tYlWLyNKAomf1KZbReUJyh6Mt176o
Key7Palu2gmJ+pfG0jziJB1O9Isy8x9D6UTXGasiu39fENsOkh9/1xIumDJ0GsZ5QvWmjfpjTfbm
DRtcc1Hpk30BcIV8EZsAeps8DSK1q/CnIF0YwJnlXM/4yCmgnYFe7uSgMUxq7ZGWG2vIgqJypjdd
6vsMXAlsO9HcqUnaIV1/07oCj4MK01PzF0Eg+u3CKr43I3gb/8XdmSxHjmRZ9ocaJVAooAC2gM1m
JI0z6RsInU7HPE8KfH0dC5Gq7K5FieS2JXfh4ZHuNANU3333nguRkGuZqIpwLPqf7lY4RNVZi6sI
wVo5ccSlcxXQh+b7qONSkM7yLPmEtnAK3O2kzPq1Yb29VRw0ZFXbbFumkXtHOXryJsbuvrXUsKMB
p98XtdUDnmO4uXROnJ8pH3Z5kVjFeKCbkYtbnFhH03aWR6pvUNOKCudz8aqs8seIvIdh8uogF6wW
W52buzSp5qORkh/v8LzWNxCwEsP6wFKy/J4wDz3U3L4C+h3iS0Ik9MBKjyCR+E3WgRbKwd7lMocM
r5eDNOyEWWqdN0uylDvBgcSOJV5A6FBdfaDCEA3KmoM6OerUOSWLwlUWn+HHqTsCvuJcebB4cmJw
KNmN0+D4nKj11eUfb25jgYY8vzQ8TDubaAerxQXds83hIwHzeYwXbrQR4aKzN4ysnUXpnSYT0XYQ
+PRd2Er7iKf9PLIYhzZVd4IraAVLbiwc4G98NQzdFZva0YeIqkuWG+mJCug9RZgbcUMKuhPfaUgq
lVNsuHWkJ7qZcLpYmT534Ek2i+JsIj9Wj0fhlgL6XAYQy3a6Lizzzt5QWn0AaHvA/aqPq41ohJJG
s4rKimO0lrz/pomPOmpqA+8HARt8hcY5YaHyYTqNTdx/Ee+02Nqhj+h/avQ6boQh4rvCcCiHn/3p
sE6Z9QuztHxX7to8cQPOjkOUTm95FdVHWTXGk5hG5ylf25x3pUONKeb25ALOKLlLynbdmlzavkFn
M0KLho2IPdR/ZNI6gWEPF91m576MnA1Iud+m5uyTS7gauROOqfFCOwidNAu++mb2ceAuhXvUxFbv
EIH9Z2qlB5hGbUYoigvsdPMa9RJ3veM2FzPBPSnSeqNMeunxuW7IBD1lk865J1TdF7x1e1MCGg5t
RvxjL60DxVLGyZRpua3EPNwPUMxOZLCeHHqxHI9lumV397X13pr6bqTneJXezhrUZ57MD9VsikOe
6GfaDnexQUFZ2R2iXNyOJRXDFKIrjavhexf7H9AsN9aUfnUIG2HR5WzqvYpmEj2WB39QvNhnWV3s
fLb4Hnf10ffys+ckJSXo9npWXQIe0/GKQ5ljmltyjA6UgB3AKKfHeSjivZzGZ1NCn2KHCHmRkkg2
iVRn8uWo1dF0GK4g2uffEoIfXVEulUzpXKlNRtSDS7pxSOpMbpyhMPexX0a7Onejsy6A39H9iIlT
MOkHVZu5eIKtKPC0ixrpTceuyIt9Cu1wxG1YWodVUvbbiNR5bRp3uGDJk6+Qt6g7h/Hjbx1r4WDM
yxKzRR4tHhJqNjo79vHNmzH7xcaTjCirwrSAZbQ50982PVO/fM0dM8gWh3+fYiz04tNQtj+Vdrq7
En9pGcSeSXeV55xM4EMtfP8dElNzzDy66VupQRjl3XK3WrSRKtcyvyV/PxqWWeiGLgUtH5CQ2uPE
2vaqUU93kTmJDX0cQR8XzXZqtblT0xCO8gYJFPWHVIb5NNGNzYSj/eURXCM6t2eobjc49CfNJE+D
eTb50VPgFLrT7EP/M6jxazrnUlLTslGNmi/uEnkXQGV3cWoS8RI/eLMTig7ck+8/E4ijpkNel7Q4
lmAp53j8WeKOJYqJn3fD4ksX7Mri9tCLrt5xbBrh7NyAbJZhbmujnO/HfBJM2UZ64OQ65MI5CLff
zPa0mU0vZylZHjyv5oFyyy2n7Y+arXujctjWuevBMcTZwfsecNfatdP0iVMuxoIoZX5sOQ6eO1iv
9zJKPkcJH6yrjTeZ+s5Dmenhy3Bkc+DXiZ1zbXEZII6yZRrjimI8a1/e1bLdNBmRV7dmj9xaXcSK
18I9yA9J3cilUpIIN2gZ3HiLeCtJJm8yhWF/7ZIdd+iwa/KQTqqfkXxCMHE0w9Gk3B2QVhcspcLB
aB1Vkh7LXIfJXL5AfeV6SZVa2k6UsHCA70pgqogb+6JaPozGs3l68Oukc0RzYkGp4DNDdr8jlH6X
RVNKXnu4wkPhqkdx4DXp5SuLZmrZtaTxrwBKagkUI1eAw5J9utNtCiEwtQqkPGHfa0I9G6+YKiyM
WbRxgDdavblVXV3j3BTTyc4vhm+emzlNeRyr5zGDtzRVp8jv2eD1I5RcX3ebfhz9zViL8iVua/3h
V8OJQsgc25Mog7LRB9UWej80qVVtC73URzaNIzhIxfJHJNYh78V0xe0d/yITQ4DBlV+M/C+yK8L5
ajXAgdo/LjrXC8VW9VFw9T0mKEPbCoKpoQhrVtRP70ztegfbwm1ZzeNDXCK3jGPdvEmRrYc8W8YY
aJQnt6KBMEfMn87mZmkuFg4zKmaTiC6VVT2vyQzmy1z1Xb3aWCQzS7VHBVB20xk63VS+vhgue0d/
zjQflBnvGytKt+AQ8P60jUxfJ0fb93zPtta4XMDM9xdKWtegzkxUryO9296W39t/9L1tHEnMpNta
mgTuzdX9BqXcH2hmfvaj7JmsRrInAtLs6W7M34wK5bt1uutIhyKQYjO9OVmJD0XGuI0557knU5Ga
JTZ9T0XzpMxpClbuCQux8Dgw8SEc1wYqeTvPn049QdXgLX5UaWzfQY3OqTZL2OlnABzaAPmG2/Ks
pXchMAOqAl2ocaGB8u9FEhEqqRIUqtb54yJ1UWC4WNdKZfoxYyMkoFKjh/smiMIIr25uWfF7vjr5
pffq6lTJ2y68T7OIWtGor/IgWnS2n6kN/NVldGEOuXR2NTdNLlT5uGHbTGMzjBEYsgAkoKlC6BV3
9BtM8WVSy5nObuMtssAsZg2jx7Y3hHjxHUfQ9efleR/gMs8uuudK5kaNOEyzMGmDJatPu2i5JoFe
YGrjgExpz+tbbLy93JpWOlyY5a23FPvrUQyq/dsnDVfHyO4vc8fAVBnSfLQqJ34gESKhfHQZoWJQ
yaFQrWC/OHLyTk3pXMxp2HRc/sD9WkAZUSkufudYzzCn4xM5VeuFF3/1MCqZ7Ke4HarA7Np2b2Wl
bDGulZYTFLB9Kd5qG44+dw0Xu735EtoRJaxerOTLU7wvAvKf+aslvLvRh03nLnOFwa1WodD2T+Sb
8jcm6zph0yujP1GRli9cQz4zH9d9m3ePYCdeLD+fNtNN8BopvRtWukbxjPRnrU2+rg7Cl6eq6aCN
tfpqnNQ9eI2NwTnG1TbV4Ixi5EHiz/l6JSatQ/YIA6Z810M2yy1KBEwbgU6NjBRk0uo0a+69XI5h
02p3PyTD67Tg3DCt7j0VVEHR+g4n23LU/TrEKZmkvv1lx56RBGbkznvpjHYbjrZMgsZhsIkxe1CG
fPT823UHxIjyxrOm1ZcXns5Oi+X+Tbn+BzIrAWojQfEm0M4tt+z5L6KgrT7sV9ClI7vKCyUS19Fd
rypW/mPiejoUU0GRyGB9V2A7g85J5Z0uuRt3MFbOfbYYX7cyboyCNzeM8A6qSeifJ0ABDxuDIFWT
jcGKiGoDirjFgVOX0dg6pdyaXrNCOPeW4OtXuQbdANozDgx21MZ12DpvPCLNYmoH+eYiuKj33jDt
5YoquZ2stT/mfWXcTwukPz6PlwRgxy38ynqlowwuMdSEqzxDwu/4y5P3H4R8MNbWvAjXXAPsGtlJ
eCTjRJ77KEMqPw+VfhIWvFn4rm7gzrM4WZH/TDWXfU6q6hlPvBmYzrzrJtffUvn7UhfZ/ULRNQgL
2OOasnWB5Uu4buiMIF5VhZ/C4obDuxBp1N4OEDHjYHbz+gxid0hQATqbLzMQDR4gXsjC75rXxTfU
n9pxUS3puQ65WKx8vLfEJF/DzeI1Nf4SqKE7ilGzuyHpo2u3rutpGUgReJiSQoiir06sHlWPHWq0
/S+ViXOh44uH2r23nZ6r4CIffe5F55RS+q5NN2nZvS1j9uFMNUIr5eIh8U26aB/BmWB+YsHy3Dmy
DC2jLp6gkHfntq8pNI5V8gbKWh3ybuZKo/t6M0Dqi1fhbtqksbcuPdP7Eg9ZPD5qdk138Zxkp4xn
7avUURqFhdtw7Sa8IoLR4QkgM3ERo8VerIVFu/Wa4RRPNrBo0R3JP9Ts5AlZ7L2FleAIvoAIsLvc
+C3QmkIM4CaSo4KGTPMJH6NXWm9mS4acCxCVkJ4uqt8CrYHnZwS1zX80O9E//4pbZY9AaO3weDh3
/lJkbmgQd/tecy5mnIfzYzqv0zHGj5gEPgXPH07aGS/M/ZJ+TuG86aqALYHGjnNnTPoH3gt9y9/a
Ln4p7U/fFDMy1yEa+BNLoTx31jPAzTRHvbXHN2fo04fJ0DzGS86HwI5pTu4jOmcX7GUp18yikf5L
IRQJCMw3vK46c/qcTdd5HRNcIvvCRaeqYqeuUDJtu+Y2aBUPMY2VdNkV2u+gVZfzyo8ktRtSY276
OhagQ1hHcY2rRivdMVHbB3csU7xMNXHJwLVKYJv5PH1kbvWd0C4RDsvwzVhuTEGb1tnGbK3vggsf
C7cVwSoA3ufB4je982QNKW+Kmv9toDf3d4uqE66UpvNRZTnPEr9s9neGVP1vWRCrDElN1LtmnJw/
GRdywvC2OnoR0Tq2rPqeLA+17BM74U7Nw65JQZKP2A9vDuOYL0rr8umNiZIHA6Yi+yda6zMiQjel
C1ZwL6cffjrjrhrAwLnY7Q+m7p6UtllDFhFWjcwm/5lFWXE3GEo/o6wlZJjLcF0nSh0wJ5VDgIla
pTx+GfgmV+lkg1Ha+V2Tj5uw0pvtqTeK8tUafEhKqLIHVxfyoZiNvKdxx5tZRVsylMTTx8kmZkgf
OwefTndsFPftzBc4Xr2vKjHjnUen+5UvfrtdDX881lZtPZhT8uX3N4Byyp02GOfp025oBu1tnPaw
Ta4jve0bqynJxph0T0aJtYQKti1ZxI8m3eS92QbSqu/ZCNb8/la8xk1LPjnv9n7qrW/ERs0N9Qnd
dszGmV4JgSGp6E7Utd6CT8QGmAKTXS+N6GlsgCy7o/qloyFZtlmFzdb0p+4u8xC/NBLYk51HeYGN
yLFfWDZB50yy6HGu5nQHXFZ/YpD5KVZEh9yP7Ieq68o38mq8EXPPxFjmp4/jDT0wOaoow85vEwgq
HAxrmK2Rf06RJZk68ix7SUZzeHItFj5b4jvxFBLtTM+Ov9xwtZ4tqNPhTHYwFUWr1M96yQXgiHHa
29pnQKNrlA3ikTpjVqdycre3k9pl8Ni6fgkUFEMASKHWfNNj0wV67BfUlKm4LWapvkjnaVs7zQuT
GbeUwabuqm4k5N1s2pVLkW6W3PrF/i06cxGB+c9tMixbBpolLdXZaXjVThmZhIXd312RJc67a6zb
MjbnXZbK5dAPg3vIm6YjmipS8OW9+ZTgSt6zZEDmHJq5QbtZ6LAcqjl6TiYN9pjHkv8qS0G3rewz
q2lx5adKekPZS3MnImIIbNdulrbVtbBRwCS6QGh3/y5LVRZ7ti/MgGzdNOBk8Deejd0tR0t9iVd7
fJBjczXidVOh5t21elBH+uLhxZNPqM9xFSPGtaZDtoq1yrjLQMaT+67/trMS8OsVKxW3luMf8h7G
bjCK6CCBfseg2OFsCi4KZ9vUh6Jchq98wsZDbtGY3SB2qvSNz/fXYrXZXiMicHSxVwdlJxjbcDar
rIe4niX7hPRYGswicbrgFlJH3GF/Z25sWxq0rspRbedcsVLsxHReVk1LSFuNn8Mil2u2cD42rQvq
KmEw6GR9diun74NGORw27My5/7dLkj5BfGmRi7NePsiYN/RQm1d2DTsqPfjHzvIqCif/sxolZl+/
c/+wgfMvzggAa8xkEzBvwwTywDdVvAtFEXYazKHBQvahFm1HqLAi85kJY2Pmsvk1+9lAviKacKDr
VCEFc2f4RgNl8rBa+RBbptxiDMpqPrjygcW/PtZJ5TdBr23zHJc0BetsYMFkELmsBuMz6nT3y6f/
XYUE28wz6jOnzZQ52XeEWMmYYM9qL2eRAedwcNnXY/uOMPSZJutvaCoFx7jqXqVF03jaOvQmc5ym
H4L5831YTNY6o2kuh7njns6sQTlBRoo+95hZNjFsl22e6+rRW8o1jCpPPQxl6cL3KObDWuXTGqL0
DTvRx7UNwoT+dbx6WTQziQ5GuNDQ+c+AkyNL7Fa3e2TjJYIurQUqBvbgg2dYPqsMw9sbrQaAb5vT
xTXYvA68j54weRgA3px0w6VdXwsntg/WMMQfCUzj1zYfcrwOuFbY9piYOQx72sNwQR838k7cZ9aM
7mR2pcfCa+hD0DSbOnUwE7kxJ0FaLQjtU5qXkFtivJ7CuphjgUe5olEkqFbQc5vag1miWlVtPbf/
m+Gzx5kfUUPXZ9gZ8EyvWyCaLy7afpiawt8r3qZb9rvlxSisqzPRi0IFoBNYzure009eM+9r/Xsq
JMz+3pu9R5vlNyByBwuzmYryiSWt/2wZtr6ywFa/LS+pzsai2KtV5nTKOndZwzguqJquE+/ZXtgy
kgv66NGhoUaO3XonU42Jdky7PUcpfheSnA+UW2EkV/lFc+c6ZH4vN/bsvbVll2z6DNx92Ho6e23x
61znSTvA8Ec7ewMHwY7A8FbMTenUhI1c7zq+EGGVR5OkwMc99km+T8o5OTllihwZed4pc5z7JsrL
zShL70AnXXVEywB7mTYlT4SeT6TL1kcScOibneuWYeQt5kdUdbg+QFm8G0o+eV30CiR7viZdXG3c
iCkO6EK8KWcnwXacPSbsCVPcUAe4VDw/vr+cacxAeS10dZ/XUxdWXX6UXGcfKzdFN2CIuvhLCU+f
4UneNa5fH9D9vr2+ebHN5RzHLIw8wzlVbcnSxvTi8QBTz/xIOjqJ+6K80cfs8lVQ+pEGAztp4tHV
SdRqJK+b4wmxHb3B0Ny+FTk/KI9i1IAxGeZUx6LaZPnQ317pRhu2ai52MdSig2Wk2Dpu9PPSbKHa
5wMCgB4Xi16ImL1sAtTikdf0VNxW8nrLyVHv2Ema59GafppOoPX0MVGudEbaK1hF3vPeAo7Yy+WE
n8BmOx3rl2mI9b1XRfPBH731CYtlsV3TCEnKF9VTy+WCXMNy634sm88FOEsSJKOezhoCCrFY4f1V
WkZvU59r6iAYSlGkoxbLeL+2D6yX/PcqLZZNk9aoBpAGNnlFaMKpHPzts1Mfy8S1HkWq0ntZ9Qjl
a1IQd57lcEUbAAk0s0+GjlQBEEKIxO4g1Blamf0h8lnzPlt7VEPtnMd1IUC95LrAt5Xe4r22/00k
2D5xUYm/EQm5Q2Q3KQoM+WPKEF4yCNBa4Q0fNyno3YxwZUHcM4fPNVLWG+pG+ok/bX1A28B+7Uew
1jo/+0kMWzwtWrE5iOriBe5GsmUtwHhfGUsg/cZ9Jilq7pOxdUJCqsnTFLM+Dxt7LE5DkuV/ayGn
54rjlcXMEj20fus4eCeK8gDB1t4adBiexlLKXdtz1jA8V+a1KJb5E5lF3bGyonGw9sacr7zdP7Ax
sJ/LkQHcqJf8Oa+N31nfkQjtOD/HIjolMTzXRDpkNlotvpxqQlbMb6CSqh7gDrqpgTGoK8OhXS1Y
kJkRIM9MTyslPejz89hBtXKb3dohZNCcBg7Dt8RfC/TEGYdOA47ZGDvm2mhMrorLwY5lXHQqa57D
uWtLvraM+ozOqAVso6ynue6jp8z3622MEeCF3Mkzpyt3HodZmuNXHrrSpaByTvJznxf6Vc3JelgG
SqNtAzpgYHGt3XBHzt/9rCFZ1RpR8jHZLpobeYgZ2QF9e8VXwysqNfKda0r73Ftq/aqaVO29hO1d
P5SSQh+HPR6hypDtzvKMGjYcYCDc3H037b2BpfUXc80SenXsPK+tWI/TMhYhnxvtUFbqn5p8Vmga
bGJ4VNtgsGlCXqi7RldYlCEo2wLFTuHb1i31PY3Pj+UKgSArhmk3+pG3w03GnTNOjX3F6ua5n3TD
xNw7B9NuLaYqT8wOQ+Xi/V0N5XBSrNVrnvAzUHYvd2mh6iMp/Oi+y8jk2FGfnxLBnz9eMQoGuWvD
ryjEDy8c426KFkqCVGF4uPyLgnfQ/8ErlmWZVSy7hGAr/Bmv/nHaOtpqJyo+i2G5wdSwDL+qgv2H
g/vqOlVR9iv3++nekSxd0Gkxw+YgingjZdXjv5/9fKn/f2o8FqwqWA6b/2vwM0ySr2FI+/ir+3+9
8P/6zf9tiLdN04bN7kkWcjBO/ssQ75n/YTmQlJULis/kBOdX/hX/FKYFuJ92X/ZqhEP/ZYl3/4Ov
BGeOgt+noG/If8cT7/5TEvx/B+SVdwPkIxPTM4nT/n8yzGDw0GvEAnnn2nVi7bTou3DuM8boxa/A
mMlm7bMtzJTKw6EQ0bvmunSHb3CLaCMY1ADLzVfWpZpFzgW25l0zRmV7IRZTPOfpbLw4SDbHWNe3
6ocqOfPiYPzuHLfc9/BFt64kiN9XffJnkt6ahGhDXgKHC/5spFXxBm2LIyuC2neORcVeL7EUgjhh
50el6xJL2/ocj//s15lpeMsGFr6wLXeo7px4eNg1WABrt9TjmIeRxgAMGX0x5n0FFeM+rRe8oGOx
ms+RkxYfUuv4GTEAI5Zp0c3iLfHdUsA8Ixg2rb/j2nd+aVpkMHSQC54ZLgAa50f2GNS3d0CkwzoT
OcBS1LKr7vvioVnzbFvh1w8qS59jcyC2VyZgq2Vn7QQBzdAeoXxgChO/PTrQSt75Y0Q9uZfm+NBV
/ntWuGiCnK66P3GNx46uOom46TLVBymqDPO3xc5tcEwyQDK3A7b9OoCXbZ2Yng0yvbUdDirjSlCj
QqYVKDTX0nRVrX2lwyKrTBzZuq22ib3m8lbe5N6Nas6+0souf0wLJ8++mxa0Zox4RNRMf+kvK84/
RHLMxUFZrlCs/NtFJVRVPAS45DnMLTXHd8Du/ZP2q+YTJbWnxRLQlUnsL62RSm7NLB0y7AfRO1ZK
QDmTg+z5/xHLbSeE5unRqhcTIobYjgOGVsjO58IGy+vAvDn+IUc4JzskF33AWeHv3dFdONJjxbaM
AsQyoGwlb1gSiv51sKV1zVnVXyLFXoKFU/0VQ5XMAjVUrX8GdSBvBcC6+W6ZLj97H2P5ho1Emgd+
1jW/BCpzE6wYZvN9llXdM1Uu/tWG8BNtcIP4lwzT0bVM2rZlREyEFWIu7B5Zb+g3dnNlR/jMNH4g
bjkk3IToPmw3L38zo9R7Ty/8em3580tfVdx84qGk8e7mN2HCI15FfYDBODFkGCvhmZPIHTTyZzLP
b76amydnqNejxKvJc5u3B5fwIN6MRo2kVIVvbtrY0S3bEiv/HfNw3X5rBL/A7oqiPZgpnXZbXDDe
cXJSdcUog+PAsgttvsct93sEWkmqoq0xj0clH6A31vypJX6EwJMtfP/e7GaBHOLFh7VPcOtE6icq
rPVzjvVW0B0ry1l+15NPpZOZZ91vzvASz5Ww9aeeMlqOb4ZJ6FrzC/nP5pKwUUINs60TggmCrhMP
/DLDwLZddP++9i7RgrgfIFYC0ca3NtQnVg9qCOSC9a9ammqXL4ifrDmiA7SgPX/udVvfSvamWWPn
pstnP+L0w+XqRm8+u7Gwok/Gh1Tkq9AQMBWCZeiaNpzjst3QpAaeG6HGFGE5s6bZWuQAUeyTNv3J
xiZ5Xd0kOZu5wH3bDhIB0bCt+cPgQQHHbUnwUXnbjp8lMYuOR4SxFSQQZqdgLZ322qBXLRTkZgRe
yhXzpTCaIRhIWjHnj2q8b9tbHGSpahzL+FE/+lsglXXWn5z2JoKSHe/pqSjUOfHzW4ZwNGCXrn77
ag5WBrIM/nfg0xH6bkdxd8HUkHyKCRd0UDnlumUjQKwelcczwtItzTRsWxbIfYX0HIP3MNubrE1v
a33iKHHyMM6K9o9txGQcjG7kflYN83yHWZ9kh+/Ei7PpRYZRzoDdlYB7ymoP0aZV7mH0i4R2sCwW
cpObfv+z2Ow6wlm7yGUNp4xNGUtXdu0pUmQxSn5SJgMGWwmu0wVOM/oG+uRQA0jf2akazEO5Vj6W
2ljGKZ1PymnxSMgCJQrsQb/hq9n+xV/rncyhtjai7/sx8FbNy8nH48HWFejJmqaaPt+2/UzdHgQb
sUqPFs3OeltcnNSBanNEhqS2Xn1AdR+s0T2MmEVM3tdFzw68JpYPDTy4BwVT4rVdCM3w2lB8fVyq
1skBIdOVmz6d7hZ3QGS1tR2/+WI0y42uXfHXbE3hnfkTJpLUu0M7Y+It3uegPZPyjsLq73hunfIQ
2RYjfjc76oV3U3fBp57dM+dYO4JmkHwjTOcwuNlZBQVX64S+20LsjLZOL9kSue9LZs4ssHX5kOMO
DwurpXVvrtMrwQ+UylUINrzEVVBT27cxNvPXhjXjRizjZ2O68mVoJvvKhZskNwbEQ+uU5ktr1sYP
visdBVZs0Rwna3kkqktEl+1L9FKasXt16/Slrk3jGtULhThL5dJTybB1NTILlJfd1CNdBJUzEPSG
PrlNzQrqORjXWyGbm2G6jgpP374JhWy+UiZiWiLH2MFnkaPRr/V8SITvHoeYq8NUzOt3QSHjhq1k
hp4w1skDcY3+UjYo0M2s0l/p0H2WTbzu9ejrfZSOVeiqMv2KxoV8rzfnT7Q3VchbDk6hKal2LWAM
pEwPy8A/uPhlTBCbrb63ujvXKctfKCVrQQW1pb2tWeSChFhn2scibni5IPPYxzFJh5d2nWvSF11y
5+dmtx16MtSkf7I0yGtgxmZvyz3sOQYW9kMvDkfLI1OVjCGWzjm+v5zEL+bd/msV2YxWAeSCIHaf
HKc6ShCnJ+vZtNGQYUlkNGzGjnuBOqCepYOVOyzsXOznXlr7zNPe/bKa8UBF1s0R5JtJcacywGgN
dZSf45LnT4Mr/L9dW0iXU5mrBFijhrCzQMOb+Sed0YROPFbFNaXGmDZRyUcciBJsdNcP+M4Hu17e
rRWeWEMq5Zo3cK0JQbhtioVIyC/F9kdthixO3hiYkm43A9sxYIeCdrDjbN30IKijvUxwyWDXHpf5
6MMpryF8ZOp9Ahj9WpXp9EScDok+L8XDbCVWGw5OP5CAMng9KMzRe1UWwyc+gvqxA8GIVzEe09PY
EkNUSc6zyvYuw60mlwsMDZqeDaTsRy6wcxu0/pR8JPTgxPj+J0AHdp7IFzPT7TuyQnP1+wxqgerW
e29UMZWcaE1647Qdn2jXpSuhmtL9U9tYnRG9reXemKLq9I91mlouPYUdkivxDld9r6s3CBCt9vKF
eYHNA3R2Y8tSYfrNEJh5O19idUJ38TF6r/Mj5deC9tbb37K1XZYp2Dg+/cl9kRkglxnOHcZOiiXY
JlbN1btxT5K2fHXy4qlIynSji7i/+GVi88zSXgTocmLOJYoXh8ZCCUYlLT74iHTqe8OmnNhUM8fQ
imwWBawvPfmWqai9+HA1n/y6Vk9TqZo7hpfi0sdL8WHcrAChwuD8TelusgfZclt1wW2+157CUNQX
g/7lpYu5nGpcZsshp6qHEbmyYC9iflgOg3Sc76iIO2pgTFxJlUGTKpRZtwGW1Xn+PZWwkAQ4uX6o
vVQ/cRx143bKcrIs+AS8Dko3nzW7TZlae6v2sVSBy9ixac8+VsNAUsMPKnfTUvucbcn0JgChP7mL
VRAiG9frmsrhR/5z+HYYIgN+8GQF5zh6wr3d/9Z4y+5czFQvrOjPdJnHirAhBVBJnZJtnG0vwf0T
wUjFpwIVZlot+eDl7ryB3Rsj1hHd5XMuHH+ko9nO88M4ZpQFQEHlpcGGlAro0XI+zFi01B+3Q99R
a97N7IDM5ts22oGSzS69A/lRP6bl3L53aHR/ehB+h4L+4bcJoWQN9aLjIw6JHs0fvZHIYzXER8O3
V+OYV615YGOt2VHIRQTOkgy/EobkItDdMF7waJJIyJU3UMUi+uzCSJAeVDdbh4YMC/b2KPOhkSTc
QxfM2QiQVdNsZHMDzhAIWdnFshvAV1f3p7LMIqClmrvcrcS3vpLLXg9ktm63Gzlm5Eb6jALvCovC
jLT/FPPNPMyYDn579Vr+uk3ZA/8Psiw2iITGszl247UsRPcObmb5T/bObDdyJM3S79L3TJBmpBl5
0Rfj+6LdpZAUN4QUCnHfdz79fFTmVEdmV1VPDTDADNA3hSpERUhyudPs/8853zkSXMDwQ8JtWoP/
mdclCSX+pDe5YhDZo8AUl17hBSR7aK4o/HWRFvFbVqR1iEQRBbeiyPgRkgTmD5+HOL7viHXWrVSS
j0vGwiyN74w6WrAiaYcPYHaccxCOFmVS0EMegaV6D7hVqJh0Z9ZYgH2xv8RVz4WkgOJxaiIMtBvq
xe2FBaJKJMiKNj7kN4PRNIyXQxmU5qFuG341XOPNjAV57wz1qeVEeosShaKWR35D1IL0OVtCEkD2
Jmxbv0euwCE3U7yNCaJR+IXqmF5nYr1qC5smZMmGW71G//nIXAtpZxwpluUaSSxHd2HtrjHrREeP
/dHPMUjw7dZfSCjw8fcV5p6nzFlmitbFM4T3eMIT4lrstShcvMpUS6zK7PNDn+jmmHdTWMEizcZv
IPqEuc+IwR6NqvchyblRtQZMkV7nHmu0o6xrCCa6G1sugHpAAv6/sqb6h3yy/2+pDr+zHgEQ/GOI
2Tp8yz+i/7TJ+tvf/H2RpdVvLuVjno0zwDVttdDK/oPsYMEiM5UroUsv/IY/9ljS/I2NE2ss8EUw
Hd2lYeYPtAN/tOAY2GPBMbGUCcf+X+A8WnzxX2npbOvYiWHG8fguTJuF1p+JCvhSmFmyeNor9tlP
Geaql0oT+XCFH7ZUpdXjK1PEO9mF+qdby/z7gM2ApFYYdlu7GYqt7nFlaMfwXtCsi1PPxZA0S5R+
OGnQPf/3mzFvo3Z6nMqf//5vbx9ZlG8iSDHRj/ZPoBBElQX08c/ejP+j7vK3H+Fb+ndJI3/7B35/
T3r6NxtGKFtLKRzLcyS/9t/fk571G/IR0B7Hsv5givyv3ar3mw1Xj/+3gCUBueI/dqtC/QYL06Un
jYYFcEQUzv0L70mYAH9+UyKDwPhwFK4HIVizflXD/YLWq4KMoR6Q+HE5LOJDh4f9VjdO126k3y1m
g7FL40OW5mW30qDM2hVTTVdtCk0ujUKeeKtwTB7nMCdGbJnJyOVhjPhP5t/oFUnWY43D5qjeslwC
tVUoEqFOLcxtPeB9uikchN2Dwe3xlVgppKPCinJ8arnFFSUh2+xuBT/Bt2aA5Wy1emCvg7/bnAZM
xTiF3suZCWDrVzZrFJj8bbrJReAixQzecM/sismLlSJWAjGakzhUY1zva/qo5crosS3fEeDo/ZVd
llm2nhw+jjkyzz0I79JnF9JzvjLAoHhWRtUwDriZ+RlGZjHT04rTEjuJYT/koW+ny9YpeCGSIbq9
6/rTD+Ip7V3JlnWpes+XkE05kEmo7f4tjJvxCP8lQ9IuVfRqGzRX1r4NbH0oTPN+HFQNnkKoo2Vh
jJZEVRjf41yolWSt/NgqMb3gK3BbnAQCDQYmO4gwV8MlALKRUHczxWyYS4Km1yKzhmugm8aZ64je
V7MdzTeErTrrIupC4piwpyrY2V4pveeePeNxqsIG6qxnUoY6g3+o9tNocRddkcmuo2PVNI556y6v
S4IDSjbeLk4h0zw24YS7owXHDtWjLF9YgoC2m/rlxQqPXRsu9ody2PLP2GfJoXpwEzebbq1xxGOd
6bC3bgPtMp4Yuh3W+KeqjeXnWPM7c3zAuvwZcw/d5gnb6wGr4LEwqKWivIYNe2WJnb88MPvJn29g
ggPBkhGq12y3uygBy4h7iKwoMvlgb6TX6QuNTsehNCw2qjAWT0baZVs79i/g8AOAjf2zKCWVCiq/
wpfPYslzPqwsO+Z9fRzGgKk7NbO903hiPQIy30qag64DIfOT4m3zkGF8PiroWOtYckklgukCKsvA
GRTlqVO0nAaGTfDRTlaz716jvzTX2LMoh+7RJkBbaH6rdvhhEyzes/fInqPWyW96mTiHrsfYHHgF
KDwv7BgbGpK1bqm3bJSKB13bxU2dj2BksJhuZ6r9llpp038K0vGStFiaphZkw9ThBa20rk+lCuk2
9QqW7qM0VnYRvxdWLC9VYSXcjrDTaQJnO+Wn9tbOyYpa1BqvevA0kdV21xXFlPAuQipelnjYYxqW
d31Z73vKTQYsvZi/6jhsb/0wbcCjs7Fc4yPfOIwNhSPgZ9frYOofaIfAUaMNVO3yZ9fBORmsduWA
ZoBxhCaSx42+BbwVvOCGp66bP6FUM8lfkKFKHkby0e55/+NZWTmZ/5Fa4d7qcu8OxLf5k0GXd3pR
nkulOzw5bGFNzyi4Zo6fOm/PHc2NxEQMfvMlJmcjI5NIejBYzWmHWuA7zHYyNVYyojBingoiLqGh
V3nDhpjUyrgetMZFOjnzi8H3vYtjfwa5b1d7KZcNSJiIxUE6XBKnuHAJjU/k+jTacdrvkGj01mXb
tk0kdqi6iZot12U8aBjUSAEknb2ZMrhKoeXLFTJp32F0ExIIL+nZDeIPXlzTF9O3KAYiN0kfi7GH
qKDwd2+9kOG0rerPsoIEY3ZudRoVw2QIAYZALX3AKumzO7ySipV+I04YVpN3VLJ8Z5Iy4YcfnPzO
bs1gk/YmLU3C50nIVaXZOlPlPg+eCD7KpB+i3y/E3FODn8XfoVAp5y8QKtd0uCvZ0jE1PTqwlbmb
/Qp+JZNVhXFohkdXNMRJfGvI2MMgiN02eSafhoLdetkUyESDrNhh4IbIH/PKmLZ1mFofaOlefEW9
k2WBuGRFZghFdrBefvvrwrU4pgZYIeUaEA3WVZolAVfnrhUenS5zh9vRTmsUj2QevjVKJg+TNnOJ
fc1j+XmGUuFez9gH7kI35BGFvbNZAXWS7boVbfNuSMHO1QnVc9JMDOM5q36ESQOXhokDaIAPo4Zr
z0+a4zDoad/xfD/PgTHu0pDN6iwhxDoAJ2Ep0trlCjIEMi2o6fL89psXG+VGDYyfdUeDF0MbhheA
CHATQQzs9Mi51WLvWBX2XK7V4M3TwVXoWHjSrKFP9+TjcDGzuO0PtTk52ZW2iY17NeZzs+uNn1RL
Tye2hstmsGBzXtum8ZAkCjBC0ZIunBp518gwuFTDRB63priA9ffKyucuxj9oFbewOR2ANYZ7S5G8
85wbpdwgn7L1Itazw2OHAGPS1FiaYbuTgXsJifquG+d7HjNJeu1b0Vr7LiS4RkDPvinj976vHzzD
cq8KC1KGQ8PSBs5A8xCaiQcxhxeO+wZrVJNC52KwjQNIyOiNngAYkCkVap0G2WXkD5hRopvQzzDx
w2AANBAeNK1QR44Vwu8tgi6ZKyIujSOr44y/GWW1bPotgR9j5WV1/hKj72xMUb6PA5vsura9FQ67
HAppVNxWGEcuUeD80HSkPrCirgEudd1Nw7ov2Blu2Bhrl6YIMh2dZQenvAdj9pFOdvkCt4JyHhYv
nr337B6fG2E2OJmj44zPKKxWt/Eys3ybKAh+bX3qHS6Ov6CmphLM5xoMcvVqySC8ITIhb6ABqPch
BsZCEQg1ZoEjjXc6JhoWK6of1rnVOnvPMKONDjV5ZWbfi5RG+wMvPlBv4WUXkY8d2ESaIfdO6vbr
FETStR7D+rorOq+nJDIPvjuZGzyYdmvjXeZ5U1UD53yH61HZY7RVynAfq8RGyIukeuNWiwmbTtPA
OgxmlZ6ioTIEv00rNNm0GcnDkJPWY4VNsHALGRNmTpIupdw2F45my8MO4nIyjiUGUmQ0tj9zV60J
1Ac3WRt4vJwi5tjX87ylurJ6mIo4e+ZosX+iB3YHrl5sHWGN4gUDzAA9IRZ4i9wO3unkzTz9FoUb
kpGVf1NOnFwnUyJvCjvrHwLcRi9dgyMzymw6bmo/eCAxz5VHmnV+4dtIHq155rdbRRxNs52aJ+Wy
cAsr2ylIsjf6KkzIni5Odmer/KLZilq8ogNGp1BbQ7wypyTGMRPpl8kfPvuyM8y1ZfU9Id58J6aI
owtIjrNPkmn8zh4Mw5Q/0seMO8HN3hoz7C9Wmdov/kh2kd9ojywUNMIFr8KG5UCbj/w+J5W54VAy
XlUbxQ+R5XtvZVONj+ic1A0pksV0hwnCrNzCnYMdmxjd8QlibLOKpNtFclY/iF3EBxxbLZ1DFHWN
W6dL4K9aUFQGdKN2+s5W07gZzDID+eXH8IJF7idnw46ra7tbNouz6D9M8LOIrW3jPlMVUi9jsDDk
uUgEEn0kzOBFdMPkk3wZo2xdGjWVjC2HxSudP9nFGdwE/5xP6wBux7XbdDbFRbafe2u2w/B3Brao
Jx56Tbcxp36ECOFXcLjAqIjvII+n5IC/OXyfsMn7a0Jq/XUZz+2qEj5Kd8qCaD673LFNq0yC8zTy
eNnJodUfQdhaV36kulMYkxfba6LX39o6FBgnWqs5OADrnvLGCe9albvvxWi1l95ihAIWZCzDEw5D
3gQBH8KsQDBYQbmr7DVWVHU196V1jEhNMv+M2RCssCTj7WBxEdy1jjc/tmZk3E5gFrH2m9jciayn
xieBHHyJTQY2GwSe6dzMHsRpjgzZX1czzvY5lPId8Xpqdrzlq59TGyRHizRtsmYJHLzkI9bgXUKS
5tgxb3yKqMfIQsFStSX3DiW3ivS49Y0+WfZ1SfXNomZ9WBv5mG1psMXSusRbth6oSOjlBsaZDZ3z
7bmpY+8Wl5/3wOuT3wytxa1TNeha1YAETBYi31AEKErILVX5mrVFW60yuB/12jeg21nBMB5rGzcM
UfR42OBMANUR64L3Y1wCdUKziG67SASHypCNuxrsAO9fHqEVpxoGA8lH1oOLykchDYE8DyQeVmho
7PoJ5sb0zhwDPioeI1LEVT4pKEd+VN/U0zjR8NN6491UDy8sly7g0KrHrK+qaNtROnzbQf4p7vpk
RM2bhfOmZkPzR1Pa3kBoGI8V9tNtOYrmpatk8zkGpptt0AbcS2GO2WW24+DbNKScREkPqzmryTau
Z4wRRCisPNlxETauMfSA24IrAMqMahvYGjJ8qnslTlMu2/qURCmwZ8DWPaN27Q43uRfWt5hEWPaG
1fxA4n5c4bBqjlr17qu2zPFSc91Cvh8N/8iopIKdNcr0mHPfhJ1QTdlm7nh3roWYCn1bWeyHNyaL
j/Xs9tPerAb51pOrPKJNFTemhWsXnDt+d7u2B495suQGFkKFwgpbGSOb6CFbEdYafmgIuh9BmeJx
7WI3q/EF9suNlefEG+Nsv+oY4fWa8CuZpNyA9T06g+ZaFE/fgoG86IqXGLeB54FrxvgVDs0GVvoS
ReODPa2DfpYbQ4ORiOeufaSjIrY2tj/SRmamMg/2gUECizaY6trFBL+nPVCuOrcbXwC++QlCfkb8
FPmc52YZmQB4eJ7Lc9WObXZX4nYlesokHO3Hyp64X2iikqnHrWgqQ1FsJagm3sypR4CyaoMfc72E
ZF0XZolbjdgo4JUnmMxrtyY7mxIdkZjEptOQ9kZwdLVXh1sfMfJ76XFtM2EPPI0Ye386yeAeTcPL
nx0nCb95aD6kNIQ57AfTsICZ0eSk1NgdJ1K6UFzy7jOxhomJWCIOLKvzdFxXoEI2k+U3u3Z0DEKg
RbWhF445DibdJhOaMR/xkXqPQDs/bB1gQVBe6TziDqFyHHPtKvDUSVOouptSOsLyxpsv/TiZNynb
mY0wEugPfjNO64gIykMDLvYHbglB/KCuLqk5TpzZGBt2MOYN5sVWRg8zSyl4n2H6bHtGf5Mm9vhY
lDo/Mjo2MbfZwryNNNXe2LP86yY1nVPPB/5xarn610Y6HQINI2uKxvyTOEV+64jaeeRtz004tk9W
1MjjaPntC6EM+5wpaz7r2aK63pEdTTQh+NpW5nuRVKtGOxfu5PX9oMfqDB6M4uFOFodEReoV/S14
92UcQCEz0fMju974s5VclV0e3TUaGhyVhmQMM8hWg2DP0Pgi+HTt8MmnbRw6XrkFUEgBj8b6XDBn
bifM1Fdt2aKFzvm+ShowbKFXA1Wrkg2VFlxPZ/eZnKlHr1U5HJ0m+mFpDDVsKxIwrNis0B25D4ju
JELsZipo07PvxmJDwVu0Dqwx/Q5/Kb+e6fJZeVRQ8E2mzYHm3PZAeaTeGK0b7/h5mp2OAPVQgO4V
HJ6/LEf/zhj3V6gxUxyrdQym2EFtcENqmfJ+2TEaPH7zgQfJEfaO4Nq53NJcWQQ3MCXtYe3wFoLf
obS1KjtJ9H7q9HHIJOiu/+Ib+U8Nm19GVRtHK10nFFq7f4Ea151fjRnO5uNUq33cN+07nVzDfI9f
xGtuXVjw6i4BFkOF2ZwND8itzH/KjVtSWD2f79Duv2HMIo/QT6IOdlnssT+TeF6qN0UGx96ATkTO
bkV6R5snr7yS6YsLu5i1xLKQy4beeod1k+PJYGp8Zv1h7Ma2lRfRD8aPOvS5eHdu8ITZvFt08CB6
aSO0cR5x9rVnRiwF3N58duuAN0oUjveQDmJ3wybWA3phJmc7bOuNnAoiyb0MbpFdi3Xr1u0DQZjp
bIyjvO7SgOMQ9NVOjumLwA1x38Jk0IPlIv+ytNTL+rL82mT2RPtYlRqJCLesXJ2H8mvtCSmHFah2
hPlZfi1GhV3pD+0q0D0OaY85mK1nJU1shlXCLX+VLhf2sXU6sQkC6gyiDke+h4M2Wqdft3vr66YP
FZVb//g1AUR9Mv1wcKdsmVLd2/hrTrDaQmK65URrm8oTdFgv4wTbJPVGd+qS8PTco+GLp8CZumM5
1gGwEF74ZJ7gXsXekmhfZpb+a3xxl0kmW2YatUw37jLn+OHYhlu8V9klLgCcAG5kIlpmI3eZkkJg
KZsawMVeVDU7ymUjuuZpYrynX0PWuMxb8TJ5ecsMJpZpbMKn8FoBspjW7HIY10ovFPNF0Vbz6oi0
fHP0bGKPm1o5Pqeq4kVyitS5aWfmy/1gEyjir1TlS+2XKv8Ax9NF29Dpgs9WdkCY//nHRHwt/X8x
XLusWzSqhHAE+gSy2aJk/fKB7Yiy9DLkOCHPZl2XBtyAYoiqTVMDHaKrwT1Wbk1EAdoEJv+6uHUx
9l+RSQeBbahhPKk2QC4mHBvA0YdevvAphwemHkzLNnvSlzrry34VRLK62NCiV6WIbXaA0bBVerwl
x08lC/6fVTZY/ZXlZi1kQDn6PzDmyJ2KSgVUqEruheeMrPRVfILpfsEueZsL/87DS3sV+AFdmxKi
ghlc+IzLGzObrxnMvLUyCALyxDMJQLGvI+VcV646hAQYsSIpLqicHeahL3V6h6vUvJOFRYl4YTvB
I53X+T7osRIEY0cpSiGLgd0b2YwbHi7VnVs3467hJtNuHHbLA1hL6fVbZ0yTE+yJDHKHVStWhqrM
P6BQ08iZUBQCt669E17f4CUf/E0hY5yxzpxuvGrsiRCm2n8NURVeR2fCYzRkRb0jsxbuo4xyM05d
W6NZwF6N9RQcctfhI2erQS2eZAX1Jov7j8z3sMyknenvmYRzjDWNNy0N8zVsH9313kFRZHLv9174
nlm2v291EG19YKIPI5sRNgWRS+zU6U+YfIY1+WrrhtXizLuSS2cae1gzvND47uXQuvjn2rVluPkD
dmZXsOctcXnCelzjfcOmP7TszFByQsqTOo602enBkFftK9nf6NEIG/GtimldBxFkhuuir3g0jUN8
D6kdwjWQ1LPDUwpuEoU7BVrDdghC/HuhFT/lJgncFfajJVrLK3OKpGlTndIqcNDJbO6VDk0+114s
Af8WF49WIRqHWVBQysRJRKu0fa+MOrgeZswUrHfMjkCpzFv3jmBiJ1flIiJZX3qS1Y4d2dUvnclc
JKearS4RynJRovwmRZXyognvFfUq79aXauWhX4kvJauRjtzB89Lf0i+lKxeG4ayKCDD5KuLpTTBR
JeVrwHYvOkh6s4KbuSwtutQ4xz7sbhjBsY/CJTG0qG3x0qQJ2wxz8orJQEJNIHYFHW6OtwPBnGMl
qpZ7dWUzXHfEsZeyjDiJD7GrcDNMLDCcTR1ZxVnCWIsO1ddOd1zWu4ljvVSkdl2seo+JF71E9fIB
ETHKkI5OlT8vbiBP70qr6Jbvutk5CK3nMUQiaozCOeCsa97++YNqKUP482PK4mLBQ8o2lbSkvWib
vzymTDbzCStRffQC5ybwbsH5XJX9/0F46H/PcvH3I0b/D7bG6WWtKbj7/GO/xb7gd/HzSzA/fvz7
v/3tb/zhs7B/o3KZ/KHFTUpRrksrxx8+C4k8zW+C9bFtUoy5dGv8IWpbzm+uZSsPVBPuYpxIXAP/
MFpYNr4Nem9MpFWLfw7fxr8gav+lbNhevjEyTNx4qEIkqorg/uvbQuih524zDFuu8MWKE3TewasU
7NFCjie4eKdfXpm/c7/9y9vwj6/HF3Qgy/B6/KWHGn81cPuUYMtsM7HMdvDZz2ytp8EY/wtBBAXn
z2/55Ws5HM+066GKaIwAf/7ZOuUIKbmCbAVaO2BpB5AT2qp1jIUorxMffkQ3y3ifipb2qqr2Psjc
9XdkaJJj5tm4ojguKKWYOJu4aDaIj4kX1M82m1vOKkpJbpQKrFNniuZ9GthSrxtIwpRyji5RwGxO
ccAPsgA+y3NQuYn1mHG57HdSR5V1Bn1hUoghGnzA0UzPXKztn60Ki23jAsNgQ5d2n91ohD8DBVo4
yTVDh5/Odx5EXLli8xDsqx4RO+na/j5m1j9XxM/6Q2XDClue6Xwrnfb9Z3xAc7QSDHoafHSqA1wG
oGtWRmDofYkgUUAQj8lCdx7pjlVj16JYSd3XnxnNDSfdqKMOeD+AUBVbQ8NSntTjwuIpYXlL/4QQ
M58j2F9345jShgDS24ZHuQ6i8sXIgODiQ7qngC/f51iXp7Hjie2JcFWVdbWWnlFfLbBfRngEat/k
FABcn4YbQ7mQWxJKTixjTE7G1LxEHopJNtLQNoHTWSnotkRd9U2bx/EubVA2QgB20hrbLdafLbbc
CegXcWfgCo0wHqaqB0T8Rfodw72rHXtDlvwoKqsHAyX58oseb1rBJyI1OkUX818o0dAmDm+srd66
T3UOdq4xWdjzxYXKqJ9yzXt24ORTi5qPTh68BSK5znKinIL218FfhnMw7Bs7N/bRYN4XCWrM8oom
MvQ2vh1eYPUGa3MUH07nX1mJPlZFnK5Ti76rcgTbNgRsqBt570vYkEVmfcQq20mmBQJY7V6a8aeJ
zLFN/PrF4X/0vnvD1vqT0+eKRT/0/IRO5t5fHPrVBSLnnnQI7EjW7X6ybyVxZIjg2xL5bI2JHJRR
xQUtuEKNH8xNTMr1tmqdmwjgRt7HkLglEpEc0rPpjT8VCahNMtZql2T88uqRoJOHTLPqW0TTTpK3
mt180czRmjrbvRFTiHLsQ3b3m+cxEArK6rBUadFBp3wgUTK4mmICvbOEPl0Yjb8WrCOnxKfASwXn
wKcsR9XihbQJP4Dvoufy5dIhegdWvoe739KdI/W61QVuFaC2BPqJhQ0ChG7R9psaDzoKeXhPBNlb
+wVrLiOl693P+KAmlWBvbDT9ym/04wC0eJXr7KqnfGBlm+W7FxTF9uup+N8dVY//3EAmPcE95B+f
rKsofKt/PVt//wu/H6yu+5s08YqbWpCtpZsKwfv3g9WVv8HFImxI2ZQjHaK4fztYhf6NOVsrMloe
HlXlcUD9cbAKDmqFm81j/eJINrv/UjsVvse/HD/CJCLMCocVio2N0fnLjaui/72hQEbuS9+yH+PA
njcYaPPTCC1xA/21w8uRvYYJ4znXUpecUpbRlu503FD5D3uf47O8Dgs7eY7DMMK7PuMa83LtH8e5
DSH9iho/S1QrRR5jACcz5Km68hPAyKuEjOUxQfPbM17Nz55Uxedc6PY5nOFarnC4tbc8Pcc70Bqs
uxrTWNtVkeyA7KLq1b146JqhOttNXpwmq4HqAbX1GPTTsglHdYILghf6XLZNfI5TQgyLvyx/TCJ/
No9JZBtn0kKwBRw7RsILVa+Y+zP/aSziap85hnNWXtF/r6IS0lRsuHzyKz1F33xU9iffmQZIfDLg
35bFaMJji+ErB+ksPrzAp6JVhVlxYnoMKG9UCZWecW2v4qaLrjCNasShwsMtVuiME0HJ+t4oC8ac
DP7dvRfZrPEynV/n2IkYR6HPJWSMnQwCRzvR2JpGxgP2FX9cpZE/vJWWgxEpNCAJwZ6fqptwTOjL
qpAnyp2vsaOtgxAOezNP01FB2Nh1E7Rd2NOgSWDFy11Jvd6VdBrnGFsWHKiMTupdBgHqIDoHguIo
P8N2KaNRIR4Sqofs+hAbCWybwsOCsh5bk99u2HlieZJCdGqIWcHfyvV2as1y12hLX+jk0bteyvpj
atMo4tXwu30Hiv0Hz/7h1Wp7dYLQE5ydsCnuYciLp8HO62vO19gBnYCXaOeUZmxsRxC+cIfRW6Cw
xco5Ab+ZDjDlPMAcebmldgwHmoPMe5r6XF+hpQ0np23N+9kp9RmxdNhaii4SBJr0MSMBdrExZw2H
QsC4jWaDcgUih6ZYxQ5AMZPt7W1JbwkBlMRtr53apWy7goVsWouo4fuA5SlrRHnGTcWYWitIcZbh
ARUJuoEHttePVz4NcJk5+9+9OueukNj2q4Zpc9bGROAR5ZiXqbC8m7rjhULhyenRKfsKqTlv3JLD
B5cI9aUFGOmdRVt6vqL1Vh4b3GIgRlQjttGEpcIoIAm7U7w1h8jYMKd/xwzp0/ZWZBugdsa3yq5H
1MriZLLy2OnOLzbOZN+2xLhH7M67zIOl6Nf2sx9G26wTza4oNEItYdMr23QHKF/VD8paqptM1Zeq
Lj+9iPOPcx+PIeaqsqTidraH24z2Ku2U9tqKVQ+lTgFLVV126xNcY22jAV3tBiESkrgYQ1mtjITv
ioZ0nElgkaJGSCwko9Y4S4nj2hkxRW9usytodGrLx7B/wsmfXxtEyDAByWKf2m3X3bMY8Lk/sh93
V7NphPRBGqP7HYGKO2frtsQbxjYIfyQ5z8QNTxPk7sKcW7bY8xiGe9nx4sA8TfHuwEPjm+QvOSa7
oYB414j5w6AlA3kYLIlOPiKZI4FYsbFzVezwtmjHvZVxyJu9bW5Rsq2jVbND6AdqRbKAfqdVMPv+
k+alXXMvRuEsnWTngoivkVgH1hxE9OF5xW23m+J4vm6dyLy4cT1/dxF45UpEdX/OhKA2QPvJnS9c
f2fGRfRZQtluQXyyhAQxaU67AfbNll68gcQviW7WCH33yiaY6FZCVJ5gUBIdJj+q0HAS2rKzRovr
mlb6leRedqDMgMQ4a2LeDhOwaX9gR14W7Ta18/5CGX39gssyOemsmqqNiGGRNl0FUxEG8V0c4zzC
lGF37wEkza0U3mEOnDOUmemqNZP0pRZBA0eJID0ZrUtX9gl9eC6+LPTrW9WY8y0aVLZ3SaffVbRk
R+0x6/vpzmwpHaQCsX/yPNnvGnQH8Aejxt2TlMaN2eRmeeb6N90OZZ1i7OMJzwjiWSd7SF9Zm7Wv
2kiSb1XUFde8zMk97kD7O3ZMlcC5N0eGMAjdt0EI/jrsJ0LYIpibTdxRYTTQ/IKtyRWUMsz5vBl8
lre2151TrKmEWXuiwHAbzrXRY9PwUn5185CkmJmy+eLPLdgCjMXJs0v1FjLj2N4ShZMnnWYzs1CK
TtioOP6okpCuih7bzSoznOiS2gHvsuVr6yiSd20eiR0VfdNBWKX6YQ0hOQQ/4NHnZhAiZZ5Sjw08
qyU5CILoSsNcw9QWpPt+4LhnqtlZMVkcsLPDQ+g1Dr4EIwAKgLh5xF0W7Lnyl+vI99Nn5Mf5iYof
cTWDS8AsSkHNqbQBm63zUFrHwJQfVM0kG9MakncndKtkO8P8fiKfhL5hc/Wg8baq9dVYuvG1cJuJ
LDbPVqoY3mRD2wIVNPFNbNfBrYREBfZ49kk5Z4OXfCd+GjE/hqY0tlOQF/egSqz2OFTR/Ai7gGZh
iBzdyWxq9Y3W7f5pjK2PuqPiZ09aiTbjAFwnlcbBT921wS5XONVWkxjlampsDAII3ONWpVJ8A5Y2
PKLTDG+4bSIeuqKPNeYtAnIrHTvlk57i9GcqU1oWYU1ssjCKV2XWWq+YRoQ61DHIvrbCDz3yEB0D
KvTcAijxDBzvxfMDbuUNK1nlniu6LbaZICKFTHzIsZfhqyXaFRfDaar8G5jJFdZD+jhcLL1gw8pJ
XJKaD8mh8yLnjD1ZXTAgUlvTdGRqc6+lVTPm0gGxr3kn+XtD1wy/KEStoygNZ1/RoilWVW3EmzSK
8dQzzdxTFNxw3zM5Wun/ZtXnD0/FVKQ0OyMyIZ7Vd6m2x6eknI2FUOCskjRX67LBNawLx3iksGI7
2hOJU1O490PjZDc1fQpk3KL42ZomcezrrNti4iw/cjwm+yFp8m3Adesw6tx7URKzuG+p4qNvxLgD
uYZlalBqutRLGQu9qVxMRHOwAzO8CouObjtmQxbS+HhGQGqfejasdek7t6Woo3NmcNznDMqU9k5f
vF2iOOuxx9e4mnojOqcZ1eTcJLEI+745XM0AOlmbZ4a6mVTNg4SQ4nvW12I7GA3sF99o90M2RHdq
4h5lkUfb6RYH9Rxr6sx9j9hqlGdry8fNXzXjR6bm5i4qq5vOlS0Wr7JBnze4DrTMl5oOmiuw6MkK
n/YVl85o8z/ZO7PttpFs234RcqBH4PGSYCdSoqhefsGQLQttAIG++fozkVV1ylbmsW+910uOzLQl
ECQRsWPvteZK/cI+571J5ohiWcfFbIOAzna6l5ymNv7q29O7Mvwz6Q3NVpZtOfAEJ95dqRQRC5XS
jW1caUfWRFLJserGD7JiXV2V01igwho6Iu8dv2JE7rbDljBN7U6ggdBfBzUL76pntr9DV+bz2Ze5
/UGRVXY7B1nOE5tUtRvR9nz3nCGqrmaJCnJVi8x/7zs4ItsZ89yXxu6Hez93vMCeu/lab7TrzEiZ
KYJEuaIfH68sevenpk58qrkleUHINJnWZWTgIxxqx3rAsR7tZdNiKMwJ1Bra9Gg5yr1hRaA/gp3l
5EKaqdEwWMmL4idOpqTLsqbOnG/qVoDnU3rlveZU1ve0NuoTz6vTUXu107aupv6SaVUyoB8EpY3B
HbQZI7fZ3CC21BlmYc4CQ13k9zBWTEJWiG18BQctTzQBwYCTvuLcWCUVSsaZO8L1nIL/iSO3vM3M
1nHxSje0sDirJ4QxVnU0b6IZMgE5LCp+1oFiHGulWoDGuq1dRah/BdGihxIF5A1zejcP2kZem73r
XUSk2xYFmAU2mUkJuUpTYnyNVCeIKsu8V5DQ3UEIH9opwGJM8TKKwRSERdiN5EgJyw8KREwgxgHb
ksQ44N9AT9iiiK+nzYgAeOW1pdjaFSLRjFQYt1QwLjVwfespDesdq9YbLLKWmN2uJLfJjne5IClr
TNpdbEa3ZuV80ISK9mFRagfmouTTgZPUVYwaIrkBhuCvelfJIGeIeq8PNcgCiKG70MEyk+mo+sAA
7LTliMHses8bMeOO2RYltSGv5Iqw3w+dDIggibS96YJd4IOgJ+iy5SREEQd+GSOfGEjUiKOHNgaY
beTRo0bZgWi0h+KetmdO5wVyDHFtmU0VwL7ZI/AftxxGvmqhdcqcNEBJhqbGT9gb9OgLeA4ISRzN
nKZGaNF5bjAP1QQWIW4PsHLg9jKzXDluOBPuLkEVgYNbZ2D7gqQn5NEFZLEe8norczPQ8/ENORlp
IvG+hW4clHZxnjsvux0s6C1urM9E4872Due7H7D1GKthmGokS75pXaVFE92FSmQ7O8ShFNE53VR0
HCHUJgu0ThHtO8sGGZnQpn43Gg4ZZyGsq7XIEaODbuwYHXl5W58wfacJYWe8v6LGJJSNeBtoVfV7
W4M80xlm99KkBTTUOM45sKQtwREjUAioUGbfX1CgyXjjRgpxnS3HN+DB4bFx8fZjawJINGTOSzQo
MjNbzfEJT5054FzplpHcuSpCQci4YF6M2uOKjUN/joomv8dxoBZyi+3qOy3LmytQYy01qGhqlrxe
Pdt2e29NfBX1Vjy0beYcWWDQLyVK7Me8eiNc11pVjEE37ZhCfGn8DdOz/rsJFcOkOtXFDVguseeM
VWDX1lX+OgnhrkdzWiTkddh/4clK1omjEjSJMt5JbM27cWKrdhKOcGbsR+S+mOO+FXQJVgK6xyYx
a3U0ItZ8ViF9eIogGbyWuZ/sErftio2EovAoKFxsvEgyH0lNZKz+3+7b/499k6bZL5l4/69p3uSP
3bd//MA/rZruH7rBqUIwhvp5rCX8PzjI8rsxShI0+OfA619eTe8PGHc4O0mONyxDLJqjf3ffDBQI
+IcNz1nab8Z/NNb65NVknqXreDWXLp/v2VxrGUT9MO8sY9yPsdagf4lZPFc6cxRj02EJSnc66LgC
vuSc34oEbNKagw5uCvL6WtAYELnkOm69nk42vccakltrsCros7OypNOVRJt0YbIrJ0wTAvUj4yX0
8pPRkhWlgbe9QkjZAbQA8r+2/T45gFDbpE7R3NpJYV78xgA4TqrYWppacRpNPzk0UUhYm2nfC5vj
Pe8gulHF5lmSrnqNkWtLi4Iu/JBuHJfTDO5LT3VdMNfDvCaztliZC6lzrkW59ZjaBzbCmY3lkDpY
Vv51GGnGTa810c6e4y+FkSRHWBgiSMn8JBkYR2LpWO8QRp310DffkJ+IXabQL7SNM6+6MZwOBHS2
l5nhPwJaPX73Kxd7A33BK2wRb96osSx4er0Fm2UHg881RQIurPeMm5bh+9yRmIaiEZlFqt24FVyo
dP7KEn7QIitoZfg8VtYRbPzJhvFMD+5K2sYuiXXCg71K+2YD79mGo/We52rXYLhbZTSkAM+Va3Ow
HiIfKgJJMfPGof8YSPrzq8pIn/PYGTet570gSzmltSFWwguGBsRf0o1oSaJKLIobGB8DCA5KW1AW
5bSbEntHhDqUrry9zWoFJWYeG9yOEWlxg7IZ9WkcUDjIX2ZGx+epc4hbre3ui2xMBPNsudE3M3QB
+0Axu4VcRSlrDPa3uu60Xd5V4ozukT7Z6E4ftd+i48XsUa1K0mePRG8OpzrOzsjokw+7Zv+DsmOt
jAj9jGwofqAatjjIgB9CFb0zKv+K+R91cmRQnM5abZ2hWENIy8VtVkI/G9z5TsTlJfPYGKLBu51l
gj4SlcQxqVoXuHIWmrdEiFdB4kzfcicdt0LLv0ir668bzz1oJjRFBLRNhiyuIz0eJ8hx1NEfVy4B
pxh1Cdqy5jXb8XRsM+9saLZz1yJeNU4oMFOfVKLCqFBsaQnZZXYmu20rgWKvNaSwcHL85USW9txs
kCscnKvUZRC5Rrcl8VLMQPZ2HFNdbhiy1F1NmUbL2JINMUS0hwiwdWddX3d9hehW6ajYNo0H5xE1
cpy4a88oQy8I83AgBSs1YNsjsoqZ6UQ18VCanch23+GJbNexmTVylWZ2op6Jv8XkzfMs2jnIJHQM
CpoSXU0PMu3GiWHL70VB8XcMqzgftoLAUWMVEcog7iXFXHnIaHGVHwoiHPKnlAilrd7Eub+OTC1F
aoRUyIas6Qu0rUyUJGps3Sl3seVyliydatmHUQ3F21BqonkvzT6W69IQPsFtnCOX9jLoSt2Mpmf0
ot2V36YE2yBpn4I0NNiB3WmMyz2pozlRn72GEArmMjNtxHKRE8AZ5s3yMm1Vo9bqeBmPWarzhCB/
pAVG5lWWFhJ3b9R+H8KqtMn1G4aKEMfEyG5dbELpdsZFIZAK0SK9iTPgXkcbZTeCr5EBMDA94tk4
kKMxh8+k0p3ssO0c3Kpu828clrtk63sZeY+mFJgB7d6AFex7zAFwUd3BKtU3HNW5YKeyoDVIIH0u
VOwh2w5HemYVXoW8nK9czTS/oDqOF/BI+zYA27SR8o8VpquGoPlYzOlBjoCIBXEl9L7BabrNQ9p6
D3E7vogiHYOmqKZX4QwVEVRxfrFSg2UviVzcvAW9a88rt33fiFfM3XiIrNaevxj6/D64HYm/elc8
hVodKJ/jQQOfS9Z9e3T5vahhW91wKEDHoZentu4zC2FYyDtKvOySkjvgqc1JSjlPdW5stHikZU/l
15qL66VGuFAU+XBk1X7qW3v0tuj42vtUerl1F+ZY8be555H00zUuGJgFZzgRtDPeOXniz3vstFHQ
gy2L73PPiN9JwjNQQCeyiQOAVMlDjX2g/wIpG18EMm8a33GfNJy2gRgZCd2vbBi/jnHKfBWEMWZr
EbkwjyK1dMgbEmDHpr9t2yk52xoDgR7W6rWwusuEBfcQxm4KKlPvoLXPxaM26x6hE/n42oyOuihN
95NVP/n+QzPnE5V2LfPbHuLU14KR377DRnoImdJoq6HDrOWGiXHRSIWAUdX6ZwwGPVMyIxVfI0DQ
z3mS4X6vkSQAsbc6XDro5cWHyOfqpOgIfITAlrs1pm0vfyCvHcozcwEU3pYb49gr9TT/QM9BCjdD
AP0m63v3riwN91niGt0lKLG9Lf0CNz8ZxMazKkzxRiv8+qGMKoV8IxuK76Ynyo/e04aXoTLJg65s
RvuuIxFXkHnAMSAZ4bNjh7Cuo7zR5DU5evYD85lKngpm/NmemE5a71Gi9ekGcpsASoj8b5020OxS
BRHwyjUy+73U6v7iZqZ40MsiPxUJYRhEloTeY14bzpe5YwdJJlbVFSLm6MXtNULoRoOpXz7lxBZO
ZD8KnIX7cPDhvkWOQdau2R5622QcFtko6ZwOqwRrRIlVdTGPgfbRJtvEQD83j2NsaDcEBBAHMkYN
QyqXwRzKYI0if6GuFcgd+yqfaFxB6+30ecrxdoPzbJD/mdvZshrnUqd9/iKbiC9dGUXWkjDchxb8
KN9Lr/yitjB8wtQICWg2tXoPkJn9D4qEW1yIONGmM2fG2Lxo+oQYj6EiqhqOoDCNG8vDOaEY7EfB
MOQRJxws5ogPBPj6XVSDsjwlhYZvqS+G/mIQzhhd2Wp29NPAOADSlE9OHn24hX82Kg52qTZ1d2HF
ueYJcfR6JNUdHDCGAgDMOnwFHnmfULn1YLj9dQa8ZDe0lf+A7tq9AMkcgDWErPvuWC3sjtna+44Y
A2Um5p79TJ6tGQw9mRZi19sxPga6a2SZpc18aoBcAK0gPuiYWA2fgsLPiYy66etv0Nag6BKWSflg
6TfNhNI6qcM7nQd+jSk+3LQuZssGofWLMLrqSHMoekybivN1M2hEsyk3wvMTxdGG6qbgEy5Jn5xE
pU6g+zknW7bNhJIsLsHHqlrHWoc0+1HeEuF+xp5pkb8cW4/2ALh2x8x0gLyFOX7EJOLS6ldpKuEM
hNbjZPQJH/M0edHGn7rufsTkrw7GJODCmXP0zjbHYhnCwBwRu8ZWtKexH24Mzh9MX6V/nHBU3s52
eQsDaNw1SUdQuK+YSxWzcyLhXdCdcY7VDMewMNsH9FKZsYKLfByIHn9jw0jvI8/M3xVjEMwjlVFt
B0vD0dfWSEo4ylTvUQQ6oyyd8BAhT9vndP2SrRpj1D52UqfGRm8se1tZnr60YNkIdoS3ReG1E7dk
z5YDJuBhHOdzZgPcrtqp/KaaCZKARhhFaySM5ErddBgFWUsrjtSGNP2N4G3x9/9b4fnXE88i9fvh
xGMRA6yXZTse7DJnTMS8ub4qci19+EGB8TcKvr+7jECHDRKQISJj2p8v08+yKMNQGw7eWDM4RDeY
rhlQ2d5vbmdR5/18O8vna9goOTgRcp77+TqGr5mt8J3uMHdF95YuO7zbzpwIokkgFhu1LPme94QI
rOxWmuI3Vzd/FkYu7yagIcvybJ/m3aLf/PnyCK4yTdVWe7BrjKzxUgiYQrpbeykO+qHJL6IiexMU
9/SaTSX8f6qJXvcfZqoL+88yw4ABsRQehUvdP4+3owfq17Uq8gZ0GJ1qhX2Wvoc2JPm5qWuWqtKb
w5VK45I0I//068/trzfESVjHXMudCdN1Pqkh6U/FXl526jAnDXo0xAkRaDb00yikYXayx0f0Of/R
Wvm/qRR/+RCthd9lGILK1PX0T9/Jmlml3YOe46LRfLJQMGayJVQjukq8qfqPJM7LR8bFFjoZvQWP
1emT4CbyLbPIsT8chjnRNnCT3sdM20p9bH9zV399BBDrUoZgt6PJYTnLn//wpJmyMVQJgPOQdBId
jW0oOH2YUGmN//ozA5r2+SGwHNSrrkmZaGLI+vShRShpUmd28kNrk8ISd4tasBvj6ET3w+qCzKQT
u/PJ3fDZ8obmnA2dZd8Kg4y4peTr/qz+FH3loMXPNe+hP1If1n/Wir9+qX95TwzD5Kvl09jhbcEu
9vN7Ap4Hc08pkkMWx7p3UKJrb8dy5LD0H18HwJzj/Bm04MA9+vk6LrQliJxdfChCDgNBTRxbEiya
oH8Ilf8ryfuNJA+jAYhJm+Xu/5blBd/zOPmxMfjvH/qn5t1DgIcpynGp8P8pwPun5h3qIGs6FDI6
c5YwBYLzfzUHBcJ2j++7a9A9RJT+gzRP/GGjkOfJxrtg8Bv/I5DbovH7YWvh5ihvEYXzyFg2O8tn
Z2NSOEry8qpdUi+Djmqo2oeuj4aXuG/7szUOD51Wa3fYQuA6oExWFCDEuTnKQNHr4Kx+lVndvxEh
lhzCzO826O6c9TwDfMVcDEErT5zL6PKk8evBTVDt3EY0M76nLowRTmuE3fjapuJYwKCIskb5cMoY
gRFJRo7OM7wNScI5RRT6J5C6YZbdTqVzl5V5T2iXBaDKcocnK3X1jU64I+x/H9hJ1pb3Zem/jBr+
MGNAz19kAGtdDRwA2YVEMZpmEjQNoYzdVN3r0ooxno9IvVXr3yl21KCDUXFvA+zYNFEqN9EAMx/J
urNPwgwas+4Pz+YEWwmeWP7hE0R0wnkTfxWuxKA0YRHt0FU9pJ0pd0QqMXuyXUZndo/iPUjlqMGg
ckPjS4amGuaw0210xvWnwVjgruZMwMOaAnX8goMwUZR4DsCGyu711xInBCJfxQhbRAZHqrp3rp2W
7D2Gj5l4omHVQA4xqGMJHcEtN/tlN/yjJvjvkvCbJWExtLCR/GpF2HXpW/3W/rgm/O9P/a8NhokA
6zWWF7ayP+GK/1gSXPEH8Eb2bvOfPhiW9H8tCfYfmGNY5UE3imU54UX8a16g/7EUaAIWjUmDnRXj
P5kX/Lx7sSJwBTDDBGf4Bn4c71O1h/utdxvsGpvW4XlfzUg5n2PGpL/ZvH7ezpfLQMpm7XEZgJjc
16fLNAhU0gFuycZFefql1zWxZb4SEbfZZv0ukpxOfvgU/qZY/ytHlSu68CqEvlQEhvhUgPlyxjGZ
hUSzGqMvUdTo1M6dFssBUbtVBBJA/r3ovHTfhuKOY79PKAw/9aWYLAN4hZ9eAR22royqNzc8oRzO
p3y4ltE8n4wxU9e/eb1/WZp5vYsfatngF2ftp+2dhIFsGkaErVlYynf6ZBmtGoN/Zn7hM7GgFzVE
sMA4z5fvNcLC924Uw9MUpWrHbMb+iBjpPhblSAr2SIbqr1+e+dfvCS9v0ZYv5xK+k59KTM+vdOLY
JpdJkrKvkxmaBwPP0gq8ZojJPKTEB96symOOO3mja3q0b2GbYLj0xD4ebY/lM5JnWrNHw1AHJlQX
2E4OUQgoP5CfVn32yryNVkBoIxAiuOhrR2N/J6dK3f36Xmz/8y7IW83Zhk3Ysmw23k8Vm0jmQW87
C/Bll8cnvK+CyI7RjAKEZDE5tgkjBkn89EYrm+G9cAcoX7ksfIKPJDvC6PrapRvH9tVlfSciwChO
MtOclxERT9NAvqoTM2AeBg8x1yICVrv+QBpGvKmj9FU5cJiS0HnxHYzfrYbarZjOqDJ6yFKuPNA8
dm9YzquTrYUzvZYYrh6NaSPcxrLAYsV4e9NNwkaaM1jXNWC096WBN68MsAhHkCgoO1OJ3C1mNTrW
UsfjkZoaFNJyHtOXX7+Xf7Ga8WAjXnNs5paYK3ER/FyVKg/lgNNMDsk4ljyXelZsy3TQTxRA8I6M
Dy0dxnMHeKNZS8xhct/V+fDhVnn91VZVe11FdIgZQZnAHMo8DzyNAcCqKDxjTVtL3ZLj2OzpQUck
Tik5vfvdYKDpDMsjLVXtxbCy6KRm8PrrHBLLaor08SSyLt22nav/5ovDyvqpfFpuloOkhW0QY92f
f/7D8UcJXfXe8hA0WdXfMBVbHL+mZh8Uy/otAan+tuK0ABAyny81CUJHSzmElNhgyvbGbItHpPDT
d9Rs+rdffw5/s76KZZFdfByuLtxPQ988mmQPOcdBR8owE1/bR9xPB7vNxsAb+99YGf/mbeDMuRx6
dJJYWNJ//sxJV3MHMbXOZpoa70VnKLM8xen517f0NwviT1f59JTmIk3cxqqBMlhJ8l0vm/I0dfAB
6XoU0/bX1/qbFQHqNns0O6rAmPrp7eMrmSrF8GpTcBo9Wpqc32fSrE52bel35tiw7BYIkSgYdb24
9YuwDn79Av7mLfVtWi4e9lAK80We8OPButQGFPWx44Aw9YhtGCpE8yFpvb++ykKE/qn+d4RB4cD5
nSUcl4732fTKkiumPCVF0qnvVGPSodWnXZr0l5FgRD85j8RucQx4X8rSLs61MzGriNPnkqG5NUyB
33Wo8GMbHwX66B0hxqBXx7vGVEzIpljfKGyWK51TqiJXb4koBb9IksN3JJG/4bR8/n6QQ0j6CHsl
3NalrlpcSD88jDMJbxWp0t6mYtsBMsHYHkUAw0+X5Ndfv29/eds4fi0bH2I9/FN0P36+VDyHZu51
2Cq93I2uwgnFLAld/TGqC+go2E3oYhv+by5KKfj5qXZpfODmggZuIX2gPPv5ugNaQBMsc0ga1vCA
6xR0VESEpx+Ow4tFnoa7MsbmTouSQx0Nr55fwPSE5/RGYJ6xavX4SO3DMUF4Kyt0bxulIPqZ1nL6
U7u8BbjRhMlraDavZY/qAKfnCp12Ax4OVHLF4GLlDePByXqbgORGv/WJZ1svCYKwCrD5asx5V9Cv
9G1thM61KEN6gbV+UqaWwxYd6OiHJihcJS+wB33mtvTdeJ44tyC3YKezxT104u48u2/MId4LWE7n
YpYOOmInemHk3521KjW3Q0rkcjinxkpWQq7qxsO6TLA52elVnr5OyHUZBSYFehYGc+9m7tc7O7Z9
jAetZb+OiUnajC4flOpva7HruM+EzK5vIcSpjRPCtUi0iDgOx0nmVZs79dapoIUXia8QiDkkozG0
vLErEp4MmLiIYtOq3QCOYs+tO/M7/GpxTSR5s00QI6Dny5gI+EYfbuYBmj9AWiv7gkZ52CRYrOkc
T8wz3HvkYmXQVhYoqKLr7Hw9V/F0rK3YvjC1I20rQWDJoIVpzJ589nln5oh6XA7siH1HG7mI6X9M
A/LDoXtA1fc9pbp8SkzMbNZcyI0v+mcy/K4aOTbbBkvIdYjUA2BGapG2U0NpmFQp+V05FjN/9mE/
VRfpz09jhDq0J9B1T2xYjf0qIvEkE6MLqoM2QQ2ibGfMuXOLy0S+I5tuzl0tiBoLY1hWPWMBnCjN
nhOuumD+NV6KSuXPQ2LtcEWUdAmwid+WpVQX9HpYokeE2A6ioGoKGCNPj3k0txcrnLpH0BH+utLq
CdZHqHaq1LIbTVUk8420KTIKrZsurYiQ1E09MCrpcWVX3YQ4rTbMcGnwIut/00KjPpDy59yguSP/
jk9vP6eyvcRd/rXuPdh+yx0OOrwz1Hy3emTv5vKBPrmxFmjJq3C6DjWv2REENoBRy8pvYWjED0xP
OdZbXUIBLsg6qvDMa14+B21btcHsk6BVjpFz8aohvsmIHAx0BSuwnOriQ+gQYKA1TVeSOORz4Yjv
ceW8FjqG3lVjlHDlazMZn1EBlijVBxg0E4PN2MJi0DUxQ8KBXJSujp5r1TzTRsEe3jpG/TUvjfYp
Epm7l34ldz6Qp40KcbJw8mlOtayBdwDw3ZMDmW9rDRWGQ1DOGlZC8WTXhXbNFJYMJebcpzor7lhh
YecAYWRkZLkb/la0M73hFDb9d8uJjuSvIVROfbdYgcQfybWK+QtaFIN888WmH3ttm1lCnMMGxodR
auLe6qavjXDKu7we3DN8IoX9GMuLbSX9IZfO7ax069LFks8EzXARxM3QXdlGM/BQtfE29gG/dr6F
ALNUJy9dIm4sVEvRhOEeYG782JKGw/9T81HXK26wrJr15LA6OnYzsUFUiEGMOH1DJtGd+sgZbsAQ
5BcHBjSuKE1uGIC0QZyT4GMnr1Usm23kkuxoaznDdx0/VY8aZYQScYOIG8+HNprfrAHW4CCqNKj8
WA+SLKpuTU3SPgs52rlbS9pPVlg5rIERGZUxKQaGl50JvOruiKM9IvTAAcLAIEsf6HsV3LHKLpY+
EpVM+MK7DmbmTvUplb4YEPumDYN3MmOLNMCBfq5N1w7QicyQjqx7AyyaUzC4BpvTw5PudsWsOpCF
5teir46x4QTIpr8WCR6DpOjt3aBcc1dr+n0J26AhXPG6cPrwNHTYVlcOnoOXdpZGoKD2hignTKav
sJE9nGRTy+l6ro+t0UZIWiyGqll0Q0SEgHA9GOt4sGZz7ZVjRoBz3a27xC8QczWFvXV9sOLlEF5R
dpS7Mk2zY2lp/a2GjGe7pOZhzwCD77jMpG23usQA+ldoZLU3wHrl21zr2c4IPcyzOFpR79rJKQlr
64VXDUuiyxyswwmRC6OYd7Gr4jff0NKrSjDJ9Fx2zhoFL8+F8vc9cY9rFPUcB/NJBNia5EFZTsLS
71TEt2b6dY4wGeoli3ea1Jfa+ACCahUrF9/Ag2hJLGuMWN2iOpru3CgTRzxiExRBLz2iwJ82dt6G
z8XsTy8d+gecBrlxNy5Jb4VjsxfGQHLsuk2+YO4h6cluqi00I+9FRbp+SGJslakVsd3G+NTcLA7G
zIpu6ey0GwwZ5WkgpvKIHsk5hRZKtTjs9QcTY+klT1rrUDeDONHIpevop9F1LwX/1vj9TeWl70pW
6QMWZX2d4IjZ8xXdVF3zVUgn3hY59eLKq5fVhVE/0b858/DN7LnTobGtjQUkQ3VnR8fR2bgFOC70
VxGaDqhOyg03Wie8a4sQxrt2Tpx3J6nkC3MLB0Gb/TSFthOUMZGrBQbSnTP0tb9q5xadqg3UQLNd
edVmlcsaZtdb29OsINHJ4fTwiN5rDjbIhWnrw+hSTnxgQK22+oT3KjeqMphtyRc/bEn1C8bCtQ8p
0M8DYtZnYbfereDnUSdp2qXw0/x6Tqp3nK7MuokNowLOATUXdXezyGi9xv4oRH0F9S26BRznBuPU
Z0E0xOmht3ifIy8h+MOahhXtqOsmUhvipdcUauG2DuWgaBCgmuk1LDeD4XdkEzTRI0dMlxCHPDHQ
12AfW5GtWd8wPwifvNoz7qRs9WuzHdSVhZXxehzH5r3BsAmZvYrjh6HgxWi67Xy3Rt3/JoB4I1BN
0o0Z83MG2adB7RY1WgCKvi3JdRaixdGa3kwfvLTsm0nDyloWm9r3ijtVgNKMq7T/nuNL7dAYaoog
MNEz31eWWnlGYjxiAycCLYacF5QO+3VP+wd8Cqj8nY04lK2yq8IHWxkdH36OC70ZZLSbKgsFYRNW
MLgrNA+rpDHzp9LxxxfcqzmULuAi9UrF0Cw2aWfFqLDK1L/J4ozEg0wbAovD0MhiozmvUcUW5Kkw
f3XNztv5jgYhNiOQFb+D9K99RCK8eEYpknomtTb9Qh0kU0ObzyNRk5RMdaPOaoqb67RP7zBWfUV3
+9xJu9vG8WRe1fDgCK2bX7oZw0eDP2k9xVm976yZlFy5eKOX7UY3l+AQv56rpUU0BoUERKty0Z0I
x8U9FXbx1rPS8ErCjIlWtQzHQx+j5MXokcrcX1Rk5Lti3iCvdSpSgIuJeipQwXbh+2x7d2IwH2rR
vxkohRF0fnGy5iWGcLWXkSYv1ZKv0OiFt7Z16Z3yXmRtkJeJDErdQNBbMpC5AQBfY5NGDidzrTNo
RZnUSYTRXftO3d5rTZahpxTwC2xldjdZkWBia1zHeRuHgmhjXkJ3W4VOdMn98R5Nj7VH51q8jrM+
M4XAPL2ntTR879OwvZ/lgoUdS7w5Snn7QpsisXLY9t67DrksQydGNTbC4LCw1I4neQH81yXupHTY
97qBOwqt+ao2OrFxy4gsb+CfKFwVci8aLivDhyvYN4k6eE4xPOl1wqYjRI94GIQ+0QXlzJlVJ9gJ
ZambfPAzxSZHqIUabdKQbFPGxDaDqka7ApKbbqj/m7OH2yImLHrKNjUY+xMqJMBqiVt6W1xv3o5U
2ZYl1y4taMoQOCHZintt9BYQHk3DR2ZcJRh2Tz/Soih3tTB9Hu7OR22MZssO5wsk6nXvk2zc0nTc
jlarv/EMm5sJoO8+68R8q/V6tyG/IacMJvbwgJJLu9ZjglBR7tfZNWzm8FxTfGwclKboYPNy14UC
yROQrKOMxCOk2SsG8+XXuYuSHfjI+N4mTPQeTRCJ6aqdiFJkOW2k715839S/xE7u33WZaV6bng5l
BrvTt2Up/IJ+PL7vBllBlzMypHUp8HCVav6jN7ftg5dh8Aq6NvnGwpLfICwcHwd9StIgQTC3Naqm
+ELsbcU9xNk+Jl7pBKM+ujHmqLr09Vhe4d61Dirq4F4bsoRvY0bPiepCjJZo70jDNY+DK7BcUrA9
Sx+E/IrginxHzQO7r+qZzgk5+vuq93p460TQnukM9k+ZTWdw1CZ5VQJH9IEZDM0F0bFHO2WuITBT
rx3dvHW/DwZ0O5RtRXKx+KpeKpECQ0aJYpoHx+N8HOecJvdZvST2FsmQb/G4Fvu4GNLnppH1a5Xa
urGxdAYHKxIvdGZ8EKcfO8MhiFVMxsaWWt0gQJQcbEQkdZLv+/hGc/ViYzil2vdhTXCRZSCCmeL6
lm0y3SL6y+EFAjYARyGmJ80oEI4mWo4FSzhBpWY8DlXR3mTeeIGf7vHl77Nur7gFbaWEKj74T9td
DxC66k02CTBdvlYx6xgj4dxpMYZUr06pQkIzs9cVnuFHEPQ0THUMwTgPk+pbrsJx08+9eTZ6Qrjg
Ag2cpPCbvzlxmL4WjlbUm9Bg9rguAfImdxDGWtDYFsWuNk8I7UrSr1d1NN1xo7TQVT0iYmXYumNT
n3ZkDch9Zmm69STDsPkggAFsoknnsLgybenaaw4GznD0p8Ql2CQ0vCnIJ8TAAZW0pp3xNbbiaKBF
XazQzksnR7nHcWrd5bPl7xMtwV8n+7IFz+AS2cDT7iix4Zw54J8eKpaCee7wUWWJH29lAWm2LRHT
QlUVkLmbejJPtPdCfe0mDoMqgVVjhTQaUyKq9uvsf6g7s93YkSzL/lAzQdJIGgk0+sHps8s1ueYX
QrrS5WQcjfPX1/LIzMrM6CpUNdD90EgggEBEKq4kp9HOPnuvLQL9nA50wOIh9FZjw15WG/70e4HC
jXnedsYjTsLiy7XqKzyADEZIfwTHvzkONErKYnnFfaJ/J+hAZzI1xjffevPeR6Omej6quyOvQo4B
fjdOuZmplmlvXT+eb3Xl+XBD+kVtB3cwb1DDYs7zoVDjehAqJaJW1Xcp7cO3FVU8H4yWjItybPyv
LGtz1HUO7tcGn1K+8cV4yrrEJ1w4Gvj+gtGr33UTVNcAQvTGSonnalBUanhpdSmhad1ErRvnFJKI
L3Vll4+aDvTOYXmCnrnLhuWY5yM4eqK/3GdguT5iwVVPEwWYW2HW8alOfOsO1oqB8NH2rVwBWdHb
uVy6w1w09qY20rYjt161r+z1h33G6+sF/jnICd/HS813QtymXbL8s+K6BKOy6vY8qjGB9966r3Vm
0HoGPBogmm1ERthNXVSG0zRHeu3SWRI607CcAdAwGDANf9lu4x9QV+OTPUw/2hp+Wm08m4wAK4XJ
/yAsUD8+VcNbB69kWLll/9LWcXz0gzq4ychK/wyyiNPVUqXzLcoWb4aCi/XKN2zZs7YHvVm3qQ6X
qTZ+NA4HStel+K1td9S/rv8JnJXeiPNgSpyEhg97MMHbDCmjvcc6c16ZYqa33RporIj45mgZZwRf
XtwWI32YL+NXSmozDwcfzMMUyfsh6dxzxxns8m1Fa6KpGkUnF/1p6Jrl0I4ONRk4/WkUWryVbQB/
YzDJd143TxTj0ry3bmcwID06XLwLiitBhmIjEtDiTfOtH3FkkPO9gpDYcVUb1CXxwtspdAzQeqss
mt1bAytDyF2GqL3K/XVjLeekLJpTQAQeU3pTf+PBRm4rsARGNbOuMYFTE83YwXgp6Q2v/J7nwLDc
g+ZKS6sVL6tx1U28krvcnsCeLcauMvUfCSRI/XFv17eg7eifclp5qKQdmytOOutSA8r5hZSRkQGi
GdwMjQyDr6Ufi6hN7i0bXTAwNC5xrxfnKOrDLuNzSKMDvUm+X817fuMUyy22w9LVp2EN99mpGoK3
0RDyJVk875jPbR3m/mIhzRY0ZPPuPfaZJ87+0Htrn+vK22B52amASRNyOag39kSNRzo0cNlIk50n
SkkoXzKpQAgExt8VdQzJg5yZikmnDqdWBumvuF14AauoDYXLGg3jYvlceG7+hA9seTSMWL6wr68Y
idKooJ6wb8TGj80qVF5mCaB73dUgktI8Uyv70s1A2+05JdjrdLiQF63hAuCzb8c2w36Sw6tySj4q
gTMV6W7kLglxpiLtn0qTCo/cjZJ1kDgx1615+OAYxWzrUSQVbANswAt8DVAqbKHpVZx1Uxdbncr+
sbN8c6+43lecpn5D09tk0zgcuKPxkKo5u22qKjr6TUEevGoV3nXXu6GBvdmPuVVu/WbJ1lTXMQNp
5a3pra4paKdruRDima5s2rzsj7TyPgNcM2R8vInwkjc0xKJJNa/L1gu7mS74PnL3lFSbjzWZv7Ap
hX8sKNU4pzp/KqEAk/oeEpLotnWRreM8URAfHWCiLBt6fi+kiXIOaW98hNxg7nvl5rcTb9KyL8qr
YwifvLHEF28pip3uAALaBSozgq44Q68Hf+DV3bbXFUUCI2e+35onM1bGboqKw6BauevJQ69pv/uN
cXr5htEO4saYwn6m4GSCGQ/To17laV0cTLtSmwbW007SvxiqiPw9n3ARU7C1JE9d328X9rECYNXh
isPdkBT45ehiOcXjKO6wJ7Yu6X3HxIDLSVqiP5EMJ65S5SZ9C2RwKNN07xq3YRTr8ppSd5c2howU
N40trJZrvEvq5BMIWmpjE2S0DaZG/15QfNj7RrzrjcmiYgLaU+cr76E327DS3o29dHujZr6rutg5
Udl2h/ZbsTsodlWSPVSGa34l9TJyNDEO22MxIecP8wkB7DmnNCGuTRmyeAjtlHxaPGDoFeA54hLP
V9dO6lt0URrmov1YlvgGMx2tfHFa4Syz7JjuptqHly4Nd1u7jECLmx6kPesa0lhT0JFQssni6iFP
LshNqrAZkD01E9gUbrnxabFBpGScIOI7fZRYfuFj5DREVh5Dez9tMUHrtUkF1gAKxf2qitK5eE1c
Er1L7KRdjZTKbanb7PZqnmFXMVUkR9egAftaWOO+t4NlxJ9U2eQ8nm3tMfcG1pNwJBiUcUBty+dh
k/Pc1iGz9Gbx/TnYsqBAymhhu0WGE12aWmDR7wMKGqRvH2iZXcd+Yx+pNoNVUQ5AAfaDXNLPSEa8
FSXtcKsryDl7MtIlY+VoAeX8jNOIgxhbrgzNBvjbyUuZT8I494CpBZCgHwKaP8SBdTagTjKg1wMu
zW6US33qkk90HDY2mii1Uas+5n3omawQOE8Dr1nlbfqYjUN+6TuH05Zzo9yJjB6A1RiVLj6Q1JPv
dan6z7my3W+KCXOKYoK+WI0EjlegyKlEqCa1XUAe0aA1W92emvIyVCa/aobBgWkRSIbx4BvtG0Jx
u8nssWWF2cmj9Fw0fJAFEAFgTy3q1jMrSEZ1cycy+6CL+jMxqb9gz3Xn8n6Pq/JOGDEdLJ1xcaxx
NgGllPGDy4XkzCcueY+arGEiblajjs0bOcMIcqd+Hc92TZCC/h83mkECZMFuKIKPIR4e3WZ6Ayo6
wemMuGZkC+VxExmp2I+7HVS66jbAYBp6LR/0IkVsjF37arKx+kfe3SVvyByVLFN1sWEMYFLtKKiJ
V2oZih8gUfRFOYL2TGqCSihKq05GzEwYCXGZeGyl6kCPF9o7uue4r4kxEb+9t5Xb3GYYGPBMn4nc
kD+ZpLW2qKCDHUvk4Y15oTBJpciGaBQBpaES3UdqZRrsOWnL09JpkxgcPD0uvilr4abjpVv0MUde
Qosd1T1ZHOxnk2Y6eNyCIta8oBJIle6lAVfBRQv9NDXB7oA2etfEtnfUGSIYz5z7aeW25KOm5W2W
TG1FyCoLZcPjw3LntcXbOFrigSaJKN7qTtCKY6b5vud2fHaCznubmwXSRsNajyvR4oZVNgfmeVKG
CdVC8mPAD0bWjUhWdCeQhn4xmzKFLFl0mw5kY+jFwOYDxyqR1gYuhnpmhMNN2ra7fKZhtrDME600
7Av0kD8XXbNv+3rcusX40hFd4icYP7NA3tWWL/eKXdKmX1odmjMYlbXbumjcmXEnYlaKnCvpc0dU
D8dIzWQy8EGD52q2v8slva0beWV2zDtpt+tyVJA/iN8BaXFyGpdSFPik3iQ2ITeN06ZfOXYdb4O5
sJnxccN4a3gqX3ZvuzWmxnrcF8yfbyZhvq3jOc3Bpe7rGzYKBZ6TzQdkJFSVroomGC7KtWyagayO
qB52WMS1Rd5Q5Vs82xMdXfQvMmCHpgPhsRwh+gylFz8kTX7bSSjNeqhTanOhxiu7UDjxA1Vc06NX
clgxLo/LlJak6Mmir+3Et/ewsWBOEWdlnQCo7i3jVPy1WK1FFaFlXzwyB+jEU52e3MXhCHMlYcyc
tdlgRwxylW2cVGrXjEykdw+tPTgkgKnYuh25xxwp/r1y7TW4ulWSTLOmurXiYe9MmwR/x488NOz+
JdckgX1/8TepNxB5oseYa5198GTNa5A+x52ruUFBcOnsMxNctUpatorDummWB8BUOkuNnwpASthK
wH759cY7LnZKPWBd3VL20AMzVtl9tizenkdJ3INZWV6cxKbjNTDcNfDSknnPpbV50TQf5pTH0tLE
uVXa+Q0+J4dr2cDdOWrGEyfuRAxV+NueU3pHCyl7/6q9bsaayHpVyA3HiC3QuqZ7AVSN8B57WDVw
lSr3F9AKGa1Q9Xh55Nkk1r1D5UVCADRUCbUXaEhibcIJWtW5QSlHmrgXi8/nQ1JbfJRiqkxHZ6ke
Xaxa4FBsD4aKAGvHIYtANTgHE3wUako+p2s/d4tLWtT5DjN499pEnHWVKVjojyXOttVsZnzHhdHT
cKZK6tfqWHaaoGryy8FH++5Cv7ubbSA8rBMNmseupRGZoEJU0jNJE6DHT0pVYVaK+ZQYRAU5xQd+
O2PV+J/GaLyX/vwTD2T43EDc84FCrUdNCgvVZfeJYRX9us/ooluPTlJMt8HC6hquzqj7XcXhmYRJ
q4c9H+uG66NAMh0LPzlY14ihbEyKpXkRDSYdSWqeQOdIiWVgCW7KwYr2rizaX3Y8QhgvHyMpurvG
KOZDaU4yzHNjoJt1zLDPJF0aPcSIRRc+XelrXtbW22gL2Erw9jax4cbbqIqWO6+sFPDYnvkyoj57
3SnLfMN12T3ni40w5dNZQ9TK8g9JazchtrH4J4gXf11HJoW/3jJfqA2rb0q4UFveFopalRayxWTW
zKPmYLN+sf6YkvtwEmVzIpup1nZM5MSdY+tgdAGELd4hIlyUP2+1Myy3CC0dRe+58ZnHsfciNBft
kiFpr41Eo8PKZDelWbq1Om+j7Kn/NqC6H9LRjiwiziOlJ4mV3gCamu75RCqu1E77XnlD9ksEYP/a
JF4upPMG4FvMOzUR+/rqYFijGkOryPhrjkryNINV60OWG/4UmkOnL9ZU6Fsnrxr31oRkcOxmC5qP
a4z9xmXW2jdpwgZ9yc37WSQ+k6RXWPvAStSm9jo8KhaoVBlk8ikahH2b1BUXEUsi2ih75Hnm0atj
zRLTX9Rz0hZYSAwsVIuuzkZlPMvS+BFYO5+KmrJRkvrRltRper3VAul20vTFJNwMUSOWT2LKh0dQ
TNU6yx5GpNat7WT9W155+t61xPRmREm3yTCinESV+iGk+/6NY+XNy5U4z8b1fjAW+a3IHftUKm3u
VJwU9zG4uDByh/ybwLHeNiNN020xpIwqJqcDBqs9s2Eah01tdwkxKsc9KKmb3dD6y3sRNy0Y1Xmx
fxXC4D6ma9NYKe7Jpyx143VJpwP8/bJYa++PZhMopOD4sUaUcHzJStSHovbQfbxu1wrZH+sxqkAU
W9abGyioDj5/KnoH0sJ6QGxNT8Ny7fDhqeSrymlb1WZ+iHsl7mvZ6E1BgQSQsdI/9RaSRlb+HtFr
vIl3hiIntuMaTWR+Fg4FclRDh6T2yz3sFgZWP373k+Qbl9KPj9pKPYLcUsS6neixof3Oy3Z1U/3k
3rWmzruy+Fq1Kq5AuHx21kkx3MRtfDPK6mXqOXamRa4nylpXVESa7I2TDY9sSGMviA6gD2qoL7O2
9jiGQmkOyX7OShW6sAiu5ePcAseJRZYPuaEutLkCkbFfzOaohAOncL5xGtTv2fLYCPEl99qfsq3T
xfiR6yVlmOz77EPWc7s1ZJydfZnmF0jD3pNbMjFWCyB/r6is3f9YKpN7I6v7DQC8+NNIEufMCGxu
F8qsdiVN4s9/OOb+bydGdj/V7Wfxo//n9Qv/qviTppSi/q9//Vv917+nDXz92X3+y99s/qA9PfQ/
7fz4o8HS/L0Q5Ppv/nf/4d8aTP6LLAjeqQCL4X+eDbv7TnVCcPMffSh/+7/8NQbiy79AIDMdh2AY
1Lx/hrZbZLz4H1U310gWD8o/YiD2X4gU/pH4I0sKMgOH4N9iIJYkT2ZbZEwDi6Ak6bH/kxiI9K5e
wn+kjiXWesyhcKlMgQGWNOmfDP7EQBrfqbplW6uqQfUsXFXSaGCY50TSN4kBEDA5tqBNgDGg2NhQ
L28sD/9jpOhBzDOC4tFkQoQeBGMpMxijn21zAUQ2GWW7Y+vfnicrTeQqIKu9wTnqc6NLR7Lawdy8
4Q9Q6x5t45AKlewLMDRc4oduM1yxd1QylHcpijO1u3Q0BmtXOCgjRQ4dBn3UIfJkO21bHmxfOad0
osBr1eOi2ERAiM4jMngD7odPH9LfZPxEum/ZobCO/0oD7P+mCduP0SM9UvhmJivAvdWN7wrvVROp
mzaWmWheLDUkHCbmduCmKnoYI1mZvWSdeh8XMz2nbfoUtcsSunExcJ322k/PW5KTYzfJY9R23vVd
ps5mmtk7bFF6A5CTKAD7p8MwGwYgGPPQGa3aMncum4AfHYyKLAlxzXA9K5PxsSXjTx7Ex2s5qRPl
x9Q36vzbjulU770qfYx8NzsQw1C804b5A9+ud5O4bGyvxGoOnhRMAQghX4hjfuVGhdoUFKTovoYL
RJecfzI6uksAK4AHWillWQhC0whis0ik/wzC3bz3mMkeg0Gp4OCDC7622cfNXS6mmYVXYevPSiZj
c0C06E/48u12ZWLxuat8TiLGCc75VdGCvTuNtaUEruE6oZBFgj5ET4qDez3QyRx6HdGebTk75VFP
IFeiWoHINCO/IfTaF2m69RwNNmME8RsH2mZWM7IPg56WbaQRFcqM9yvf0qAemzjwn+H1uxu386cb
UEfDXWcRCV+1bAvnlTP511v22A4X30KKggwo7NfeHb0XoJe099W8hB8guHl3nu0MBUNbVO17V6o9
ZTlYYsceRA/zQ/zVuGn2oNPk6oxJgG2DJZ15WfAtDdteWdXGnVUbhSWozcdE9v6+k7m59/J42l6V
YhVG+VDtm1pWZ2WrbhsPF5s4Ci8MXC5G8lKNDSUoSEG3CCrNwcIJ+w6gur93uexTOZAQRmzLu26y
bsU8W+u8n5aHvOFakDUGPzIDAi+CW4NVAiDrTjFe8FQTytmNbXvlmVIgAh2ptdsFNBJo8NCoJxff
mzn+yCx673DG3GSNKM9jE0yHmFhixg1TQtXVhXMDIbY6lji/aFixregu09poEZ6i8tSnBn4Y/GBw
SFszlQ9lqvSLlYMSDel1lWcdWO3bZF9vEFZbd5Bt/co7uTVv8wOhBt0f8A97LKYG4c8fGB9ScdHI
yWvtltW3gpfpxaHVeF4NyB2+Truymj61XrEiTtMhyaRrgWwY/GbDZic3fwlw7tzLaVFFXqa2gF/F
tSlh7KVfHFODLx+aFmZU7oIWWJiueGUGhgScUIONVzrPs3DpqMnZwuTAbc0RzZ1aur16TdNp3PVB
a7iMxN5L3wTjjUWi9tYYzRJUDfZ8WFgew7yvJvNbygy++RSpc3u17g5IbtsBphUpmHkRd5U1zV+l
jqx3heQUyvaaQOIp4oRlvKd0tH4aU9uixZqdIjMH8KPqO6Yu+WHBcPGTGRqckeyX73acBiAhJl/Y
AioUb5RYnGk3xfAynlKDnhEkQe3H2Psrf3pEwZfDRmoNqF42/KuHOBMWnbFthI+ZWwwYHXvKoc7h
GFDnspC1fSh60Rebq9xIIDiPFwKxDu0FWJo7germOcla+w4lPFQmxdeipyA/Ty62kVbGYltbCRep
hZvOyibhs5uDagnNACYEFoU7pQt101JpGqJ4TbCIkBvgyfMBxNhaH3svYxzv0e4wokzFOea+84zh
LL7pqgBBeUEO+ehbvp2whbqLJ2mcanBg7ExOsWH4y7aR8KoZBGsygXlcjkUImXX+ZWL8pkY5n4Ov
pGFAxBGRgv+oZbKgcjYIKDtuvAKdnWrpmbu862BKSir1qKWkPYEpXyanyKPEdO31fRzwBqvK9A74
Unsai2SsaKGuncNYs0I+K6ca98L1eAq0UZyqmU6/EVhaQC0p0mrGSMRCOeke5dR3EKZa87Pplkdn
kL5gtR31F5O9REk3gTZMmrXa62xbDlIjI+TeJ9t5U63zevJe297tg9DxaMbY590yJJu+8bhLazTQ
hTM769CoRoZlsqPPrtWNly6IyW1Xw9xdPGEGp4ZneDUZtvNo6cZ5hVJVkBcvnaN2wXu5Ga2qSM7n
JVAOmwwvGVe+m9/giz7aHQ8sNme1fBeqAt/VC2eer0oH1WIpfluDdqfAIxTeFC2DZcuyeofQJX4T
tJr7bW3gy34Q+Maf3UQM169u+qfcKrx4l4pKPGdTxnkHlqOrj00VdO2mLZruzpA9cRZjsIPXWgV0
abA8wCnsmI3YuwaOfcrkI2IMXsJ9DZRrm7trjRQERQntpbjTE6vWjT9o9d5EuXnXZgCh6Q+FIxK2
w1xyhwjwFZhS9e8NU/VdbwM5r0CiizCOXX3RKFaftOcATnR7fW2Bj2MOGhNYf5gou2lCGzLuHd91
c4wSwwTtXpvjBKm+1z9aJSYV3DEV6KvIDxy5r+br2rvthURmhUitw8RMOLC9xTJ0mHXFeJZM8yAK
y44MU4w34RtGipuHshzgUiWNqENnbH6xdlb7ulnkr54hHvfXhIUQ/y5lWSFvpmUD9iPj5pCZ8bsb
xe0NXVvDK6vFpVyxX8rOg1U9+yObhpXSaWxtSCmi/rQ622TFkPUMTuU3zNSIV1nUvi0lQJi2yfmd
sy/tWaXVUNESs6DkAdGMMyWDdak8P5+3Zd4391m60IsOQY4gvRIZC5Wsafp3kpptv4rJNltbhPLx
bU4KSipyeOHxhrbj+GQ4AP76yUt+mB4Ej/RwFU6rvlqsMF2u5LgpLpr10pEM4FTuif03GieNJJID
csTOinDAQ/0ysHHD65+0uxbFb1U3qkbhnpcNnIMdF9I9hdAe4NQsK1nzeHUINtXrVvkE/kv47AJH
NkKYbiVHYFrkmjgEdgzQIVPIe5/zBP3HPsa+iMjNqvqmgsrw1FCZGuIbLtbCcqZ34KNKhbo1m6+4
LfDoLUkifk0FZo5o2FANtrwnkfcz4IFGviCBS7n4ALxu9hbsaLPvroKeGMQuigpWGXmaLLt5Tux5
Y3St+WY5vI1ek6YyCoQU4d6LwfOvzBwcRaJVqtlD7gH1OAY9Fqo+KPOvOnYnCGkcEMhlFaKA5yfU
oHgVwRmyrvCfeAccplTVj4TLxpcIYBZLYBSTnQYjRhq7PA0UiJC8xno97w1d+BNsqxIDZ2kH45NP
NQBEIAzEO9DtxRfw3PbNTnOMw6zfjJ/WMShBJRXJ15789oETyKT9xBSo53le6XuzHgPaZYCIXps9
gnvYju3FtNih7yLkknp1Nax9eCmTM4pGVlprLmggEf2p/oUWw9MhO3iTJx48LoZEjKrPwOv1k4s5
46Z3hH1fTJaG0+zn9UbUcBxw93sz71kM2VhkjWDnsK/a8+kZMR0lZv/tdDNy03U4P3kCHwlHrayv
3pjRR0OfRTmsM43v0DbtZE/rtYMVS8v47ZquD4mg49qBsssvsGML02G5MKzPwNf90aJ65TzaRaVW
8Km5gg1dzH2gWOgGUaaIxIo7IXJ3MOubOcJOsWqGGf/YYkdmsEtKp/jhkMg+s3GUZ+WbGfzKqSk3
/MywFCC8IjF3VpKv0esjSF5R9YJaMpx4WNlnpqMRDrWwjpZIp5WP+LRK3H7ccKqS4JCGbWETpGd3
hS1CJGFMGcgzYmfwHQc1j3abePkXikp209Yu23iZ+hNeZ91aXwRs8HCbSRymRm5v65m5kQKnelPZ
06kljbdqyExcbRSKPd5S3lfSy+yQEgyUaI3Hc1VX2WFswZO5HJIYBUzEEdwmH2meLF8gwIm01dhs
zzMJuq/aJnJC1iK+9IWVv9lQWC9AsZj/JO+Q26Guo3FnW6XuQuANXR7yYJn2tjOh43Vp255Yu7ib
qRgxogGKJyk7s3y7zHj8roz/ZX4AEeMDja3Z1PQykCcKSHDCYZhSLzoRyX5auFzg31ZLEralTr49
gSBLvs7fNGjIuyskkP6vokxOcRf0954VJQfFL+ApgG574bxobmLBt8HNCMv+kCcod7QO0907D0/2
aBzZezJRWepdZpy2U+DEF+JJf9WAUGqQYv4DBMOfU5Ne4BGpdamcg8AgvT83nvqCH6you2WXt1b2
UI9Ld+sg+K2X0pLHdIEfb5VT8l+kJq+p4H+RMUB9CQgF/hWnYFt/ToWSk6+WSObTDpq/uuGW0d3H
0VitKYpMnuql7beMZN5Bj2RS/0nt+Q++3f8trMl/GdkESI90ZBBcQUL/nEetXXekbYeaKWJvgquO
dAb4jJ5xailNWWC6ROX3/xOR7b/XS/z/kRRnCfeK8/jPpbj9Zzt/lv+ixf3t//PvlCaX35bJHYSu
4X8uUJQOKh0iGFKbT9QXIezftThh/oUFHx9j4H9A1oQkBfx3JIv8C4AX+GvXX39w/Sd/1yH/9rlB
wvxPHxu2C3/6DLPFhFjCk4MQ51OC/CcpLrdsgMx5UuKuNPw7EsKj3FIKxY5mYR0as454d/1aHUqs
sLS6N6R13Yk0jgmVYN9yuT1k5NcugcPXWA+07b1UvS/e7LGUt8tiOs+pG2neFKbAgSmyryo1xC1R
wulQ8te9V7g0kPpwaufrztf5zqfF7le6wbdNg7H9hHOEmA8zcvkbLwvNXr6nnsgzjWxITfvIJsm6
140AqgShfd0lUC3i2o9XbG6zF4jSuDnBY75Q8ZGduVXzRNKf4hss8DAM0owwEOXOso6iWUnM2M19
OxTMnodK0eXuxm7Dyp6UwC0G8XKXalK0zpSrtWj6fCN4bVzSDpvpMGXdbY/rdR1E4M4Tgnc4i80b
x3HqM95l4zgp0+EYTYZbhyXxdsBschk6szvjUFo2mfTK28Z2NFxMzYVWN8OjKhNwsV2AEUQRIst7
9zYCaAHZfQKvOfXBu4X/AqIoC6ZY2s7GsJv8TinR7t1r8Qu3zJm3d7d8YrLElpdm9baCTcji+7pd
WaTaIBRSTwcU7DnK69/QFxlSy65t0nAq8vHd7Kb4pbsiu2Y6ZJ+CqI9+IEsg9zv+Av4p/QMFNZNQ
SQ+e2ZNcTDFoX81ZCHrOH3Qpf5HTRzY3o7PNIye9L32CfinG+lMAiHnT1ryyqN7BUrBGDQ3WIJpn
XvCGMHxGb4WDse6X8ganY/HbujKxosGycZJXFjUeWNxuSDoaiMFuc8G/rdZOQ7YMK+DvecrKhyXh
RmxMnjjnKo7XhVF2r1PmgS73g/5VDln6QmNRvNaN8Wh7WX3KhtH+TUDGXRVmZk+rrG/6Cilnnh5s
O/tOEv/DdWV0rtsFnNAkoxM5aXfdj+W1fSyrCPHCRKbuREqcXwOgikcEDm4ji56PEyPPHQHAHcli
+L6lxW5fxsPN0NjlZ6v7ZT8zle/j1E9u2rnOkXXVxo6naE85LyZVAQj/YQz86m7sxpntljcdoUi7
74loPX+TL4PxRjwsfYlrlR/KfBw/yGGYn1zYyTRRkLWutO+fRtHodRpgdffch3SymkeG2iIMejV8
ZqJpXtxJJLu26sV7PdQxZNBBzKy3IjzXFSbFs1NQvAmioalvY41SuXIEww8xWJzZsq3v3CmlQ8qv
69cI+7leJYXZ76GusOM32cZvs0jB8DBnhNbCsR5jo7BipNlC3FE0S28JRHX+vCacf1wW1vgCPEke
SVnOuPWM6owHEe56l9l36eLrc1321qZLuvaoB9kygVB0loZeXXvnnKwBs4qiAwpOuvXje3P3Q2F5
c2abOrVr0idMZq49qM1QlqS1S61bLGWeOT4DrSubnYVHWoW0MeVyHcxgF4o5Y80fiQwQrgiox+lL
GGl2iX5eKXZcPaD6cl1Jbmjr2il9/1qAXG86IVl+LhRp37KJwMZMFE68S8dGEI8mb6acyb2inmdK
vtlqKLoZ0f5Zo+BFH5ObDhPqG2jRuKDnKO4fJmMov3FZehN25tj+cFp3cldlrZP3iZiVw/CYk1aT
2BzI7yvya++YfbuRflWBsg4il4i4Nb41pr2Ux5QaP0IGRjUfUA3dctcVvrBIPafGV1wRfF51bi3f
enKb/iZQPuatmtC+qObroT1GMwcj7Yg0DXTltO3tYe53vm1OtB/ZgfHuJROXUSwlBj4RS4Mv9wAV
mPsU3wxmY9NobkdFsH4D5QicEziJmV2BwR5lN1OlSOGu7VYXnDGs0Ef8XaTTo1Z/me2CDb7vPS85
EZWwu0udmMZJtkux7YsaFUb2Ca2iWVPMFzPOKQoCvc0Y38ZgBGlnKHGP96OTbnKN/y3vDUZoU7tR
voqUlZFYFMQ2bdq9jpTmeQfL6tjKawaO363hla/4STUbeD2rkN0c3Xf51KjHNJfRaz8G+qwC5zd5
sJYQVvCIiMg2Z3Fjh6InVXnb3iyCI6LY9DEzOuHB6gfvw+lNgswxlYgH04vxyaQwQHaxNcjHCKOz
fx/nEcmG2SlYleQkZbdBRqoZQZNwTK6CzsH7P3uM8Ry+z9h0p5OO5vjFpBKFKVo5mqw96ycK6trx
B6t0DzNlnJgtUmgqCfCns5EPWq46AvDtqit692AYYO0Jy3n+W01TwNPceTlKogS2UVglH8AKQMu8
ow102EUQKZ57VmjnvHDh8uaGmaWbEkr/Gysi/swScOyRXYrD0LOw/0f/C/QRFFPz6ntZ4RxSmc2Y
TmUxAhYKhNLo9xroBLrMuyEUYQZkKv6A7hCr78YYoMhNTbbclsbAE9P9G3vnsWM5kmbpVxn0ngXS
qBe9ubxa+XUtNoSHRzhJo5ZG8unnY2Q1qjJRqJ5eTy8TSPfwK2j2i3O+AwvplWlxf+IMNT51o5te
le55h6xYJn6hO0vO3sK0AsWvRrFbjj2DDjnftwNpViv8pugJbVt7rxHan8Tk6c950XHpDaO9C5PC
f4nmEftG5Wf3lgmXfa1Ge1jHDHsuZgapZ1XC1/7FodvdydBCCkiCXPcyDNYEo4Fh4YeWltXBB8gM
G9iszEc7wfm64lTUfmBMnrDbo8DDa+wXmoVfyaNUII82+0xQK1c7bRgYkEia+nQlk7KpdxJBxVuX
NyTHFXrxy40R4rxCcWGi2EzKfZDMr6IF1MI7Oci5x95Qpjc/NlCcdaEj2sCK8EGFXW5iNyWrXXUx
u5nWU4QuADs35Jz94LMirGoevepFtR23wIDc1rKM+YGVyiIVN0smI1G9yFZS8FT3mpuSNCdqTX+p
JNaQgBAL9zzgZkAbjTYMXlvS+P3ZZWM3bdLeibp1GNsdLpCUf125osUNn8bhW+iM2YE1KpvXJONd
xexYvfQM1u87hloYiRI+d0njegP2PV/mUedE1T2rfegNJkHKQ5mD3I6e2WkMjyceQigW98k5Y7g0
68DihuObYU8umPje2Bql0eMUGdJkI2e9o6I1oMUzlpJ3DmFlhI94hficDSQZGk6mnAlDq1+dZuQd
8bO0Bhk88g5VVpXsDcwun2mSmV+wYPmzIl92L74xKt7feIrXtHbRF+Fe2d7Jev8lQVW8i2f24a3W
iWs6m/KSTTYTYs3O5p1U0t5z0yJnyx2DBN5c6pMLyKD1zyHUgdPI3sPHSOJ2mCSTuP3AGwOaIoNs
/51Vfv4r7KV5tEMt+oGemUFB1CIWE6N5jT1TP0xoZafV/zaN/y+ZX6gn+EjNf9s3Xj+jz+xzacP/
IeL4x8/90Tv69t+EoIKCaekK4fwmc6pfbfef/+GbsH+hbID31WnedBOJxX/hPJ2/ESKFusNnQwzP
17L+0TvaQEBJ+vYcMjdsfqX7P2kegfn+uXmE7sX2Hr4h8V98TxmB/HkMQfkl9GEigWBKoE4U7id4
An+VJBCMYmui0M96Ggotfy6r1Fnb3LG7Wh+zz9Gy3Yv0WmM1EsggbYAucaVuoIDjFUXTc2TlPNvU
SCMJMYTVTKREqtQacPbaqPMxvq8BZGSPLdK/QPpNs/di610ObSBa5zK1M3Y+O9nE9I6rbgjve0oP
Bx8ZXStnNGZ5yu/Q2zaDs8R32OfcnJxPNzGIFk79TVsKBwSRP184UnJ0kvi/M8xDq0G2+14jJYsl
O7BE6W3xJeD8yHpqa4wdzPcNd91HDWsYX93XsbXnE/yphEs+dn7OKVSnVjwkuX0iTgHFMelMfSm+
bSMZj0CH8IA23PM7GrTHhPf2Dps9oTizVmFoTZ4ZS2KBUufe5s30u8o8y4mXnJjp1Sq6XQ16iBqw
vhBJ1tJSlzllWfdViWm+hi+tb3Ld1vAA4noB3MTZddK6F8fG+Fr3m8xaT3Vu1YHhFd8da5m1j1fY
YAlLBAbLYfmELv8QV7lYN65CjVJVK1REEW5cuSe6414T9rCJ2OA+98lsHxg2b6pejKBpSiKiQXog
HSAmtQTWU+TNA4u0H8upu4paK9vin/RYN+bWnW027GJsaEYTO+eATCO58zorDNCL2Afhz9MTJIMH
M60t4nPQ5cA4iKnvMlA8q7btql2nyehudC5Ih54ZxHW7WTrFTTUaK6ZhuES6dUdiGGGozmuUTVci
Rqag60fspapBbtce8FYhUI5eVaSa05hsJnviMurba9N032nxiCGp4l7w2eK5FaYUWoJNhxd7HBB/
suutfYycOAiIaRX1dcJEmyKpAI0G0MHztmU9HcZWfw7zF5FVIzSKXFuPzvJvy0ONzrHJKv2ZfHQW
Y9Ngr0b8SS2KWYI6c0REOzIiV4VtfOLWTE6sQ74z6V+WoR8yhaMb1jezQwMJqKdMxUMzx8b70GA0
XiVlsrGIoHoEn7Rlpg4ZVEwuZVbeQN6L2cEYTE2x+RjxDsOa/VVZdX/qmjTpgnaynRvuawAhYYsI
02q8TxtXFU1jwdrL8D2EQE1/yGjtXnGHMV3x+jY540bSkUNEzX5ym+ipddlX8lVtD2apT+9T2pYB
o4HyFjvmcHDdIvtIp9B9nC2iaDNkD7RxBUB+djwndnbOlq2D2naGER16bR4v+WDlTzPN0ZNXEaAt
9Sp/ZoWL3nQQmMqbyoemTD4eBtFl7qL8xYxlVed08NS90Rfm1Tbm/ghkyXg3ZNZvXCrC7cgK/1Rn
TnposE/fzU0Z/yKJHdlkm08NCJsUq3s58K7PvUouEh7W2abJPGUhscJBOQz6jZ2O/qDMob4aoTAg
tpbx88SHdakBYpz5qrhnk17rnKOCa9HAJLRbecWQGiXOlQVjRE0JTEGyhC32/zSd/BejY1P/s/rO
s6BPCkaKC5jWYTRp/AVmmKaoT8x2jg5eFGXXCrrRcJDt0F7R2hTrPtTJzTEoUiaBhcZQJB0q2Gsb
e9SijdX1z87QaluKBSgZrsS204EQW+Nh0knO8tkKW0n03jErGvnORfYNdp48dXp+dUMHH0Htz7fK
WWzJoZddpmjRWdes1kMQ6biv7D17b/agBkb1eLKfmob6q0f2cef0kSfXpLCFT5VSQgPJgt0maF1o
Beu44Bejq4p9AB2oVEFQQUZhEsTsY6eTMyw3wH7Ld82IEXXVQ4Q8ajaKZ5bZ3nsroiNkmHmrCejM
7qLD7QoM9c66Ktis1QCXoAHRiiV5cdYQ4u+n3MDX0Zvw3LtzXDWPYeMSZ1TqHVMhGwMK+6u5COkt
ifhaoWGeA1dhsDLi/MRafjiFTXl2Ex7/JJnsLWCJrULfFsieepgdONGKyom+4sFWCNoZnmmR1PAO
oVgoJ8kSykep7capfKhmJ1qTYptDwVJgasKcr9KMjwEVHgNIVdkuKFPZnhNb8y+9jYoB1404R4lT
X1Pw0A8kcOm3ODWFEfgJoWp81iNZWU5yUXrnXwzH5Pvuqbj96UbQu1akgsS/UFJge2/CcdssT8q0
PDPe8vQAWug32DCRELVef4wJlLxixx/vqzoBM6wX3M+Yl66V4qosnKb9rCfsUOx4rXabLk+wvzzL
+vJUs1spnoblSccJGR2qwVTbejkHwKYQVzQr51RZJd70uli+B7X36C1nSLKcJvNyrhAlXwbWctbY
y6nTLecPI6roCSRLsyeCSj+kHg6Agsi1IRi7Jn9Ff94fZJr7h6pTIOe6PmYT6XifMhPTqQo1YmUw
qN9ikCFd4PN/nyhAnC/H9TAbSKfb4kBybvzf2l2PiCwgR9DaJAmxLfgXgcoGetiweKb2pkJJWQu0
W2AJ7LqF7Uq1xV09QnVDNLOkTZoARXLMIcO1cCXSUbsGcDS7fjuvhU/a9d5QfigXGVxUvQqfpSG/
JiVlEU9K2u3LqCF9kSSpCHlimyypjB2j1A296qR47KCjrXQMcBYxwTFRXj472GiTz/bMfW2j5cTh
5+SkTBWy3Hl1Z2JRHMTFi0aSFzTX2Ga+2W4ayRSvnRuUHubvHMnaibNso9FwKdKsSn8F5y38wYof
BR2xkgzQwDHF2gbfHBXQ0paiNePYfJuzDCnc/DvIkroSHuPYGLVxJiFIPKRdzftS1EBJGBCxnVBI
HJgWdKLYt7anb6XbPXfD2ZnNehOF+oW9XXWxGG2sRKeFATUqFqUGS7ruIh8wwslfVX6EAKSssMlY
YEz0QX7gWlKQ5tSXUdAfeo0ZeP4kbqFeq2vZ8Yw6bfMjcX9AevKPE8FmnDeTWDOoV2ezxNgqiQB1
iQJFS/0gl2zQkZBQY0kLjXPXYbzTgIrEZ3DqnNHZZ2WYs9A2j2hgHsolcNRJDPOscf9v9Ln6ykCT
Lp9RBMKFhNImVjeu8+d5CS61LRUfmBsPYBDK+SRTJnwjxIoXRjsEVBr19O2XBt/BPgKthZij07FZ
+Ykb/W+f90dT9t/o9NnZLZDyf7McTPLPr/gz+z+35vPnrzb+U7P3xw//fUvo/03XEXm7grv577r8
Pzo91/4b4UQeinwyoA1Csv6h2DfNvwkbF47ucroIGkQazr9vCVkgmsQmeb7JWGLpHZ3/Uae3tK5/
WnXTf5L+oNvWEihjCOsvnZ6ANMqqpvN2VI5chm6L1bj1Ud5V2lR/MXlgLKXH/guqLG9Hk4KI2wq7
NZdeeBBOLX4yri32DBcJ3STMqc/9fGflnfzImtTdlrNTCWzTaf1Vd3q18lsgmpmaoquGffnB82Nt
W1JqLomZXfMTJjaIn7h1HyrNTtQm1ivrK8zoH1ZYg+ItOazbye8vibSyEyRzgwWN0x1qSh7E0BZT
6ELfJpV/p/dJvecM6N+cqPZ/pprTm2xKpnDXaGG/NQsI10Ems/FnlFjhR2+H/XFuJd5+Z6SxaMt4
TyNOmLHQi1071rixRXbB2e/dmUThbiYhS3C6iHrrqV84PhZj776dbwqsIjSDMUalThbtLswKmr85
TKrnYS7LX0mdOBeAHSYAyf5pbnX/Fb2idzNdiC8c8eRdC6dEZeMlJVgBqHawqcO4ZYA45XLYoQMZ
g64U6VvbTzqiMJIailR8wQiEzAu875zEGKQS12sfM0ymB3NqXSD4s26votRNfsTETb+KMPJOCP2s
c+S14Y9qZFhGx25r3wPWqkvO6PqtZAJ54QPnddqELId1gYtct66KtW+xdkGvBhMD3k2oe9+jlRZr
5vU9cv9hyI91uqQLMh+Dc4E2CV8figkT3R5feIs3SitIyRFym82hv469Xn8boprBqYM+DPVJSd2T
Gst6td1XAmibwuq68yLabQJ17dWAN69aRcqUcBbCF49VytrGcP1EziF1Wsu0sqPxeR/Zte17Aado
sNz8LskQ0QaNh4TUQdW0aoTK127YblTqijWuwYYKLf4leEuY0BeVfTWMQR762lvxoevnilr3rMrZ
/2lXVvQ8DgbuFGXmL9MosqOHag6iYlEz5B39ms0mqQyq0sU9W2y9wMapWUtcETe5hbf7Z2u1d77V
aIEBuxZTjBTX2ZzyrVTOeGWz0jMTEHxrE93PnjOXvCWayaWUzXnPfGnAy2qK/mPGMHvSPK96WPqM
05xU3nZSOsOQUf6srXblMPHfVZPrviDYRaaas/xo4BHYzUTRbacUNwzAn0F0+ldkxHMX2Nowb/RQ
scas6fGuXalHN3PGjdbFJlftZMwsLQvV6LvWpAG2Qx2T4iTBSRHu+eVRnPm4d7V6r9mNtcX+423g
/NzmvvxqjfHopaEMMAOsBWS8bQMuNx/Mau/VqLIZcj0hkF5HRiEIRFhiq0Xs/Hco9mWI9tdTT+Ci
YrpGgckhvIgn/gn7HqKWV2XLccDSSMQrvL1LV19BO+DrWFRnVjmLKZ8U+LZ4y8aMqKeybpqrNRuJ
uYrCggZ6HgjGzeN+TQufnXzcidz3QkvPxM4WbyXhFNvWhVe9QbRt5ZsOeWS4eB/TB//385z+frbN
mGDMAw2AhZ5oOReUTTUZqMGE39VbWvrxT9fUv+gS3WVK+KfXTiykjw1tyZ6wHC6fv5z4DIcQjKSR
vjPs6BEXPYOy1HwEQvaBv0yuDGqVwHaj+uw2vYtOns946w0jhvW6gfG50iK7MWiyEKez1gwJ1xW2
WjcyG36xEYie4nycDm6t9hYTfjT/mE1E33x4bbctYzYbdtEeRSY83MrJV12PJcWlkd9GeDYHhDE1
vLaMQG6jjY+iznMraFNAPNBzzUMxNKYT6KnebXgfRRBi3FkPzoBB1B/zW+8q/4Ps1eKD4cywxQZc
/BDoqq92NNXXLGrAPquFFNMp940c4PDg5GZ4m/JkeOA/3W0z98mbBGByHAfFpMzvvM0MK2mn4Fzs
SgdMuvDUdIBqirZSWV0IskVEj1iHJbXaHLUBf7ZCaJLG25Q6cdco29mmXLIYJQia5w7qWeu1YfPS
CdtYR6ZfvbDK8dc1q6xvB2QV4K00PfXg6qHN2PLEcm4p9OB+vWidLe782dMezVaJPeZkzAszA8Ff
kOrGF0crnRfbLYtbHNbNDZf8cNThLe/R/cbnsNabPQqVQ954626IvbVbNl1Qey0GUrc3EEIope7H
xfQ7qKIH6JcZyS62UN9kUw9lZKqbxx4ufsBymYVGaQjSV8zwqaT/9oMQx3InFXLd2VYQ8OGefuAJ
VpfZFN15broYrGQ7norIc865l5pbFiTJ2bUnNpI02SYQHzlB+MQKH+jNAJQbd+8d+2L4nYiX6t1o
RFC1cidbkyQDdLbBde0Pc3rrVVxenHFe6BkFS7eIedbouP59vJwi0DIoV9wDAd4Bmd0Y/0n0ZnlU
qyzfadEEEgqHrvRcooG5JoKJo6pdzqzI4fQKl3PMjIz4Pp817RugcfFFBwMyqQE6oBqxsoZkSRnO
7N38+2Dsfx+SnBTWul9OzmY5QwEdcc5AlJg5CGK9C8A8+tdpOXnH5QxuhDUeC1Vy5jJcnN6KcPAw
Ok2c6EZZPwxuXZ5myCcfGMoAAxBczhK2Edv898UglzvCXW4LIwNuvkqXO6Qm/pKICYQASUBAAFeQ
7ldIoXxt6tCIGLX7NOmlfQdl0ArX43KvoY0wmbDD7bR3eBabo8Y4eNsu92TfyHktf9+gRRV5P1QF
YwFMQo8nxxFJdcJaN3CGdnm9L0OyosOY7JVFf8qVPustH+ykEZ1OyPiwxTzmNqu55SNyf1cN01JA
aFQS81JSeL+LixQZcVD0rr2Ol7pDp3wM/bgOnDzuClb5nrcJtX485ZlRrcF5j4fQLnIYTNCzKkqf
NfMOeZB9L5josEZYG4MPa2sswTey0UsvtmjlwSRL4CKjXLzGpWNdMfh5D8Vk4CJv2rjdMrH3f9Vz
JW4j2o2vIeuHW9JOybPWy+4xRDTQriO9dw9dFGtrDdIlbSdreZaKvvIYAsXm1dHMft9odQqEhh/l
3BDOksQu7FuOb/FYQbK7dv2waIwxuf4Ym+FNd6pq7XvaImAwdXubM4LceWxLn9yIFy7pGg5QqcFA
xOAOnzAn4kGsWhKc0UxrN3suzYPrjNZjLkvnBkTfDti38P3Ik/KpgoqSrHAOZQdTS2S3ziE/s6kZ
GMNFRtXTSo6yvTCjjTbOoPw9haX+Y/Tn/sssi4r3eIYiR0GK3Uqp2dZXDqoGIBkGb+OEUmmXSt7x
gPjeBF5Sha6g8bSjXw/wYjAgHaWL0GIJhiZ3tYbykkSa/m6M3m3GyvCEPTAPwABnOyTiyTEGujfy
pnnOPXTl9ENiulvPum4jRW/y7keEZuCj6gF86K6VEXSRhjv+lx866JkNf5G96Yi8QlDt8+XX3C7j
KteTe60Gw1+Y2YIbQfnVIuJ3rFvCywjRqge2IwOvrACNyfmXLjQWTV2ZsHWlANDWlS7LrZd09cY2
hf5WtqkFE6btL7bJmjsyUA0pMCj8sDtDCIshqcBDrjdI/NHG0QOg5HWOvm5958r/geHRhC+PaYyw
k7I4uMRq8LQrivJC1tEDCq9px8lDYY1f6EWOeMDSMn8xrEq8WbXR74c+q16VbcvXsNWbX0xUzLUP
aGM/dGTR+fqL6WSsxCC/OAfbKi94He4kSiWK/hGY/jg6mxSvCUFqWdyW2CNHkhFggDlkf7HyPnhO
x70bpvYR7Ya5n7tKbozGnt5hSOJUwhZ3GpUGGSZ2wi/RJNYucjywxS6GH4T1xUihPDIrHWMLmHMc
7nyr1raOAS2VnWJyqiasDieCmcoHh0HUEz7hlmg4cuh+DYyYZGCmrXcuoNeaqyEy5WNRKQRoswLA
KJnbb11pVUjbkOz5zO0HnkTbgVbLAI/fOiSfWcKAM3Sr5igSUk1YUfLahyw8qN6Tp8JQXeDxQicy
XbRsY9GO3OHEifcFA62N8rN2V4XzSONkmitCydn0MIvfJTb//qhn7ltOJZhswnnyL3CSp61dmeXW
NHr3g7G0sRNDAvrN09J+lWcTT20z6YQ5FLHs8BW0B5m176gwL7Orfy976g2kF+OzGzT3DmUu12P1
1MLSQHoRd+2DiJop36kkmX9KtIM4I72XvCsoqklQWQMdNxjsN2rn6XW7mmKTQTnGxnWCVPUFNwdk
5nDiKK6boeFIGrp1hK3xvnLDnEE10mRtnRVe98R4Yn5yCH0HUql7fUDO+FlPY/ShJa/5lhWluEha
dhxVkXNBKiju2Zt0IKK6xit2vutrj+RUmTfTKNS3lf4ImW4WignoSkRz7NxpzmTtmySlLNKKS46K
Aw8ddMYWqhlUe7lzkr7mFBH0GGOrrXP7J+F2mYQUWTAR06asCBR7kHWF9hTqDetQlZ46MVxtvX/z
0o9yfiBjCBkXyo26EPJb2tE1TXOAkE2l37t2WL/z/eLyQkB4p2aXuXBcVG/6MKD7wnGE+1bjnt35
PNHvs92qZyf3zXfIN/arIx2wXnprHTBJyiM3QXx2MtCxXkyiSx9m+abQiBuRMjp0DQtr302ggI59
fJ/IynmY9HD6sJH/rDQQz4dmZhnKStPCVZfa2d7zGnvmPnXHN+QdToD8xjDBHOHniSw7x6ox1RsL
GQ9CYdjqpMgR4aiVuLEy14JDUsq9Vdo0sjGV7JRBDBsSY9xTQ8KJtYjHRUhk6uENQkN1YCMIfTDr
rU0qjPiZtVWyG0RnB4h56j1mW38PsAfqArBa4gAW0CN/g1jXEa6+gciLN1xAi1J2JEOvSPKHqOAQ
hVqmzdthuXA9J0Z0aaTPmTZVx9SChJTixsdFG8/bnvgV5NeO9eQj+NnMfUVQBWcGqL4pqzZ2Uroi
6DJNOQFBgTyBaaFzYM8wDQOn58niTymDzs/5iaHLsTNBiH+ZCpyMGqLmryoqzH2cckIQL9iu286Z
eFSSfF8I1ExdgTvM8FJJDF/JaYapQwEqtNcTyZ8nHOjhpWCrBVr1h81gRqb6IVrcxHF4gsmfrkQ6
mpu+jFFrefgvXRLh2XNPRyZ8rK8a/4G+PBA+wOlU5OSXOFqYX+IUCEOuWGEyJ5g3yWjHtEmwuFYN
drVT7Nkub0Fo4DgqjZ9zP0AwFm3xHYcKxYMiKNwzJ41UoxAGuBmihi4KCcQhK9N38ligzdSpCB8s
bfAvBYX2jV6lO2Er7g/65DBZQr9rvkjNGoKF1fCeswwKBNSOk9SWABy3kvsKid1eN5NsZw1NfS7M
ot23CSSDkVJylADmhOXPiF+lseMJM5872rUba/oYt77bbJKc2UeMzN3QI9B3Sy6LsI9ju8d7BXWm
8N/bug8QiHoPohh89vSufHH0zDrUaZaxRWPPxBjSPoRK3iLTwQ7+73th8a9aYRuYCqpgHWi9/5d0
QMKPRBhaprfT8LRtbEtC/I0GUoBqG4oe2Qz0v2Y2Rk+RUxQwJNkglOs4rrR7PBPTDxzbVYPCwo43
AOxnNGTLvJKZDs4dCCDkJRgxVt1V8XvCqTs9CDFvZEA4AeM+knxhEZ5Gh6j9EWr3/zE3x3AgBwgm
uv/0AS90nr9LrBb8z3/+xzH+5Lj4q/LqHz/5x0AehI5vM3Xn+vnNyfH40P8YyHuL9Iqp0G8Ozm9n
zn8Jr1BreQTcMSkyPWKY7X+M44XxN59K3UeqxSbKdpz/UY6ya/x1HI/ZzTOF5+n8OsvGRPTnwZSO
OyEKtWne5YY147jsdQx4DPAZQLX9YrXX7dB5bX8b8NvGoVKo2tQbgmhqImPdtqAvYDrAGla68k0S
Jjp7y8mZX7zF6W8snv8St+qqMEpuJjzZrMoWOkBMRNaJPyhfo1xQe+y5jrpMtqfGs7MgBqrftAH7
N3nA/00hWFrBGML0QieQC6gA/Yc9rebf/AJw+LAMxt9cA0gu1Cjlb95BH9nMiNGjcrD4ZEOxOAjl
w9Db9R5JtUuYyFi8geIY/aAPjf4nL84IUgay2cqJzP7JxdqvAqGFGPAVeSA7Ei9d6h5FvC4Vdm5u
bcsZIrIQarfcEtFrlXAsw+SadIauACrUVr6O3Gom7SINTRThqKSR3DKSdPcSRYW+t8h1KDDQWDBG
4EAghKY50j7KPvTZdxKidS7DUn7WeZ+cUclZ+qopSzc5jeRgzGsvw0xP7q/bOAQ+NSiaS/D3b5Eq
+/dMpAohd9+VvzD0m9+x5aJd0rqqglSXMIdQyAWQ5LMkWfVAaqeVXY3p3tCEummzNtxL+p0vM4/x
WxABH2UbNDbaG9SESVvD8wUcZ4Eeu6HYCqu1sCLYS3M7zFEQlkP2VJrZABUea1ITWOxlymCJ1ft2
KoYHAbvi7B11gRlue/SvVIiLphrBH2tbZBCwg6SLD4WyRvNPBnlAW6PCYyyatr5Vk1bd4gGxHs10
/RBLT7/WWG00oC4yV2sAMZhYbMC4etuNV3axCIenGuxpWbnpUWs6sSHRmzirseJ2TjyG+/NUTLsO
Csm2tI1pG0cpKXZTOF30qPDZCqfty1iVyatFud9ioGEh7SEIpw7v5kejHMcbq39SaTrEWymt+J3k
ht9kKQ4SSL3pBRExzBp+187NaOFDA9oPKjMPbGWhr6OWP0nNDTx3oMYXjTXrIgAPj3gFyr3IY39b
mE6xQ3SRvzS0YXDnzWfHtPKV7uAuamFX1cNpQB1srvw8mcAvK+a+A8TjJOaVql731omXtKc6bPR1
2CXTM1UKEpe+H49mRxxc7M5DUOsOfb0zMWsycov3n0s9ujHUnu9NMXhrUPnjHd91c0fIoVutY3IG
vj0Gk/eUg2Ite9t4nCM1v+BwZyXtLrxnJWvKDHOsiheKXfFqlbJ6SYG7fvdxI19c2PkUGP3eAuN5
J/WQG79NO+c2ibx+rwmJuS9w93yiT2AFVAvXfxRJDxo4zhI9kFgLqHQ5U9LVyGBzQ1jCzJjTEZ9q
Rt/Ofd5az0LU0Z01ZClS9CH/MUbSvWMh73zIGKJVnAOHYKzbDg+m54b7qSJPAcFk9tNtQ5/sNtwt
sLY1e7qTboGi0Ndl9c2eyHhZvghP5uzO39Rhqlp7Ss+e51p376d8vLl4FLHTxsjqA0yditcJlh2g
rGe8myYDHADqY0ELmWXhFXtwf5w4Ix7CMYl+5fTwJXujcXpN/YI1U8vRvDedRQ8vscV/p02JuAI1
Jvq7NhUkbPqFAUYA1SRgSzt6aPKo+GSkyNNPWgnIcNyXNx37iwCoTAnaGHClbHhcBr72Jein6sBv
oklhUEKoivBY6swO34GmmeotLRuaJCu0miO7PRCWTdZgiy4M3GaEz9n1ppji/uYZZoaoLeUhqRzc
e4HXifaBZSb4oRI/1mpgbfkoJZRpx4EirRPCeGJYED5EmWW9hxDij0Sqhh+aah8R8YxnbEqKmBlc
Xvd012m+LxXk6aGdBdMDM+oP6Ugi3srQJoG1ZjLPTup1l6xOY8KqHD8mxWP0rwiddcH5oEFOLjNr
vqedj9ReJB1TNT3JnmISFT+E1NRmGCL3BEdaB9ss1TGxfOecCbaMSdrn7Cd6bFhpOvp3eTGBJi+R
aYF90xoesoF5YKarRNt0FP0aE5ualDXl+DUakkk8Oww77tk8giftBuc4IbL6HAky+dQys9/VQNyY
1plm89PoOhf9YCKeBiNhJ2AVAHYpXNF2NtUXeV/q06/knGIuslFpphqpwoRxqGbvUBkS/9RlDJaM
4jtsy4aWgWoDwTFsyqE2tWkt7NY+dAjlzlIxGAcnxTsKTopAN2WX2458hkMcDyn+C0sDPaR7ebVN
xpT71qv8+urHHC+r2rBzYxWrQX1iqUGlB8YkfIi7qf82ByIz7owUxjLfOytlWZG7xSUESLMtetDv
DWLXpeBtm/uidHM/aEvC1wDWu1aQtlx1BTEzXF6Dk17RAuM8ifPyGDP/wOJkSvETZw8tGdBjBSfT
NJMTIj7lb4UY9GfHzZIX7uw0CZqkwhTl+uXwQRaQfcoyr9r5qBmf/ZiQBYOdU8HcDQJrkIp+YTCz
uj4kQ1s8wY4lZ6zuWnnCS6Fbp7iYzFeQng7wAbs5JC3YrhWRkOVxaFV96ugaH0bIe0fLj1OAbjq7
Vg8y7kzO120uWt4Qn0N3mQl2r7ZfE3cOL/lVV6Clsq4uDu3sZcDVveLBD2uLfZgpCLp1Wue1Ew1s
7E6hiF3h/bLDgwS3f0niOLlmYZ2+lr7hIMrjPduxOWeZUrd+dvan3nv3Md3Au3XedCurdpMDO4H0
d77OkcXKiXHbEwav9IDhOWNQbVYt4ge3dZ+RoPXFBuIQSxnwxO9FpKsXwdFJCJRoqhPeH38Td0xG
V5B7x72ALX8kgKc/TBPbDNERghiG2jbpTQhvmpSkZiZq+JjExJAOHIoTZPBR3j2SZZnI9Ka3b1ju
w4DrYzp9Qx9+hXbrb3osQw2F0UavloGy2X4WLJ33DILTVd+l9snovCdMAvCuoX4b7lC9NlbW7Aar
YenuDqwVZjnY+m7U2pKzKYuyx4SvyWs96sgmw2HeQ6EY8g0i9eRBzP4wHnvN9mVQ9lUXbYr/y96Z
LTeOpFn6iVAGOAAHcMtVJCWKpPa4gSlCIeyAA4796edDZE5bV9nUWLdZX43NTVpkhpSSKMKX85/z
HVs474Fup58K80wCojoxCBBCYmrYfoAy3s1ahcBBiI6u6cfw9Jpf80w+qXPJ+XUq/0hqAF+xG0AR
nKiy9vZhiklyjrvsQpMXT2pAW86mgqd4AYj4jM3OuyxGkefERLpeVzbqeucMmGiZu4FRNSvjt3IL
87nNUvsuzbGNpVj0dqClnDXSo/08OIeQl5xcAR9eaPdBFyYuYXNwtkPRoEUGlDJ6ZVwcCotJjTeN
0UX7rdoY0jp7RWKdgS6GTGDN4RrWVXKfzbm1y6j3itdcvbGHDKGgLIq5q7fpw0rscOKkZ2sc8Z/X
xZBtGb64BUTMqH2gcpCzUcN15tWF9k9PVlvFYBChwGCQ5oD4StRB+ht7dKJXcLygeCkDuSlvEOnG
7jgl7qy6zDGFGFDGVy7+xBcwf8F5gAR0gbVN3RAj1wmtdhrno9/09buWlnyhyWNCI/NgTTtlL181
dcpXFjt8ikVtxh88wOaODsySI7QBvodnpnzy5jF6UJkLo4nvU2yCWfmouEb8Hci+YOY3MHvYZJw3
D+DWGGyAk8Kt7HitNu9U0YqdrW2kXOR1u2TVnCxj0xEHBZT7h5U1/+FmtQtCy/lD02IWCVkLPc74
NAxHP5V/yFvtAuFSC46LgH33UXlyogysB9dFPem6ZjyBnf4PyWuCwfnoa5l/6Gzkhhb/Rf0qwf+s
upoOgY0bL2Sw4A8ljAgilQqQOWkJHZUFSYxu2oI4PHix8A9prPfCoCAWylsVoFmtSb7nGAMWDzMz
MShdb1rDsdu3C74smAZIX6mIkpfqD9+s+MM6c9LK+daNE1WAiRcaWmi2uAVNj8aITQ7nLX5s7SVL
mf8hqfnkCNn0Fr4ag8obzwy9pGhneI9i+kvIpRYUBcCJoLnmNBJMfmNZcm+S6R0Kehicyh6+20gQ
IOM0Nb8xGvcMyl8RSVl+03bd/OHDsSTBivtz5/+fFj/+n+OZ2AuD5P8mj7y07Wfzf/Ir/v2Zf8sj
zj9gUQo8ixJKCYFVJJe//YreP9D+hYV1RNg+Z2LxH8k0TImORYjNRzohe+bafNL/pprY/4BSbPKZ
qCfYKqX47/gV/5UGhEnRtRwQOdKEVIWT5Z/lkbZsaQLr3H6v0jZ4GjDVP5ZVCijNDpLmpxHMjBqx
kKi/BLV/S1OxpAOX5Z9dM4GDW8ZCd+UHJ5//L1+506y/o9v3e+l04S5pbFd9Fgzoyd/0Fvc+qMZk
2RI8Ce+5StW8HR2ycTQKcJIEyDqYcm/miguBbuycypcQ0wB2RYpjrCli+IRisTb/7FvZnz1sAA7V
rOvOYm9jOkXGS1X+9NMe6pXdskPvBReUj4LCp6XkJnhFOCrirSn6/jppWpY2XNmSUxJz6OKMGBKS
h6/RvZd0Ae1ci2yzXxTowRUVXRGGsVmu9Vz+TAmpEnruN3NF9EOHFRPvxrpHpOS0DyvhLZhlvbfZ
yiiBV1a5jtFbKI6KZPhCaJvqYDgH1WHyaZLAy/nbq2CkmcgyYU83TitwwA9DfKFYxNv1I1yEEl7q
mqbK1yRZui3UiLA+iKfep2AnCcSNcj9msSmDnrz4M7i3nUdmfxt/rIhR29SMRBzz10NTuzuiDTly
ikmdtqKLrBnFpzLQQKLAOZkuygLmdQ7oDVbXfDc0zLFqdBfi2rA3JWUqmnQaH4QwJqD/Pg5NR+qX
I8dhDpuGySj9VW3V0Y/bOAzD0LawX9OdRV7ZY3pq24vS1O5blzuQMDV9NIntHgiAyoUVWTMv7ToI
+TrZ20MsGPWM87pzS0EbStrtQF2DhS1ocgrcnIj2PCX7mXDbthd0HK20FYHqITv+payedmHHNDYM
0Y0zR6nygEUkuZHzZbUtHRJ/ESd2mgRHEP8LbdFG0PfjIto48KSCDSXGcc/F3NGfk8cgea0w1hvI
XLP3EXWO/+BNifWz7EXx1XoTlkk/UwzbRTzQMV9l9+ZoVDSsAeA9pyKoD+1Un0jfGcfCVopxfVG9
FYyXeK05FONxn9kzto07cBHWGH4ldaGVlOskktWlgK28EJmhCjCUwgQiGNifHb1wbkburvcAWy2c
P7hL9pkR+0+FazT1xigcc1PLchZb17Bak+iE9B/MxsbbqeupvwqQmjsnIvtwjCKFRlCbtfeBwAPo
jfbSmdJyu4rXtWeEt2nwzcOSS6HhhYHWPYW84pCRtVer2PSjOwf06HNFSDBkjOWDxnD9Dpg19Ypc
hC2pAMYVVf8aRDXdU6CYhqdMjmIBwjrNsPVBSNTHaYBVUtWqplalsF4zjuAdOA6LVnAalYIdEEDI
1/ZiFeU4NrnGjfPEsOOmOp8YfZMMEq4gsoC9NAP5Q7Pwc8ckm7KVGjaYMq0dlheiAKS1PFpZ6Dfm
+4PbQxHtY+hMX5TJ/9RFfI+hda9Mw9l1nCYoOhX5XR8H9qN0MOtQtXC/uM9WwB6z+4CqhxUI0GQl
THQ57E+0ZKn6XMpZX+rU/IozSyJ+YtYI2zy642isHkrPy3YCZ9rOm7ijUouQ4EYz2uWwT83CPIpt
O4zUDMum302FIc8ICfTKFlM43Iecl76LIoxIkw2CKyRFPjFvYB/n8FzSZcHY3LV+kqZJjrBPMF16
3uPoFWPJtc+iX8YCqCd/19Vk5cnKI5+z9gkp81waDOe4ObRag8223Bdgdt4Or1h3haFlYnVLoDu1
WJOOczf/Vna9dBlWjrOLGxVuAvKUDxgy165DeH8F+z3i1B4lh6qlEsMwrbBeu3YHghVG+c2jSsle
0k0N2JEpaw80z/a/WpqsznrodLaNK+hHHAwnNK8+Xk8caqFK26PHOwsDEatF9NMnkrwxSte/wzHC
D0ZSnIvEwKsxCsE5uoqhWpugOsaB/8PIGziim4gknF4PUUi1oCjW0PePLUPbByVkDNrY/WZ3Ss4l
YM193tRRihbNTPvAbXNcK26t0RbwvIkHQmO/3eD/b74SY6IYHQwyxWQSgPRKhClOm7gBJEwUu48e
xri/JVOUvUF+QGH1bP/3UvOzJ5Uz1ijoPubMuvf7O0VJsYOa0/tnGgGLVyxt07ofLTKkOVS7rsd+
g9U+/DmBjHeedF2wzLYzsKxN1drL1bCRTboBny8rijIiKoqhNT1ECVjctDN/qhipxF3Yebmw+hOB
9c3YlO/G2KliHY+azDLHUdvDGyFti8hfh87uKN/Hd18n7fOQCaLHoZU6Z67bw0iXJ+6+vB/qy+SX
19CGUot7s6E0qDAuOdnl82gM3Dx0uE58Z2dqCr2s0rE2qJvTNoq4ynkIoEzPT2nNzuTSPWdjnOJH
iB+C3vyqvfHXxPp+GLTHUcEU0yGZA1j9Yy3uDAPGdsIwaCNEfq+gfDMYb9y9T53YOowEHqgFG1TF
o3PC1vCKlTTa1u3AGyAcWJ4jnHxD62jIzcYc34pRTVuGMDtjCJnMSmuHLiTuYzCcm9zAH2EaXvI1
Roylw65HsNOgoAF604w0UmU46VoQ6eZSrzzuPfyGhi1nQbJHRC42/Ti/hDmUWLihaltIXti8LsOH
yu8BxWr1MrgxXMmqbO7awCW9OeMjTmXT4qnF18YK5J9oYI+29IugK3Qi27gEPu6AfAIATYOLpgt+
WxbCeRz5vZtDDjdTND3hbiMD555Ru7JncD6tEOtsHvjEIYnfjfojYaoYr4j7ujtyy/oiSYdsU6vV
dDqXIVWEnpnfPESTE1OQ7FuPGKQMtpwDZsHhLVWUhRJ2rzATu2bF3GTsSuZHZvhtxnN3R8ieeHub
C0XLjhmCcYFOgEfC4hZsBOycWUSvuowWQrpI7c/AYo7em2J8LII2w8GiyiDh9RbyGMFyA0TQp8Ux
Ah/wFAWWezL93npGnQl/5zpE+VWlX+yBlycZC5OF6ASN6hjxUptAXNJgG2HnO/KokN01o6mPaLr1
oYqYAmUcE/zKcR3Ka4qJ8Vos8uirw0hBRZYMvIpfQllcMt83ngXk07sEj/oJAPa8L82pf3fctjh1
NQoBhmMZn6eS+mWh0bhJWZuwFSBoz89ZOk2/u1QWPKYAnm4NfVq43StVr7NExhuOtmQiONqDCmOC
40+VeQ6xHpImtUzCNkvKfp68hbnUyOg9cWpnUxRmfiKiPD73Q+Hc9WXSX43AbjlNyvBi68p/yC3f
OrWl770bzOXXdVQvUK3woIHJARSLzo2fSpzbEU6L2nB7yfvMKTi5xyb9ythqcbDOCRlWquJHj0o+
OuU58AwhYV+PXCrpSo3jCe8f7PkVDbbFOQyooEKdqFeiLzkwFlN7k62B2U/xHZR+ab3YsofRhcfa
fg5DQr/b2RCpdWGLYH8DC9wDyFGW3BQaCHOea42yUQY7aZfzLqBL79xlTrr28uAzTZS1hX2bsc4w
FhN9Knd1reIvDi3EMaVaKjwAwxK2HWF2Fe7QHJgBa/wVgobfgOa32R1LEKp8Ed8wGdh6TMNII9PC
W9jRpUKyPw8a299nZYuxvk5jUudPhkRa2bSKFkNuIlzw1oCg0gHHTDOGQLd6k122aw1/JXGx7F0I
ubfCGaJndIzke4azuw8mSSKbOSyNrhCfrhj9rI+uCpznbhyAbE+NCN67OQpAJSZJ+RQVRvw1DjI9
GtKxP2tHLJphTY4S0oYcbyYH1N+NXc1HRqq2T8vGWN+mxmKtmKHtcWDTFqua29bRvh4zluxG292b
5Nf9yYzXeXGlKZtnv3Bkew5JddrbOR1EubUgB26jAgpTby/2bh8Bq9sERYRRmXKGKTkoizchEBAD
OyJKYoOtdJKAxJn1HOlkBQZYsR+eKosRCuSkGogeOkm8oe9ZPNSGgrbFPxiNVKStDvWC4cthwO1L
VOhXFYjuU3AlQklS9a1xnSuzqk005qC9FrhfO0UUsfI+XJyj5iez9+EH48v0QM988pouiEBLVQxa
ZTA5HzKZxmPfAhPsF6ygmG15jRwffKa1YAcd+IP1AiLkRB3fjwucsF4whd0CLOwXdGFbGfLixKrZ
FQb0ArT0xwXhdWwlCOZuwR+WjuE8BH+YiG7Qmta6Vsw5R79Gk/LyKYSEAkrRWaCKxCV+dFH8hag7
XjtlhiVwLyYOK1uAAtSyD747H5NUTCXLDnM0w79BxK/NwnIcUp6cfOE7pgvpEaae/VBSq3xMYKFd
M1StyKGaSzAsu0GHwJZY9DWnq0T9hqk0s4OSlCh1Jp/nPmiPc2TSQTq3w2tm2YzrjCw+69BNL9Xc
2NupqXW5LSzV3o+hQ6gFKNVBRkV87REANraigxs6+6AuMKbzn4ywnStM+nY3zQQKtF81jz0dkdSI
12+dOcIUHX0xcTwghLIFP7G0ZE9ih2l+/owpBl5ZI5NTCtc4A8E9fO/jSgCXRMUgex+8Y0YOf4RA
NffwSvWBbbW/TVE1/Ug4i53LhS8667B96BbmaMspD6TeQiOFK2McwQeph1Dzlu81672H6fsH83ys
DYA1PifpC3eVBljzLMxatH5xWUOu5enCEG5u4gWfCocv2PqD26/TBa5qh9luXnCrpd2Hr7kPgpVm
lfTVqHhf6QXQ2i6oVl9N2aaIbeviLSDX0OuHDZU6+TNxPPEQL8BXZxgZQSRmKZ59zpNnOA6wYacy
tL+oEuOGRbFSczIjHaRkJ6mWMHijWaTbe8j9bZt1b11NBdmmMhz11o4KQoQfjNYTAzH17DXUB+Fi
Q1vxsg6EBGm88l1jKv0cWhPTdxCxvpwYxMnLzOr3OjPkBBtW5sxvC1k4zS7N/PAzaknBrPCr2D97
WVLjI4p5nXle9TkOJA7gnXtvlUSkcYu2uo84qS3DwinlG0qLTVb6+S7pPecGjcDaWrJx73gl9WNj
6f5hzvr2s8OveLIo+F1p4YfQiZL8bursaTczlrzXPgsGnaLqvfHMZBdlhXFzMTAw4yBHZnnrliW+
WtOBUH5VZU3gI6Clxr0z5IxWSxvWtOqGyHqlnIZiPIUS/d2btCEFjTltp3QaJeXFA8nbirHpW8Yd
chOFCZQOD2l9xQ+PVNw7IRdqEWun2HEKaO4n2uc+RJBYzx7eOXeVWDPfA3Oc2wQxka7KKCpfnaL+
1llSAxr3pvJzhq7+jRE0PsSuwTJEx/kmLmrIIr1h7Gla/5lFCFvkzladN33mI+Silq15PbStvR7i
1FwOY68sMtVxaphCh4PYR1QBnaIUOnoQkaPvqCJiVFLdZ50KOaX7t5Z062Noh8W9yajcAANQoAKM
IfBVDJ8n0O/ywCyAt4OB6HecIe1Vmzy2l22q2GGHqDcBDke2Ks2TZsynsZv8hyQC74bo0eytIKRp
nLfPT8iLVJ1kZVXw+Xl9krEJIZYb1E7mdnuj8vwyQevZszcPt4XzWK6Y2DRrZlrDPjcCZ5UhSj26
wnxcNKEPU4b4Ags4GjYZnzJ95GS3AP5Zr2hR8ykJoSl2yfHETrTuUi6eK2+cHfQ3AlA2NUivGNJz
uQqYY145GuRMcOMsfBRpAu5/8PRdC0F9neZ2srE100I/nHgucziJdH8WIePmNivZ9Krm5DRoiYxF
RPhWR73Y6Ubpj3SyzQc6ZDLCpbHBAu707tXGqv1Q89XWVV2HlxjC+YOpDHwNYVB5JxDA3p1dZSmT
m0mfVGuqU+Ik/k1audqVhJqijcDf/z7pvn1EXNMt0Qr4LWBfi2xb9wZci9khdhA5069grikqFUxs
5kiYX4CdskMfzuGTZGUCldkJh+1oFgxH/GwXpXRIN645PwYa9S0WpBJWVlr4D2PWqutsjDiiOzIh
eyiq5Z2shvmTbIB3VK5KX6DKsgqOlaZVxSa3w7CPXZ+HWj9yJxCvMp4wmZlmz5nLc+5szWbWUrUe
McPjumfRrCKMF7/tNaAHXGoWsRl+m3SlbdMxH4FeCPpXJ984tLlUR6OCqj8Z9EmYCQcQI6poiYa4
zGKs77iu7zPCU4+9WbU7kGKoivPIRsq/YiBw/OI+H71hZzNVB8ISpyCwJj9st44d84xDMIrX0if2
2mV1g7EOG8UZI5R+pWLOevWHMtrkBHljapEabGO9hPLp5SW1d86QqGdKzwry9a4ep80MZLncGTla
3qmPY4EkqypsOQXiRwdwMzLeqMXRR9+MU7RnDtHZOo7T/kbVSZOcGJ8lT1icMOUR3ULsnV2cfRt8
KN136hXzHgST/JGJWd78EdbFDv6LQRVaKmW+c21oY/BfY/q58pyUNFEV375RCsUReQgYJi+UN/XW
4Uz42RsmVJEAJ5BzGHUTyuOM1P+cOHP5Xtu0MBhpWT+OnU2iCSq4vvZTxCRbTMK/KLy5N7tfunSy
9gOam9qEvs5WFqHiH0Zlx/RIgPFKIOcctS+K11RTpbWiLrbedTLGPlZaOUJKe+BVmLfaVONZJtrz
V24VVE9t248bUgDzM/Kle/QxU10A1iExpIOv7qNuNkiy17b/hWoA2zYqBXxQs2F0YIwjcXLDw2GC
hgwtqYHR8574kg0CCXV6aAvH2y5RA+V10AtKGTxnbVhiWAlXTiabbCNyb3ygm2Ya7zTbTLFKoGr/
JLwAWieexk5TPFAwIUd1dq+0EdggzYYpD4BETAbJBxuldtNXfpltbLvCRzJBU8mdoL3ak5jfEM6H
K9yFclrBNCLK5eh9q5X9YmPWebRVCzzHB5W1w1UzbYhPpo90c07cywdf/mhVFn8ko8xPlPX0l8YQ
WY0EacXOqfZHpi6WtbSXxL7lnqeEU9a69Yz+fZpbgmWSw/UudseUxGkyPo5BAyDHc/BtrTNeiGvF
sNpYR0pEX6EVe906cSzrKQoReldJYRZPaeLhXiXWsgd/NLtsp9pd413iIjUWtnvGk69vFHCZNzHY
JEoNF+YwYc76A5ZqcpZziqOir335YJINQcYpNc2xxMUsLEeBOIG0omeuqBPAf7pD/8QSW2D4n4zw
V5IV8yeGMLSyIebAtuoB1ICOBp6zkZPNNW5u+vyNd1sP6j5P2AlQPcdHShjDX4PRLgscD5Fr8UEe
tQAH22rnB1OU3jGOQ3OPG0CfWNvZgHRgfmmno0E+YP6/H5RhvEgjUVeodd4RVx5cp6EFuWTH3bfu
nGQvedvWq8EPag8nzjj+lim9Qk0Oe96B9bxuZVvelc7sHV3WbTBiVf7kjL17NASWxjmbui8SbRTi
zER/9ioHgkbmduSMFhX1p6VMHW+jzqtuXJFQv1WpX7Le9q8+p7Nfs/JAyImGfzSsQzrCVoBbDnMl
MGTGHcBLjGObmcO24zV8KgcNJNEoCx/v6hA8G7Nl05pYNCLZVjq+dIWnb1WVEV+cWVvII3aOcwrM
tr3g381PCgTTM/008F1n6V3kWKImmFMBcwFZbdmQe4hJnda70ONWsqLsLb/hMKbTLw5SoZ7CsJqv
IxWZ+5jDDQDZRF4ZbpWH3LTiG4FuBQp3pOCnB5+EL5B6sYb87xwTey4AcRz5tOiRp9v4OVp5Q6V1
9R6Hfba1sO59cmX2z503z5dpLL7wfm2KjOLiOq78tUiD6UG2EyUGgz2Qi/MoM4+DpynBrJ3JnIIt
yB5MbrTppit7AIaYCsgLNJRzrpAeD8+k2o2T81wDi9DDruf6yoQGOt/BSIoQs1ra/gCGJOEnmdTZ
OfbY3ICAsWHzKOOy9OkkW/XjqI4wvLFyTEGkP3DxNvdMV39hgsNKpUjbPsZgPR4GWTnXETnjR+nh
i19lVogvIeoY38RAz44DPVSsquGlSkpA2iaaAp1d4luRkzZW2qxxjVmVNkCVz7yIQNeHqVi7HBFO
neGVb3bElgXZiyNLvLSfWmIAdMy0pVp1lnpdHE+Hgtd3G9cYfMeYGJ3pmfbWn0y/2pu267CbRrT+
4U8sfkhgiQ/MDqFrysn/xpymT4OR5WjBlv9hejFOzanL6T7LzB4aeOhykPVS5lb23HGDIWI1nLTQ
SDlFbeMZT2PkXuV+KpfiOyrcWgO3EF1BDhpJQvYtmx/a0WWRC7watFyr4ye3ZOZjB9bwnHij84Wp
f/wJkrN9rseua1a4ypb1H1DFvQxSH0S5PY4/6oz55YpVIXpFIuVoMhMAWPCnLMY9NhbmMFlrs9Fk
bfwwGKb5kxIECIGDColcNxMb11QG8hBWnnnihzJm3uqA9WNaiA6T20bsXGVEKZuGkLJRkcDmCjly
eqv9TDC3wTcthGLPL2sa8EIKhMJ1FWLn37QePusuCVm920FkR3BJ+hiNurCp7pi8X1h86W6QJhM/
eOwVuxWZ89BYWcHknhX5ZfyzrZ3BR4vZxVYEftOeVHJn1/fBOPJlssyJ7nBfQioopGO95H3DHEWU
2QlmI87eNjSMAyJ74dHMqpf/MPDQrcIuES/MbO18NTAQ9ahBdN2vuk/Ks2KCemXz4uySs13CmmZr
P8CIsbINqfvxHb1ZbJssNZ6j5XZV+NBbaG4Ey+4wHyQgbC4tWLn54Ae9+MockCMtct/OCKFvrx2r
68MdYV188YjDp7kwreNY1uN5Mpl429Yikhc4eBnTCCLz0uLJ6sXWSIerY6CMxnrgdq3foe00GJnL
/OAbJU7YzIJuPtX9bwu8xEPHceIsltWZUimYEJ4JCbFXsDV6/jSnLjgBq9Pmu0kz4Jlq8uyBTkyx
rVoz9tc0lgD0xvP6HkPIuDZ9X95XWe0zRreMLU195BTJXv3KVe9tqW9pYOVW8WM412mzVgkc8i4f
5l86skk1EtkhBUn6hPM6MjEhdXf3/71B/yVsNaocVpp/jzM7fTYlcars8584Zn991t8cM/8frsvS
bMIp+8v+8x++IAdfkOOStwcmA6x3gUn/HZyy/H84AHZMdAW+AdYV/upvX5BlUUouOCfzNw5/kP5/
xxe08Hr+qbDL9X1PLHkpfLWE6Je//088Hwm6SnltwJ1Ru3dERx5lmH1DPN71dI1S+Hjtq+y7Jpf8
l9ns3xqD8Ef861dmQIUnCvCeJMYiFlPUf/7KKC42pnzQmDIMmt8h3qUVxwjOm4g94GwF2XjMtZB4
CGMlxnwbtQKLk4PMPyeWVt+QeiB6cTBCjykZv7zj8iGEKSj8W9UJjRAbKj9Zo009+RcnrzHQdYgw
O9sNxTpGCd/PsveORtTKHXoZaeISwPKKkDkcKtk8DhEjLGnbvyjdhAGb+buUkfe6NeIeXb3EYFPA
c4jMrTSEiaePcg9nbNKbPVqSrMTY22erMqxLHlkZc1EoOQwZ0uFs++lCneDrhdOo9xSNFNfJZVtW
6T25D/2QMahdwYywZpjJJnfhJEv45GFKsnVRMRG3peG8tJ4ecd50VoS+HDT3EDzctZXAgRGEv6nJ
ZfS+Fu1ySsnT6DUZrOAm3X5ExYzVJsqrPSeq7jqh5G9CxvHvLVlTSmcax0CUpb8A5D/1V4Oh2+9w
FMG4YvwNZwrpKPhq1cAKPQ3SWEUN/bR0DGj+KHiPbUJlc0arapJndExk+I+wWjd0uk9Lrt6PT5iP
hhP3w/Je4G5e24Yrz2MC6dpM5iTeimxyL5ACvDW1GOZ98oezQHL2MkYDq9uMO5l0Vu21RzpTSlJ4
Kiz3ldON933qtzv6m8s15QTBLk3a+VSOvXqpmXB16BqaYiPPdqtXgaliAwLTN1A6Ob3vO78Pqksk
lmNb7GQFY9ipa7k8lHWxdrQKoKNVHfByzqJklmJzfi1yQaU9ca+IGkgxWS23vNyfHvk4rGZiKK3f
ruG5Jsfyvtz2bhsAdR6wPZlUI7oItXAyXExqh073jlz52PH6PVNP1DxtCnvvAJxTlNcq99WdemAK
czrB76D0JaQgp/WZHTWa+uXKU9MhLLSnae9w1QOUiPYHmX3eSFltvkcmsOaw9dQvXpnkprMyePQy
l1BuPeVTuU2cLn53Sg4CCFdJBK2WNhDOC9wd0Qf4KrOIASGFWUA6nID8j0EhTnBRI98XkkQiJ9+n
3LCQraetSEaxS3U+PYlqtm8l0TEYdJZoIeDgU6bZFE/6r7rw6BZOo0Fd+9AKfiD/x2/kG3J/6/hN
RTs6FTNgUSP52i+3FO7h1rhFZxg/C+DQL0MUYH0SZSM/6yTl/qE8TL2W1XDTl3namPSm1dZvQyfW
U9yq4rV30/AqR9t7L/F39KuYkAfugME2n6MQKR8rITCDbVe6xVMla2erYRNCI6kjjkshKDUscDZE
+x3VJC3mjyY3rI0cPQb7MQIQtEXh7wFqd1w1ItLMfeub8L1nTI9xFjc3slo1iYSIeezMHR51egpZ
RTKPMmGwFoPxOKlJQ7fN/OyVuyw8G9Sh1FxLXH6/TLPBKSC5C9wR3yCPZBmpN7ESCu/QgUjmuNYV
9G6o1E8vRpHHF9F6eAUaorcZ9h9ruCak7F75lborwCyFXElfyW3oyOYpItOwcZQzIBq6xRVIC05E
RSBkpeRYv9ua3YTFDF4wMpD8wWLOb9RXJUq39qzSXSOdGcEafDROq4jklQLKUIxUg5sDZ/cWb87B
UO2xiyThWb7DgCxJX7Is9CExOHTauT8PFJ++5iagpPXs5PC7wj4Q6s6EDPqRtLrnXN25rtqallE6
HMFMiusY+10M11cv/jS6xVoDNQdrNJTO+1DM6quO5iZnmEKabwEBLrILAPR5rfIYWSLymyk6WKHB
GdSzaQvAnW7GF6BTQ7x1iBofq15G8V6jQ4O0NTpud1Nn8XQ1VZHA6ahT45MmZYa5U0T1EoWzZYgt
SismGUyOcKXR10wjw0z+MbSX5hreOE2/qalXXvx6RpHBwDKhl4XVxPF8cjUfYrn44MbG7+4brDJ8
ij8fg7RXa8WYg+6upvnhMcihkqjxXru0KY49PbynOTVZiE1883eLptogqXcTTkKLRS/yk+HstJnP
dC5jpZ6Z2HDH4raNHdZ1PCYgUj6NGZ62BA8yVRLKzJhDdl7zPXV9fG2krbDnliloFTMYzj6lpjt+
UA7SUVW8laQ1jlHmV8k6XRjCkcwjSA3lfCoE5goav/XJ49HbUvdlfM5teoY5FjKvMJfIsyXFzyh0
87MTdhr1YQixFmY2wCXmkji37kLy2qSPO6ZK+DI84r2yzab7Sk7goVH04zfTxmDAFQEL7dofR2gr
yuJnw8E5vS/1cM8sv+rCmJ7aKHOcPir253tJhxyJPtDyH0UHsWdlaYREKARUNUNf9shjis5iOKan
xU8pDbP5MXRue3HQys7hGIqL6Wn3N4kLqCVhMr+4PEi/AggVDmQTmRB5y/fCSYAx+1VLrVMDkPRr
TvpIrZFKKRkIAgPsB780ccWtQVkRNTuHzhRZfl/3vffhdnH8PWfQcWAh1JT9WDmztVXHNa0BMD8y
ez7Mo9PXa/rN/ffJUvKT3SW5SsuK6e4NVWGNK/iBWHOrVuHuXdWQcB5RTaul5Gd2xkPulS4ZcLtx
Nhpz+GakA4qHAKcn0BiS2iIIz1VfvfUFSlcJ2nwDoKViKEs92I6DAeopJgavP02xI5+gTMcDgjyd
WOsiJB+HUm8oWNL5nuHI1Gw7ZTA5LoT/qxatfSpj3OLYRjCkkbNGpK8NQ9LqbH3UMqxfgIM4P7n9
BvkdV6sq2gZUIDF+wHBCJQpZmm9fGin5sM6D3w2gw7+ZtoyIYeNDIN6XRaHexCOgd4JPHfLKMNhL
GV5fUDpiYgzFctphyD11veO8DW3NO4r+rpKDEAPytYMX767JTcQEesbYLtngre8mQ5tinf5f7J3J
buRKmqVfpR+geGEkzTgAjV747C4pXLNC2hAaOc80Tk/fHz2jUXmB6uyqRe9qkYkbiJDCw0W34fzn
fCfDY9MU/UyIUo5nJ+bCukHh6rcRjj6EgsiFWJ0yYDgRnDQ+grjR3ipWEmNo2nhiXam0e7Nxmix9
lLHxFjKCc9Z2OyXMSG1WAR9D2LAyZ8N8KOAryUPYYxJho5qHpwFTPJsxfMn2SM7WJl1PyS439SRZ
WpRtYd8LZrLeLiPdjzA7ZzWaJSnAIyYE9ysPaKQeYeYskPVNU1f+2u5MZ6d6Gb0Mo4XGToUJskAA
izfNW6KuYmqwdo/gEqAWMeztTONzMsPqVag18AJgQpJxVoKwxvzTyzFwG9OqDfCe6JlGuxFB46wT
ht2I8dEmt3uxIoQMPW0sDqGP3rzCBiLvEnRU/KEFAL+2ybYufdVsuT2gyUBBAHG1N+88kvz+bJkv
PIn2z0A/+rbpY1z+aHX+raub5jqJxoFKvCRz72f8J1C5Oj96MCYzvyFlyfvHh+J5JIVGxtXGnLj3
2mR6CaTXPgIEjwTdlArViw4u6nhMqlp+fE6DnzLqC6hmXhthHrTxo6+pdPN+bK/tG1BCUfQoq6lk
i4UlcTO0NnZQa0HCwElF5KDFC0aqqafhJzZc+iTmOn8YZhYVzGlBxcAqBwC3orwQRSboutHCq26P
JNXTcTrRd0r+p8aiwT2AnRaaFAKGkpMdsY0VdfYr5zTP8BxXuzgqIs3b0GRQVKX0eJZ0KG5ntCtU
K3eGmV+DRh7gca5LP7GJodV6ELRiOcYpzYKe/X6KKThwI0YfJalCOFkBleZYBBelDoA+RvnSrDNy
YDNzzFUMFwDPrZx4a11ZPpldnu8qRBoHPbkSV+OM1ZUg8RIuw46RvRDmpOQuJ4D8nbrARVe1G3Aq
wnHMEdFkotnBKLbKZ6Ht7HGAp/hl5WF5ICQ3Vkcd8xkljcE1j+kvfem4/MWOa6w6D1MKZMk2iozi
i1CYVz5Kd7HymekzfqR60sYfg6l7xbwL2IAsy/qu8YYElE/OY0i/5MwBWxtcc1rZiFtaXGvzinrH
Dst1I8WjWzTYqYzsm/D86KKneQwRGpMaj1Wf07JzUE5onhzINIDxe46QUTf4AGtyT5xIhPPABXzy
j12imtvWDqkVl6nEdCAV17x+rABHWFIcBy9E4jbK5MtxWyRRmyKmK27J6s5JiivTA7k71OUxt6z5
1xilT0uL3Kbj8rUtEa0L+oPIqBvdxjJDazVYzrnlA3CODRrMoVRXWOOk4N7A8aMp+xYusdulWw2S
FmNDnGwinekVHFexS+0m3he1WdwNssuBLjblpjM5NS66dBPw10wyuy4LM95id4a0NI0cLsbEOdNM
TkVPmR1oKTXXCefLsE2HW+otxLPAj0rMkMT8Jm/aF5Ro7Mqx5dz3DoRG4uBQ4Irx7EbGOJDw1s6h
lKN/DNyADOjA8AmqmeELioXr+Ao0FlHYJvYgLzdZQXNb6Z/mvhkkAqmP/Z3F+9tr3X3tifanmqL0
NuzxcnY9GKUS3+nJjSz7twVN8ctjA127vEG6yUr+iNQ43KuYHr4t3zE1bmfHdt31aFcjJ96orR7z
phMHqw68ajXQhvq4MEZovcH+0jPoPsDo7J8qt07fAi1m3I5ighSu3aJ9o68pX3KEMeaAIgAhuG+S
dPBYSbFbd7EMCW/rKvsipIF7xIw4WeL2ZQNLRpPhl4lXaNhlPafJNPH8O9+UHu1UXq13Wg0MHyHA
032nKWSntJlZt9yky55ZefQDruzKY6HyGHGkG85I7QlgJctOx0t77RxwGZsRSVlsmJXyUOC7nRX8
WK4JuzKxC3hbZSvTNQNSJtYg4Zk6uoP5XakYc7Vk1DptPFyBR7/3R/+Q1wxH1iD7OEQPduZ8e6Gd
bWKUnKt2aIdfE94Ndy1ExMFUmwkkqVx25UqGdXyHLFAeOm3b97ITJJtDT7AkBp4z4LmZw2ldVW3Z
Mnt0JwV0BVo89gwCOOTtLXGtm6o6ZB3D+1XnRWQ3S4P6L0jSXrf/b330P6ePykW1/Bf66HdDp9/f
xdHLl/wRR92/GLVQv2TCmKEv759Ck8Qp0SO5UJrKsuU/U6VM6y9XcHvxJZkI1/EVdU1/xFHvLwtB
FXHUtPhervVfLHlwqK74mzwKucpRphLEOhEabSBVfxMpfQ1HI01Nis3xgjhByZlMl9CX1xjN9HWR
oF+B9LOuHHsuD8T1uiO9n2m29nK/AlVndC9y4CSJsSFKfhOuGxQPelEes8Aki+F7qcc4GEFrF6re
O4uIWp1j7zhDfN2ouvyUs9JXbYG+d9LCQV7QZax7ECYBwwMJCTLddqyE8ALjiga3hBscwzr86TD4
VQ4hz3OYktlJg/UYFHu9mhgs4uFCXXsiPpSkWyq3YafMIria27rRwPiF81LPg0WE2vIe28gYzqDt
YZj3i8RHc1V46k3PIT+VRq238ujpPGGwnn+1xYBxMDMEJoueaVx/sjhBiu3QBI1xcqbIehAFl6hd
mvpxRv0DWXoMXCYSLXYg+qRkGo3BOXLx02KKnxlMUl8Be7WFNz2cSay7LYMa2VFpCLwlo1sqlS4h
B3OErsQxQqzjJK9+alJS1xAwYrC28dRc0w4lFJUT0OLXjr3csCW9Uxy9AJxDrLXiaMdpK+ugL3bs
SIMPYB9QYJV+pkAhq+Nk6qzcTC1JnrUEzvpbcOY8p0YATalw5SNXif4wBcGEK3ryb61haWWO/aQZ
t20ryifLtiF3wXMag70TNumpakYRcgNrxmdRpe4dKp3zybJmx1sN6Y6eED3y1nihN3MdT5xsq1Vr
vdQ61i8cDCSRikzSiuzBPNOk9d36CnhQ8SDxBpJa9GosFBUn9OEoxy6aqBSn0Se6LJzqsojqZT2l
W7g8qGWNbS/Lbb+svOwsLMJ1tGjHqW8Nv2DTR5yiWK9DbTrf8rKIB7PihIRGw+JOusI/yt5Ipk19
Wf71shPIZU+oL9tD7ggbb9Hs5yOW+WULIcbAdjJdtpbpss3oy5aDOdp9rS8bERe5Fl/QPKZoU8tW
VV+2LVE1+se5bGZ8iwJ78GWToyuYMgVr2fuCyzYo7CK4y5e90bpsk0hufAaHy/bJjIOtNLTYVZdG
uy992WoRsQAxBUo3GxRENJHVICMvXfGJzh98P2Yux+0DLnGf5dbFuQfwqQLckLl63Ba6GVwya45f
XQkL2UC7MKOIYyQH0YrkubAGsZfFNG9d3FPXod9mXJnZ+OvRIgEXp4M73Ex+0Zl3ZhOXz80AhLgH
a0DceNBrMhtVcpJ+jsuf1rYua6d+nwRoFse84UnBOKFuhPawvHReIQb+AooTyIbiSPmwKUW/tnqM
oGsmDPSIGVaQTs9KeiRX6wnef7iy8bSmu16LjLhuQ4/fUqWbxh+BUUf3gy6cjzQbICVxMK+jI1am
Yj7HFHTR3sZHRu98VcFW59Q6cu2D/W97Rwfm9XyGajRBATOM5LmbOhfN2e4UJ5SRuwLw0cjSLlzV
iWV+FbQRajxNK+Chjbp+L8fqqiC/ub0Me9EsVojiNhdnDedVKf61q39Tlc9It9KUHJDSum2tvtub
VZX+9/DzP9Xl5ErTFhbVCZbt8B+8vf9yFHr9/vWe/q3P6T/8Bn9oCbQxWew+jun4F2wkO+sfWoL1
l2Ig6tDUJPkPC57An6GoDUfBpR/nT+uT5/Jbf/Z924JAicEFc6zts4jL/1KNr6cWfum/j0VJBEmX
gSP/+/t+L7OuZLfvokM2uPmOJY9ESlIxcAByndekEH2UTdcovL22m5ZOPmizpUUqf9U7aJsIvlAH
Cm9i83XHrHmmZYfwqu9NtH7nC0SfHFK1a9KcLHI81D6I26S9c1MhCUxhrCUr4M4lMlcVhoC4KmjW
2xbYcLlqk9oKP4iDGtWxL0t5gw3KPmWjObz3wVQQ4kxVu21kUu3LvKArZ1axH66zvnUEN2fHeWum
FDXaLv2ReiZB+GxlZVlfE/YyYC/XaHjJBhhDUp8Sz4nvxspV4TqZm/pRoew+4HIZoafjrViPU+O8
WlNK98hoAtMdeyvt18j3WbaDiRQ5SMuReK2TKSX0axsUt/pp596PRNBQLRK7/0yUMaJt5/JEi094
rzACbmsvth4slegXCgHVLYGm/B4Ps7OneMU/wHya970YyWEYjhtc9wy1N+gt9dYOAVlZzmB4rGFN
rlnddfTpA6jEHZS1kb/NMHgAEE+H+aoyHGQjOjAfBDOC73jI0VSCsMKBaKXy7C91PNuoTYJmTa4w
fIKM39O5rPPuNqp8wW0lGYcVwEXGCJqo4D7NYroEk7AfnqCWGs/E3iKgm4MrnjxtRiyITj2l2xjH
7y0BQOsjMYd638wezcJWl1IfRVzjFt8N1WFlVeTuNq/gwJAt7ohWRA0Kp90UBxeHb3skIYB1NzWL
7g2/sNFQ6KHb7zAPxkfVlwMZfnDFiJyMNtduoL2bsmocVJeyyDIUAmnt05p69LPydVZvuwlY9Bqa
E+G8ycjK+AaS98jiP9Wl3MJHMOwd8ET3uwDUJzd49FWwrpICSAcFZplJNRMtCYA3m+qNwU30W1gV
qL9F1jvnCugHAI18wuxOYchwUAWRtzVvLOD8WOZcQ9nxeZ02fxGtyGqK7hVSd8O7T4Qxb+3gJ04q
dzo1mRV8p4HTHbyk1uZnlfXoRFDPzH5v58HMIzWqrtyBGYvKW7AI5rX2o2VMCiTtCOGt/cRTPG6N
piKEKpCvP2mFaY1rIvplin9L+2+ynOfkFjIPJ1s5BuqY4IN7qrtQfk1qjl/HMA0wpPuQ8DdgurO1
SQPILhFGKjEcFcOxijD1cRp1GN7HBrjbxZWfIbaVKVzCnkY1CtjEBBkBt9C33zeORQDaN7eAThjS
92Pn3gkdtBz/+7ZfZRwCHwwc5h/IPu1LkkTilxznead025UMtkbHW1WNT6QT0tLL0CjkKzXQdTKb
9Q4PvnC2o5dUWGj7oN/mFlCClVFGcmtVBYlogwjjciqFMTaBBgfknwJjhswO3j8JZHkkJDVaVEKS
7FQ8lbjNxUAcJlIMEZmQOFuoqT1KbDYukQDt+mvu1aSf02y6Z/OPqHUOyiqA6D2N+zo0FDtzJkh5
pkNBbFybr42fzl+d0YYOiDUBoDTvDBJZUXjjgymli7mU7v2QV/FDTyMYWm3vmEcxOPNBEqe+j72h
P7eh5XTLsJ3iq1JTHlVG7rYnHLijiix47DRLDn3O4UwyaSA2pvwKqaoTXC5mBJO3Ih7KM7c4tW1r
iHQJlrejDpr5S082dtAJldXcp2lpuygKCxwGQTOyuUGgfVdgal6ZXlgD3Q4mhglFBHbFGt498dPh
UiKm0IRwQbC8h4o3nQw1DrRleC3clNJLyk0QG7RbitYeaGjh2PmRKQZWyE48hLXQPvPloU7ezFJW
v1U9DP6qrhvmsZaW0Imlw2h+TTKEzEnnNnO8xyFYPbeJmaT3dLeBc+8YBtx6oZAYKI1CWFdRwjxt
0/P2L2fRbimBr7gTHqwMT96xEVNrn6u6am4AaTK1GlBO8eRh7PjV1G72MUZh9BMZqIBVK+LH0KJx
YOWTwmPkwXhqn9RBQntJWFK9x0SqwnjvxgfAsJpa9LIeT8yrsP3bU5CdNDSBea04UFNsWHblL5FY
fbsxw5YUoxeMt0NFBxYZACPd93lElokGZYzRmljOmJtq3NW2nVwz06FrwAJ0cOAyEO378dzokcLy
qGyXzCEY3+spqZju5zgQV6KWgqAzQesPZLliKzL7ahhjCOm09PJVJa/wrird9oUoyHDCQy9sGNEd
18YWTyp2i0HEm5C+6BMfGwWwJV0ggNxKEfs8fPrZ7IAnyl5Rjf2rbhm2J2lNVCkq/OwU2QNmYDNp
6nQTk55EhZ3ngnVIGfvGvIdYcWeZJZk80c9fGbsBGzWAhazIiPnP5Ui1euCtZdF29wWwgR/J5rO3
w84+2b7z7jaDs5lJdB3mwQ4PFtCOJ3tU9oFCK5ePbgbFp/NM+U3LbdCvy6z3b7Vp2jtO95p2Zter
TmbQ5VvQm/oQ+OZcr2yM9M1miJPxGtZNRy9wifDaB+lNpljIt8lQ1BVpTMKVWAFMA7ajYwYkVphT
7xmrcLuf4zo9zjFRNyuR2Yk6IPvaYxx+NfuxvNJkzkg0Vrr97fOcbVoA8p/OFBBJdgpZn2WeefdM
56FMd11hAiGmYxD/jvWFs9XaBGAU7sgZcbXI5lgy5A7lQaiuehIFuaRB8+Mv/Tr6DYbW5ToNwQa5
0MHjBWLC/VWkPrfeuMOm04CoX0NWqN46nBPruauxBFtt+zmGZnXrdM54UzQJ2AKq08JfrWrdrQ2h
e494EcPvhJHXceay3Ld8tum1LnU2PjkyZhyvQJ58B1EdnfPAsK8TXVGWtaRt6Xbhos4GWmr92svJ
3bpkHx4MuQzIahGEry6DHuqB4n58Mxi1vKVaMv1NumQk+Jw4+4i40tkXjn3yxwGjHnOzWzdspw+u
X3TuzNhKOJ7FDQU5feN1j0Du8DYl7aDgEYYwHlaOmqY7L2y8HRLq8DxLx9lhb8vffcvhqAFHHKhA
1wZDtwoa8utrq7bDPT+q4doMQ0yC1DM3d2C9nHoxl3BF7uaMlcqigibbVpCRaTJKDF3udQcN+1ih
mIeYe0io7DIzMn+1VSVfLHfoua23Ip3IfuYAMbBBhHgSrMa7ikN3ZuQmx7ZjfuNj8WUCArtEI9qT
rJ+G5nWAoZJsGsKPjKfnLLiJHcsmKNk50ZEnxJ/XpRV37yGeKiYiyjPv097l/acogfkL6XV9sMY8
e5Yyqu+rGh4U4bNFJZnAPnF5hpZrCfcqbpV3XqLH37FZe0hTQFNxKisA6rRM4MglPtUoWu00RrZ4
4kiwGpo2KrawVioYJwZXmFtP5fiTh17Jg5tZJR4YCjY8treC+RS88a6/sWKAZhSvEHhbE+Jy947Z
efcZuIx6M/uDN69KP5M/CdYbtSl8w3zylTG9EwsSXx6SnIYtPLOTA1LvNIdVwOzMyeuxoro1qbZA
QKJ1JLPwxyIld9/NQM4mH/TAjjMmopP0YuaFZXOnvaKFWdiwRHEXd+AOxTw4cjStLYgh1D+BLxK3
eBu8+0NtMXbmiLHl1IvLp8nhcW3HyqG5Iwgz4yfT+cwZTTdHHxAksKYeSDluPXqd8L+SeGdf3vBk
M54HklS+2+DorNukB9ce9M644lcj7oSMaF5RlQPwqwqBccVThec6r6NbOLnyaKdeeE5FnjOIcrAo
cQOy6nnV2APTa5dvGT4lseQ1mY0NPWBwvXZT+0H2U9Ixdw9iDvdDxuhyA42WoWxC5haJhx9yMxqH
zm4WGdiukL8EJ8DVhOxIRqzrtnoWPItVnBJ6EmH1HmVGc5WOM8aD0ZxnZA7T/5kkTd37wMjd8cZM
YuOxNzD8rbwIinEIWYIrGXdOaw8cIDhRrd18Ehvj0DxLM6T2Zum1sq3Yv/KWsquqW5w6ePTtvTBa
Tee7m+yQUsZt2EBNcy7lWcXSoyWTKFkZgm4tn4nXSi99W7xoeQKeJX5zDqi3PhmvXXqp6FJdxqx9
IBW68uGK4OsBMzUmqb7HZUmuLr9UfwWXFjCyn3fQ+7OtWfmMQpXnw17JaQ7jBBds4Yx8cE719zg7
KQ/T8I+k74dvVpN3H9OliMyIzWATLu1kYVu6d7jnWgyvMk9Ow9JjNhs5vYIh3WYjGZYp6sxXU2TR
nYppQOut0aW0wVE0o9b9cJBVFl5BQk153+lP86IMJNDoxmpfpgIBtZkxEFFF5iwndNx8EWZOGBlS
4vLrwoTT7NLWhuTmH2KOpVTRL2VuQ5HR69bbXI6bPufseil+C+05O5aXOjixNMORq8RvsVTGOUt5
nJwvNXKtcVu2VMuR0sHpES6Fczj4MP2x8lrwERh3uks1HR+94DWCpcLSFmjo634Ys7ropdkuK0T+
C9EyOtlB5Nz20lokWs+b4pXtCMr4DFsfoqUuj47EESGtSJJzk0FS2iiRG5toKdlDA56A9S/Ve5OV
xU9MePtbYu/qk8+ueWtGS1nfUtvX+OTSoLpMzPWNQZovVldyqjfT5KhqJ7lxhcDoSjhHrvOO9SrW
+tISSGFgVuhoo5cSwcCrwa4uxYJW5ZD8zOR4ZSy1g6nLNwF+S16Zd7x0tgrI40vDVkdydqizHZEo
vqfosgfCvd5jF2kDcLSuLCjs0QC8JU2qdQRp5abEW70EcZkooIFHxaOZm8nOkT1ECmn9uFwG2ZUx
JrTMMo3uepKj+7xsn9s+xQ13n2EAIYLM8GUTznXpYRsqO7Ik47T+Ny7nGa5iOzvYk+JEkzUjcVOH
5DaQnUidZ7YUTXNiggfk/8sccf9dLs0t7f9c4K6fZTU1Mbbn//X3X7b/+HX4XS6FL3/7BcA2KGl3
+ruZ7r8Jh/Kl/3DuL3/yP/ubfypk/l+F8L7j/UvZ8Ob9K5re/8d/VAf/jy/9IxhafyHTSUaEDOOY
B3m07/4RDIlRIFQuWYkLXPXfBUPL+esyU0RJlIKmMZ8X8kcwtEy0RIf6GcdxbeXZNBj9n/fg9h9C
IG/f/zXNYAJm/ptiSAxhkSxZm8lSuPCOlqabf44zxCZdYjOHy91SQC03osE+arZNdEb8Fs9wdcwX
rw49irvY/K5jnIPmCS2wO3ocrh8KacXnpqY9j3bVSX6pOPUfZ6CtNG+V3HGvsRTo6DkMy2BaGXBD
nql/wQNdWdZmNGyBZTy7h8kzPrmqVLCGdX+uCvGMj2s0sL4QdlNV/hjOBbw45dpnWA3JweLcgZUb
wEQT5vo2T4HmIEAqmoXbrMsrMpEE1Tpr6mB+Ty0Tkg750xMmqHoMbRNk04BmlCR2spJpX31fjE4+
3/d+y+rnRHP+UAkPM0ESN/1DbpY5zgw54Oj2sdgx4ZJW1B+tEBFyBX6g+jIMT0/EssCMruycacM1
93ffP/WB5brEDaTV3E1TWn1JQp/xnkRY2j8DtPO/uEaNH7NJDezBavya0miXqRPIJcPZxb6PFdhw
KBE7E64thtMMyuqnC1wunSNDszeQiOZj6VigKZvAu7MkZoIhSSDJ27ZxqoyoEvsy85wPPoeyP9rc
mVmCA0iAqyxyxLyKRlJ7Tt+UOzMJ6YpgDIWAwXDiUQIneeXKCjKsNprPUbTuL9COHPVbrybJB4Mb
OiLMiisXNXAPMXvwViC78z3viiRuojLab9u65+4fV/NB9Skda2YXXtuUE6VvYByc+4SDILMfbjx0
wjC1YuckEQcbKltVwYRZRHDWX1eaMxGVyCzSNgMukIyWtU+KgQxMlYTXskg/dc7TQlQupUwZaux6
jsPkwWshSbVkQlYi49+NFxcGBplgQPFyLN/FAnJvYeP/hFnuvcgGLy7qWJvab1GFqRZfPwcvPS6g
EoEJvjcOyajCDSUf8V4kME43Xe7HV06X31d2EhM0aaJrpSZ157rKf22aLL4JMfo52wwcyL7uXA+L
iEV8IhVG9ps5qtYrw1K0MTtIseHalVYerzRk8JTzbjYiwkVZUp3awjb2rjfjxZ+ysL1GBY6JXRb3
FG6KbVyast7LpLNWOGceKfHoXxvp0thWYYVac+pWEYljSqN2Xhl4yA0BeXOChDoCWVRG8ToeI8An
2FoT8jvMX4ejcFEUV4OebY9htogBzloeZw6KNqPf7QCCC8tpiHSJwNSP1/UE/G4TpQM9etQvQEkA
OGDVa4bw5hlIouniykd6p6eFulwmxEBY90Gu5QvEptr4pWQbNWAm4kjvOKOTbJZ9a03r1BlstSPo
OolNMvKDBkxa0ATEYTIsxl+ydkN9Q28ytcEmR2/Czz5/6j7yBvouJjcwh5eOp8tbCVSecReEhsc1
a8BitC4mJMBVNQ/YdCKkCpFk6kjULawf0rYESkDFgJ98D/1UXfdUxvLBZlhY0H9uZs/c17S1pkYn
/c6Gzm9wWQRNBXKnNjhVKzejFVzMmKlaz2DgX2gz6GEZZD+cUmrSqPYQboOkStsjTyYeyyrGz2/6
jSRPSc60KEicOsYIKVj6rh+ftFTNh+1nDfjPiBwDxi5kOuJTMYvEaD0VDvnWGt6NwGBpyh33CSx9
oqrD9XLRZu6Im3c9m75CeFA5QVlKGAnNskDSlaATXZdr/on5xrxEbNPIJpaRjSksl6RohldCnt5N
T/jmpQQJhhpB2Bo/PKldfIUkrLArjVvWodDYjK0/HLj1DTe9X/u39AVgOvGWHHBiOOOdAqqzllFh
3ed9QVXCQNCL8NYSIQ6wbXNaYjJ0NOspvurI464X9u+jWVj2S07WYsfdB/f9EkjW8YDbEjQDYeVx
yS2PYZ+RyQI4zaXVAJSFDUHvxaT966rsjDXNnLR/pSVjlkgW1dlAvHjHhD++ETGTz8RX06Oj+2Qn
mj64Z7eMvX1tuu0jeLfxA86N/CImNjwOTU44XhUPPssSJb+160NH7cuHBEc1fDFSaqe6xj66xwkU
HmC32AD/erXv6WuM10p2PdBeRtXRzsv6uSE977yGNIDWG73EytMlYO4TxloVMcRrEfhiUZDyN9fN
iYGVeH4GEiba3gJS9jZEAcoDo6CSix4hPXVJuNdlx5lyMvkHI1pgcKMw41oHiR2trQJV6HrKbaD+
LdnbpzobMpdgVr7k3vpKHisJpCpNI+L45SWaz8wtflPI9TDRJvsmqVP/XFzi/CQzP9mam+t5yfpT
8YG9clgIANWYhlc5ZTJEGgFH3qsFFpDH1jJ0kb1/5rUwCBqoKSabjN1UDxS3Wi5DesYpcAgCiASt
m3zDLMueKF0EqhrkcfeLn17xKhBRNgxOqHBvOu5IFvM/MG1fZM3m2wgv9y9OLiP6bpETL8DpVPtG
HB2LkmkRbUlQZCmj4fPmLpjdBdEgqsVmkWt/ujPhHVQPdLsbJws+wxtMdh6wUGqw4cADc29DPWc/
EOFouw+n7iUhsKq/G0H02UcVFenvcgjD8DzJDpuxSGTxUS5UisBGJlmRMsdS1F7gFYSB/GTXh737
4MsJt76tFgAREzCQtKrk/zmxM2Xiu7GYCcN1e1yvMWx0q+Y306BTdzKhBVUNLSszP1zzmXRg0W07
4jcQhSJmuRUHM2ayaoz30zx0PwuEpl7BtWcHWxAfaoF9UHNeXQ8LAEQtKJC0LPuZkBTz0I3K+uQJ
5mWxjxaISLzgRKBVUWTdXJBKTZzhZ6cnFuxvy2aDz7Zv127a8wr7iN9cenv9Q5PkLbGKyZ7f6wvn
pB5tVJ8FftK1o0ture1pHg89SZWWNS5eV6Tl5oofPBq1xZcX6zqvQK7gpSpA83jzPQfTiDB9CFIS
qlRI4lBnjDb5nuHe8pPyzacsis+bXQw7LDuxiWeqp0RM1dVrUXbQWDBZFe+ENtWVZObybmvdbvsA
nYcDnhFchSWIjVVl4nt2eUnbkDVzWieeKF86L6w/Z1HWAA1LV/2KmS5RdoHD7j4qp3FJQRWPpa95
bU1T4qn24j6Gdc8gFHJPaG8tGZa3rPrTpoGYOh847KD5C5TTpwB0DuvOwDLZWj51t7lvUk2P9pIy
NU6KfG2PU/3mxQlbjUcBwrnJa2gVlR71e9eVautegD55naZnGx1SoolAKIDwQ2kDaRwknK4xcaO0
mHefwrnzH1GXUm/NTYCI8hSJA3WMVP2NYCZ+C1/10UM6av+2luQPmTdBJyKXw/axxOtIj7Ez0703
qVOUlXSsxNyvAX/ZBtQNrNCLfECqUMR+v1ddJ9uVMhv3Lp4TGFBeMVgPDrvOpnJC/RwBKnyAJeTd
DhckU0Tk6C6zOtXvhD8rxosgKmA7YVGHAdOHzkPv+PE56WdAiIBvp7Oy6/QT35h9zzCI2a1zAUfF
RHW3DACNL1Y8tKasdZj3e8k3vu9qYSqoJzxhMKdaYTj3YgFRUe1GmMuP7HjNyJgGr2EiURc5pfua
uv18m4vG+Ci9PHkQF7yV1YLLLRi1/dBBGlfXM7JQQBmjyr9s7GzP8zBOh2zOwFTjpI83XP1FshYX
ppaDxXfaxAWr0KGuc+fAZAYuTzhlPZJn1e6xa3RXOVrHGlC/ICaqKntrTrrR6wIvxEmkOVBwBv7T
y7zAv8ooQWx0yZ252CrjEYGsrCB8pvRtGmHcbOF+0V8Ztgyncv0bDAsG/4U7Riml5oVY9VuwUMnY
mqrTGGGLipuKlUeGQEpxjG0V7e3UZS90M8HiRXQherZAoaxkQz6BpxBbG1i00pWH1rGb40hhGjaJ
LttJIxr33hBBiSbz/R0sVDWS76x/E/X1q2bkdohtAi9Ix4iCIwLz6LF3foV+Wd6OhYqOdVK1O9wb
xcFsKf+uQ1d/DgvWzTUmhkw4JJhC04b9iPM63Dl44w9URYVvHGdagiPRfVywNLdAnjnMuRjz0WZW
bl8GV5Xq433lNzCBQ91ek71ipwayxxhp+OT20FG7QFfzip2Y6XsxILsAYh6YJTGuB+niveF1McMN
bMbuNPCArA1jaq6aGgANVQfJyW/T/h0Dxdd84eRlMli2U25jFVP/ozM1DZlNa95zBQp3MNa41cZM
Qm9o2im2kavsdV2gg9JYbO1oCHTuulww2KnpfLpyAJZdA5nD+GlUdbLxVCPOasYKkxmwkO0yeOSx
v3NkeNWPmt7EQZIKRAX3VDaTDEOSbeEfrfhxkpZKQ8rh6jmJwHd2RbpOoNs8E0Ektxgyu+D2yajX
L+onB1ntPQY2ectUF3SNwE50M82Oe3AsKrDKQPnIvGMrWd4W1qED9DCt2uac4qmEFN4d9IJGJPmJ
1M9QU79x6gTalCr1u53K/qOa25t8oSy2GZBNSslAL0JXDT8I+YmPkOPGmjjc/2bvTHbkRtIt/SqN
3jNBmtE4LHrjs3vMgxQhbYiQQiKN82wkn74/etatm1VAF24t7qZxd4VKpJCKcDez/z/nfKc6zCut
kYfecjOuBEcMoMMLTFLuuaBRcAPEcGgoHgNs11IwXSyFuK8837z2Pm9zXLI9mS+w6N/IRADRd8S4
L4uBLf0sux9BScA8D/3pRoWReYlilTPn9PbBwNg+tZgmDtJyvLegbBD0SjxQ425sx8Xe8xp5zPk0
NntkM8SsanAKiNQNFpMqG0oC+MLvucKdBk4fUxvTsCVR8goeT7vEQir1c0Lwr348BRO+m7JkMumR
z3tuk89WWEaySyymU7ro8juodNYTgxSk230rrePHIq3trxHuJZ7f2J5IQYjvgkYO2JC580l7VUVU
zs0LnLf8Hs4D082B8j4GCX+Z9NesmYwiGF0LIll1V5anKYbyWcekcfZB3iwAbGt19tkAnSe8KcwL
kywfyRkK77QuSD5iZTlsLhc8lO44gbKUbs8dRq+P9eJ0AN16M4KrBNn/kuR+/8GSlwOgc4qTUPp7
m1J7IKlpLff5EGc727BnYa7LibFHlXoFN9rjZl7gLcfUfHWkNVqAzkCGF/8ImEdaBzlZaU9khHTe
V6xIwj7W3JqSlF++PhnjW2NoVjRtyg+iDwfoFh1QiE06hvbv2p6G+4AGtzcbTBCe7VlGJOJ6P33X
pW4vbHBKbJ/wzajMgPJxsfxUFq9mraTFFDt6twXdo90NyH46/5ZkLvbaWAa2Pn3PPW0+YdEU4b5h
fDtKlnM+J5K2DagftdwxdLbfqQldqoMxmI6yuDNwPaX1WgdRcAv1tdvyhKQ3dqBbka+cbu858j14
eUORPuCAcX/m6RC8sZkhtsh9xEu6Vscyy+t7/CTNT7eNacnDbSdvJ5wVBydM8s8UlHB0aoJUUz2d
tJAiHEhS7HbColWITywMiOGItt96wBIdtMva3KUZdl3GwiFmH5GT190EROpJ23XlYDY1yoEiJLoy
pPJkdYojZPF179JkpncY/4w8dUxi6YE4TJAfR3+0d22mekCkWJ/eZdSsT2X4vdw59E++QvkmwR+x
sXwoGV/4f4uWwz0p+GBuuKcz79IQ+/mIrc7dtAMcr21Gxo4XDlfU7JO522A6ny4mrFeLsFO/eYUT
vC90vk+AQRLUjyCXM2E6spVbQ7z1EMzUUB50jgrISzw/jEtNXCKah47xjo6WBn9ZjxqqkiD+7oLa
Ppbe4FENWQbUFoGksw494fSd0gHaBfsPC6psnt3QmrOiV3nzvKed1YGZ9QZ88Y0nHwsMpacc1DDV
jb3Mn0srb04mkoRi8ZA141aEMdWa4COQOdM1MkeDBl+SQqLL7kdq4JpjJArKRTamj4r6nIZtNOAn
cdIjKrI74d2Jpm/ENqj7IyjZfR1mcqg0Ek8EHo2/ZspFhshKe+fMAm0kQ/wx5InzGvgBwUi3B9sY
VbBsb7xuxOhEFiT9EMQg2FvoyXIO+Iio4CxGMDyX0B+Wt7QcGLr4eNI1mMWTr5yNa09kkqElHIsS
rjoLEfqqUJRLOC92/gnHRNzh5sGPkWdrbKvo/NZ70EPc41hU6VtjbKD7wxyB5jBLQBo5s3xEK/gg
tFUZPiqXfo7AwvctYttmGOPwtdAt0/wkOH4Auqc/kOJJZwxCNOKWcwIJixBmzQc0o1/1HEwN7Vsx
zC4sN8U4LDtcJf7PFtP9F1ikCcOYLvhQZ4KV3kbToEQTJSUEOHnwAO2zoSUATZpQxh+Iev7NJFp2
pSQtgvt00nAx0HwaDuw0pgwBLxnmoawkR0cjRk/ALC+dlWyWwKvdjXqs79MiX52c5Gu/eVFKKwiG
gG98k1px29r2cIzruBtua1vgeDOWL8OdJbsVfKnT5DCJtckoikrIElxLnCtTOeXFF7ytLpzUakGe
HvrG29JEpdyN5YXm6HpARizREWUea3u+pROCZAhTpBVv63ZqCOnmVZ7uRaKXJ0KFWX2En1IS5c1C
RGp0z2E/UqZ5ZyBsmm3bQ0Zt7JS4isH/zoFqh72LFYz/hg0MjoOFV2m4nQ0gxK2FXLts87lmj6Zb
m2VS53ucAwsNIvfd0oOFzbnZGMHgdOyiNCXpFEiakXGqxUSVbBOzLJor/oNja+qiu24oVXTIC+f3
mFnBcxv4DpvHFHCIa1U9clmS0g+vkrzOV3MM+PSOYzPeeH1jPSG2LsFXoRfaXrxRM8CkfcPl4ozW
gbHe1b9d4hLfcx5kinoDoZHrAhf4fakaait9/ZyB2jnRYpqMh4QSk681YcmbZR7jr7S58ZImNJ8+
5k3+Xlsy2lfa97NzyiWypzOEdHHTj9FumKLyA0HH+qx0Pb+mSO3IpdVaWAF6p59vcq7CFjJ/Xtwz
Q07BiSQSu+xsDH/ymGt/2GlQfFnsCX9zBRGJ9K2VXCwHsWnbV+vfCMeaRKX1iLsmufvLsRqDMXGW
h4mFwg0rHXebSjU8dvYs1gR4JR0Kucxyknxwn/vG1M/RQowlSZHmd4mIxUsLaB+BhwjjawZVa7pJ
mqE+LOxX4sNifDjFhdWxiXLqzlsOkQs25xTw8YVrVI2SvaVOTHrPsgGnDV5R7FE1VDDvRIGLRJ5J
+oAOqUw4IOmTl6RZu23xeH/QZr6XFrzm2k4hIjR4fH4iyECfCBvw+w3wce62NPFeMkYTYEkZkVhN
F8lrK5zglbco8BU7TCiBtZGiLJ5tTfOGWbb6TXMhb1HZsgfYBp1d/BJdGtDqIyGolN7Esp/oU7Ol
mRfjJQjCnBdl6xXH/xbl9f+79ktglQKt8v+d4Lz7SD7aj47O33+Icf7t3/t7moNGgtAm4aQC+x/E
WfEHAUr4do4KQMwRQPx7nEOIP2zB/0HMU8hwVVD/rs466g9inwp1VgpBp1Tg/lvqrK1WmNx/5jn4
s93AdX1HShl4NuGOf1JnBUPN1AuLaqq+FuPJQyPZQWDEO7wkFGGsL9ZtX/ihpPNgXSYHV3CAc2UI
WL6lcWmnfL6hGVfvBZ6w8J60FCYGbFHip2wQh4FGSBZcLs709kozyK9kAwof8/pJtVq/Wa7SMWsO
11RP1IXQT6JBlMEBckvia23pRQJwrMFumZI0CPDReTTK4QbHiBsWAgv2n1AQHs/A0SpVxo+YtJ3f
VClj1p8Qu7dNNoTnZmU+iAzAPEU4y4gakRhX8W10moxuxtrc2leQhFqZEnRl4nKlDSnYtaoao/vo
iqHg8razZ+gr75zUs3NkX8QF0/gCyo6J2BpNOtHtZpkInNy6o2RkKK9gDAHfqMXF1tHAQ1EaTIzA
KrwDPjS4GrNoeSKZMdUgq1H0URhQXbymk7eWLWcOsC4Y85MVUMl2aSfMgxsYHNw+q+Reb2ZajWFr
r6QQ0TsZ4W/bRfkj0oltLODZsmJGWEpVt04bJE/TCijpIJWotodZ0gEUHnY8vxVNL+ySmSGx0Idu
rvG4gD+Jx7h9jFgVV2eV13BTlitDBRqF+5zNPOLuVnE2gjA2uOGGFbFkCzkv1nQwlcfLJPJspg0X
J7Z1iX1wPFvbLK51aoEQvrXBYobjUMfReEcAYg63Sq/MmMAI9ViSojE0FEVdeYt7HADcGOZA7qi7
cU5w46DRdMD/wrONqlxjbirAyJCtGsY9dYUlzsWg73c40EW1jxfB/0YbAYHTSdr5DnOWjfnZnnEg
7QH5CtItfu0J8vX1RL43sXL0WFA79QrdAYsK7ihu288KX9B04VMHhdG+4nvGlpzsTq3+5KS1h3OM
jTBmueEvtIVbwVgw4LLSTqnN/FGHzjCdaLNj65+wIIN8FQp+YzO09Ys0PRWium6z2x4J8KnV/iPC
jfel69D7t33UWGfipsklMKRoWKcUNSuB1HkGGNJ9X2hGuglVdhorwRWLBhyIl6gdcWhj4evFq25j
ZGfHzrhPBrueX3Qpl88iKZa7Udmt2eaQVB1c4jF2sKnKhNmLcqnH02LHxR3NLW1/ooMWIclOx+Ib
q5DmIUx9u9m1YU2FW2SHVH9aSrqvhKZqgpaiwPwaWIHs91lWqltG80Tt6njmZQPOLXZuBsmZsOni
wr1ra5bGOzZ3M1poWujvfViJae/PyCqeQ9PW1qkZY3YV5gucmHb01cLQeqQ2APzjRGdJXuOyztuE
apPInd6Qkuk+4sqkbYhuoG9I23xvanreH+AB0rzmFtVNaefjK0kLGgrymf2JzsPpol1XPuJ1nvBe
hjI94YAq9qV28mKT2qMoToxj7henyLqbbjbxd5UJslRL3+fRE60oPogYCZ2HqiqeNWz5kh9TbbHL
Z4MHlI52sIGPR968aiLAZxgPLuTovKR0BA4iV3nke/lnrZL2ItsllMyhwfIVnmX5k3qWMSTEIqf4
SANdAEQq89H1c8O0NMbmPmkqQM+0LROciavcvNQGFzKdujOciwQARAf9rmhAsYiovow0jQ7HaZZ0
8nWLXae7TPIW31KQA2NP2U33NlI28gA3ogIUDY7JiSO//BIwSRJrnfiibPBH2rvIqpTaYYFDryus
WW5yDv2jag0fz+Rt0Zb9ox9yIj2iSiFSZe0hHBIerFhnkTWKAnsvw8MaI9fNyXM7xXeU+meOfcrl
L4RxQ+QOChXcreOSsRrdJnouZst+jWeGIlx5vO/2pXK02edUo695IZ9GNFsAuCAt6Vo37iLSD48a
+/EUa8y5d66Mli32bmxtqSOLPRso29ssrLwfI53Fr8Bkynw3xpPTc17osKIxE4FiE6qSNTLBR/Ml
JKlPUEPjUdx0/OTxBteu90TwxxJMFGVBgnko6xrI/kraECqpn3UjLC4ATMQYjWvtrR4GXhBnfI/U
24Yw9PYlp1m4dXw93WS9tk98mBcLoCHsVzyttd6OvA+6E3bLlmaVRoWnMk/1p0cp0RuB6+rJGntd
bKZGLz95c+btBgmJZp2JXU1F/5jui+04pMuZZsksO3WK5/1G67mZcQ4swt0EwfpDKOlPspmf0keq
c2ceCK2UH7xvV5xcWdavaz3PXWXXBoNPNuGZcDOO1nDAUrZh7VXcTx4Waskg/9XMoGeymfT1wbYg
1tI3FGAuDwZ6i7JwmV/ZZAaEKVIoTWszaFOfJm8IfvnGnU+sYp37yFDFiX3HEPKpFnwgm9KQ+9gF
IwBxB39J9EBhGgqIO6R1SLumB+nFMrRiWrINv+HlV0+psG6aq4/Gx1EzrNYa5+qyiVbDjeSQ20VX
Ew4A7ZWA9iNdDTq0XXi4QlbXDuYjHDyxWIK3frX1wPqjGWi1+gBrxPUDgjY728QNNpwxK8EGj9Ds
pphkDY0Mu7ktqC2ZmNmoBvAvTuPb4jiujqNi9R7lADpRA2MMSc3qTVor7JAeYQ5s/UZBnvOj5WI1
NEfTxIi3yb3anJLV8eSt3ievSpbTVNgD5FfE/01SG6i8hFGKYxpXLASC1UfVJ7G5sa7mKtsz/Z4Y
EpYrLNf+/bj6sEBYxZ+u8ZJvSTe/Wle7lrhat/zVxaVXP1dxtXZ5/jq1tpxFGMrlIsazW/beD7Rj
rAlOmQvrMmIVc1bPGMCL4MkVSwF6XTuvOejE70Qau+peps34G6Mk5rPYX41oXp9gSkuuBjUllmyL
jlYXe6x1WNgqN5t+xAJfG21LevxawbVcKySc6rNR0m6fzNUQRymiH17cq1FOhw4/xjgmv8qCGC+d
ZGtMY9fVYhdd7XYWzzlwc1cbXkkT2UtzNefpzAJEdrXsVVf7nsTIN3Y1TXGKfTTSbGjmJzL64Bzl
ktzBwdMn7AXYAZOp7Y+s+VASr3ZB302wDq6bC6SswOsf9dIm5wKSxaVMLU2kyMgHm4wF1NPeVPt+
IgpKSjDfYwiMuct5g3y2q4uRrCg5At+InY/9EccwjkfLohgd/RDF4ByUuVd+zFeDJAdt+Drr1P0c
xkbWm9hty4ch7JqvwwSKML1aLWU257edqPx8izUaW7PtOl893mr3Hb3jxzAfY9as17lSXWdMex03
KV6rm63MavcnF2S+48piMgUbLN/6qPsQ7JtwmI8582sssvo3zqXmzbnOtyyBmXVVNPDgsPRcfm3i
IX4117k48IIEhcdWL3ie18G5XodolCRqf6+Tde9iNHfXcdth7p54k384E03zAzN5ug7nlpCc/FQb
MLMjJDO/29dZPrvO9QVW7PReX+f98Dr7W9c9gLjuBNgIFD5n3rorsK97A72uEDq/kRNF0ywWuuuO
Qa/rBn3dPAiXqzzBefnczl38zGd/OS0jFD7yLlzzu3IZhkcdaHcbdrK+sfNOHsS67NBsPdzr/qNe
0WkJfaLq3KXdnLwV9HCikIka73dRt7wIF2k7d1RID4+umdiGpKQbhkGz10+mi12E1V7ahJmJx5KD
MpqmoA5AJpsVvw03MlHqvpnC/tlY0XKMEdHea362dL9PNChJr8wqbP2h5VGm6mq9t70EiyjoEusb
2J3BurCxByc9yML/YuQI0IImGUdui3aEwZsHPnteLtr72F2HMxKCGaH8MJxeaIyMcsp4wpRfoVq+
STYs3wX/FR5tRAn9jgE/73rnShRoV7aUSYgYGqd2iJtj27dfeeBywqYLqSC06OQSyWr6VUTNfPBm
Pz/TV7vo0xiS+WdoCKILyi0p8qqWu9xhnNnxyGC/mSwhS+clw4nFRhbsrShdV2xBcu2LvAGMFfIb
6+Fdyyzd82V2qKOhTe8HX1/vtsvynmgykRbNs6Ok8AHVtN6NSX4wduNLOnpU8SBsHkP7iNCHc6GQ
PvIOTMQ27ZraSpmqGG+8LUPucgzxln5XFPWytukH5lfWsO6K0IW4wqAUevOXluSeSypGIknorkw+
x6ZV5zEhGEwt+dqDoNpTVnPML0KSeVOQ645t1mPQKkmdFSqghpsqn6akxXvAEIUjtPvuWk30EPvY
xDynTTAYBni7YsIT2SFKc+9pafuquzQVHYS7Low8MuJxSattMbEYp/UPht2I/U5s8SBND0EdkCCJ
ex1+6lAGL6x/vySrmxiGgQd1k+Y6PrqLfwDQh08ts4PLjPiL76UhnsNO+pE8n70jgu+1aP0qz/ck
K7vnNjIOC6/BX90KuvuZ9uy5DyEZ7fbk9+VqIEz6z7pfxgeI8kiLBeEzlqlVjC4jcHF+uL2xdzm/
ByKgLo5rHB+87LV3C83be0KxdHE4RuYOC9JN7IdAJnNFjAD3z3jKXO9nh3bwmHmxT8KuhMaeMCWJ
xiaxmfPiHT35hiv8k48bCNlrUt/Tn/moi3MX0RKd64Cfd8oLGdb9vVtY9aVQHf9BY1U/BlzDB923
8XfeFAWii569Fzf7sIVSZOKiVXAqCXnMaPGOW6lzVtpU/pBmOrYBJE0Ozl1VdfLo6NL/REt2TpHd
Euyqs9NSBuSpvCGjJnmqy0NatPKldZwZi1NgE5V3yxvIb+ZjaGmfd6MMEGXYz/Z0yrOKOlQOSfNz
IV5NkUrmNFCjVUDxUcOji+hkmm9HYzUfKqPqbb94jbqlVbI9VRNv+gz035HwnDlhqWbcH+vs0QRy
vvcUrtKNIl1+a4D+E941/fJrTjvsEBkvSOweRfA6K8+7nQVBO68rXWZi0AAwpmzKxNz0V25N7bEF
rrNeJu9NCNZ/s1RquOs8DtGe5Em6rcGeRMeiCuMTUPQjbIHsWPbJtHGg+UEBpMz4C8/dhgXF3NXb
6TpzQF7dNWSxfgcyCeGCYg+EH7p8c/CBP5cV5QkbFvXdtsHzztLcHpytVhyXbG6OqsrPRsT1MaG+
+YFOZYe/0EQ3j1BVyWPHKpDrB/CCsd8rzL3Mp4PvNu+mtTGzz7iMbeWr5zx0+1ODx/OJhlUWR3ZS
BPgUsvcml/Y7qiWl6EPb3gMjdPZs/cUBnx3twJ3Z1SUOeF406jFpVueRr/UFPWbTyHk4ycm/B79p
ttiX3ZtZCeegRLgAjJQNPO5eMSOPGg9ZbO1HLuODF9p6C3m+uOWgSvd8ZYI35JuVBtU2zbYkWbfB
dvIK5R6PlbbH6dXzpu5gugrtsAkH9YDjOgATnXrznckts+fEpZVYlvlh7uPmsixxLW4mJ617QqEV
cN6k+2Zh23pVXtPjrG+W7ssyhrz24ky+NVNqH/HA2PxWF/tUe/z+2zLu9z4ejfiCZyDf2yYxu1Ep
VR/dJfN/TGX+AY5ab6eKxiuvX4pfmKWiI+dD9Qy3DZVJR9Z9LrEXuBG+7ZSLFbME5et5UlfHlcqx
xROPwS7372sauemFZRzoNyE6CoezUfqGXoPy7Ntt8Mvu5SOtOmbb4f3jQRbNj547g5aA2rR1sHcS
MR7ZH1nVMZnS/uxNC7upuVq8r54o1DeVse/vEm4Sekdv/Kavj4Txqd6eedgC0lbzj0Xn8gtUfPu3
aQcKSZdQPWITPaaeWvr72oJzeZeMAOj4s5IT7u+fjXJEt0eMm048veffCR1wj1mnxAlydrNvEcLn
Jzujrm+YKTIJeifazHOX8JLCxyPO9M+i2mWphsgZMLQ82bLAD61g4UFu+R9Z4b8EhrQdIfx/DYy6
+yjJ9bf/AIf8+7/2p7AQun/4LptgSXcZUCaW+P+R+grFH8gDXF2cr2INiv0l9oV6ENo+NnLXEVJJ
hRrwH7Ev+UdAKlLxJxLRCiE6/jvCgrjW4/xFV4BOyZni+EKFSq0Sxz/xIfFVlrVlZ+EpbXVxwvPJ
0amZyXqgyXXPCLdV8YRQl5ZHujLoMUiW6UvRYdphGH9r47C5sxpcuHFUTDc+7MDnbnSfHHYqm4xZ
e+MYV7PfrQAcFx0TUtJGX10RFHd9Zp3p5AypmA2Gmzzrni1uNF6RU/JDWRnQFlpGt2LMH+lcIKmN
6Yv7qPPmnll7cA+Wrzkra0UiFVNCsJ2iHpulmWk4SN0Jx3Iz21u2wTAE7AgsMaDCk1VC7DqFHW9e
stzJu67rX9lilT48jNVNMen0O970HyYU9onl4n1asrvPEuwZJih6OjTcbkcnzG+bbsGdO5TN/aSM
R5d4VDyneMruwgwwIACLzdVp22oFlaI14HMofOQP0u/jlALU6Enob2g25y/UGZ6xSp5tp02/pv7q
8QU2cmhF4aBwC2xkhiDbs23ST6M6ij+xKG9lMl+jJZBZEBy/A8rHuNVF5XicRRVviRPGLyOpiV4a
62Uc/PxpzD3riME7Kne1G9lPygDL4FVrknxt2BjtrdOufyagPxYXWZuRvc8TShp1z1kUiQnbCsGS
nkOGFojBwu9wyusktujtyvMbPE99eoggUOktmIMMGmcaAZ0GiRfiw+uGN9orovbcNV6XsG/V46XB
gS022PQbj/thZgFNXwJsrrSrcxed1LV/egx0Xxl/SuwAYccj3vUbtl9jUfThfraAVYLky9jLNC4I
fnCqCmOwWULWQmxK3vvOa+/Y9mKCcSqqNomdRS6tg2Xh7HpjOZt29eazxmeoCMvxQbmyc57mrCcc
FLI6xYfo+jmkcddh9x22jjHPKdpYcsIuPDTsO4mlbfMA8xR0xUbcW5Ypf7P5K26gBMTxvsetUB9H
9CF+5+zSL32XNeHGOK1iD2TCp26Mz7y6eRMrE2GbgYaKBRd6DIFIQM3x3pX3ge2+553/OK0v21zb
Ytvp9pT07Dhxdt4BFQP6IunNlOOPqHZfoB3uZ7Y597z4T6rI7gozNLdpHO1kVhFqvPMK7O8gWTMW
/Cw+yBJsXWEUIba5OMd2Jh/xmlq/+DjvqHglQm8/il5bu3IKnmy7qQ+VmTYFR9QBUa/e8Vf9LZen
oh93HU5Aamzq98IS6VNn2+faSzRJiRazbOLjf+pSb1dl1qer8+wlxGC28awOqhg1sFxwm8a0MR+G
ID7lilQW1S6vsPYTAEbI/yaHCUPSC0nRK9hgzux3naLqtvOCwZLByvpwXWICjX+cSigOi8QCMtZk
b8oAwmxTyZ3v4rLFLAdZI3LK6s7Wqfc9nOMXkRd6x253OBrsgHxl0gNuyGDnSFyZA1vqn4u7dPuW
iiAnmMC4ipSK5wg4V5lH51H5Lxx9d3FKI4ZsZnHJdHDoEepg+GN1nunuAHt2LOpgwERjfyKtogN6
8y+gXA+UTlTbEW7JASgqXaWj88v0QfaDxeLvv+jef0v9/i8g7GsXZt/9n/8tqFb7q4wc4EL1HNYV
jsBDGPi+v/7zv7SllfUEsEE74cmKazp0C0zWxN9KZxdPNYWcjBhrj+ag6r0ieX5HNFK/x+nq5p9G
uF6bwjMJ52Tv8a3zwJM/0nY6hPt4ylpccgz3Epo8bdNAu2B0Vm3p/BxhJbmY0wzSo1/nPs1UxdJ6
ZBiGVmymuh0vmUMG8ZjEntWyLFAcFmUd3YxzOo4HdT1NrOvJ0lxPmW49cCYMlSzbQW+KE9/LcZe0
jNVICbR/BUmWPvepNfubvLFpFmzQ41rjxT8RU6qN6ONDnXjDbR7xNg5teRjWMRGK263NZu9G2eWN
oF3jRiKv0I4K9zUTzHQFiH0cfAAVx0E+LwWCA/a87tYDu3psEMTBCvVUmFW6262sXFmW4iJhlv9y
gqr8Qkyh2jcyyfms4s8rj12GxHhMcSkPWw/D/REULd8Wz055k4dkxautC80wYz/DTH5DFgDoTooN
l9AfHcWhh2rZWMUOIEX5NWnC5ZFAjkuQGhNU1aY3mO7cx8EtF4KWLAm+cSgAqmp8EGyVqdhLrj0s
CH/pw1gPwWcM2HRPTc4T6Hhx8ch60t1VpM4di0b6hUIN7L1ve8IKrEoXfVsEwruhIAXZCfjskWWc
izd+tI6Olffk/UTEjimOf8K459s6saL7PitOLwiQ4gFQrf2kR49qF8f54UKTPuENL/YdOEQwOkX7
mCeobVqJY15UM8Kgc7ENXiZ/sMYbUjfBzpvahp7krt0iQ+sWQ2fTz7d1r96psJr2/OTe4HiBYc90
xN8knPcWGgf2XOe1CPtqm6HvksJmJMzrYzjJT7wS5uA11k/Eh5KEGF7cOukv0qdQwElvofLddEX0
FsUQqQmokf76oR2GqSq8t0dKJ+YBNvS0DCi1k3OfNfJX5cbhXTawincYRg7BZAWnyuk/VNB1Fwqs
x23nZcnnHIYGjS/onopKzOeuUwvMTh1sigIk2Th2dKBSuFMq+Tm6a0soW16cEnGwKxytb9zU+rYk
RXwsZtu5x3l+R8n1zNJ3EHsavOed9J3qAII32jYkCzejahc8u3SDlyQl0W4vVDhA5UWl5JVwqOqu
v1tqp93NyzwffbemJ2TCtxVHExwNR58FzUi3ljN7PD5Yn2DfdJ7IhHaPODr2Mhz12epXAYaSF2pU
US4uuG6E2QiLZSp263EvBqf+nY0xjpTMqw6k6iACMv8QmsdvLzTpavCR6bExE6nQfBDzt0n5IyDG
aRZv/jyw6xvbwn7HBoP9s3dh0JQ6TX8nEUvfTRHFyZYq0Z6QuJi6+mit3t99hbp8E613dLve1tn1
4q6vl7h3vdCln8eYza4X/Xi99JfrAwDXA4+B6fowQHLmkeCt74VkfTn8z7T1b0xblHf+Cx/XrzgB
xT//g4vL+XPe4l/827wFWp9TRK6eLSFh3vNP/qRsBOEfgcOSynPCwP/bP/kblxfMhg1FIwxDth/S
59P4n/OWwuNlKwcPn6f+JHD8E1bjX2E2xDo//tXHxbwF5UMqulQDF5yH+08X8BDhT1TUB55adn0g
7poMMFQg8SGR+9bJ55QR4+o9srNnUIrDi+vMQbz3DAroIQ4j+aWBlXBGwPN4vnkZZNdCW9ysyvRT
c4Q4K7+sL+W7yBj7obAs1T9KVXqUUE9hABnUdVOY5xXxJSLRQVPf2lY1nenuI9WlYr4kxMbi1075
XPkjBzmPH8d6xQzT3ASDP7zXLoHaksKOPQEcOIRl8Gxzj+xGCVl25uIPsxpbWUal0E+sE7VBvuoQ
2PnLxrd22tFD2dIBdasSnvk7GOVgCenLZjeUFydM58VDI7Q4sdacCNAv8jTrmQHSbUKC2zNshCKf
vSeTADigJyU4GtpT7uogD0kmwcGFrWzvZVtQgzqEjI+JxwjpivrrWAVmeI6ActNXAMnPod1kXWBq
ohjwj6XNky7S8cVgZXtqOAfxbhMUjm8boPoGINA4oqYRMUA0pok53nXMBNSQWhKqAOtUZp3YIc4B
BQ2a2dPiUO760MaBVz7hKbTwKdvwNk5UQoOQS+rAWehKYy96iUaDaa+Chj7uh4GV0YEHL1CIXDTq
KaCeRRycheoJQB2CyhIx4ELayKUbYcXjtj/6vZ182lUdU1BdF+GxbAfnq4qgzO1im/RYlXa/EXko
QzfNo2D9fFu1M7090rZOFoVY77iop01iR49mQuJmXYsk3k9FeCdbsytm+PqOzuyDZ+OqqfKId2+j
bHPsgDh+ymL0TxUlUfqoR6K1u7zCZcQmN3hVfkpJ9+xXvO2xMgQvuWOxYKZqjgFRK+iRff5CFR5p
d4AGG/LBPPNjWV1oUih2Vhey7NbBhf0kox5Vsq8Rxp4DxDV18bw17JJaxzUp+YA9YZtVXbdK+NRa
OF73gGEJPh3cP7BYcmCYzEFH47xPACg2QJTjIw6F/FZRELHjz+KmK/LitgVXAlUtdfUrn9bhprKl
QzJTVLMhk6jT8xxTtbqpgHjSwOZt8jrGQzaa7CHk3fOt53fLDFeBtcd7MM2oRWaa7M0CR4N0b1Jy
nftfJ62Lp2aujpVJ830Trj2s6ag/FQmuPR70+qUY4u7oJ0PKzz2djx5pgG8+vvhzzsP8Dlf3L2CL
AL/wWBX7gLXHKbNSwFGtb2XvtWW8F1PNxHwdeJHf67l3qJFAED6bHG/6hGC904LUKKW/A1FYKgfs
hnzIEvoY8ifybAW0gEPOZpfMTZyf8tBCuuw9TphiuvOUPbDy7rA/dXH+iFOkuXT/l7vz2pEcSbP0
qyz2ngUqo7jYuXCnaw8PLW+IEFnU0mhUT78fo7Kns2q2G2hgBoMdoNCoQqeHZ7iTtF+c8x2AyvTC
sX8dWU34bg992P3XUKX+x2mbF+kwouJ/fCbeqC/1Gf9o2+nXIeTPl/07d8pkrGXrNqpi17Itjpyf
3CnxGyMNSkfhGGKJqOH/+XkiGg5jS5MTEcaK46Np+vsE0tB/WyhV2DWRNmM19Y1/ZQLJcfzreUgv
SiNKy8vpu/jaPJJwfm1I/x6AoHniNURNIT3wylGk8LsQRLLKGjVy8LnnurQ+f/mk/h/d8CKZ/mX0
+R/e+i+jz0V8kmW6BB1oZyDXY8xqcTrv6yz8GBraiX/+bubym/z6di4rToM8IA5/h721+ZeTPw37
1OlYD237NLOPUcNNgiizDkbPzLYsvF50lrc7vulmk+eKGDG3J8Ok1kUA0vulr0ocq3OEOyS7gdZy
JdJxbalcrDo9fG6a0OSjgpCdVOnJsEq5+ed/e2qn//DXJ5PI84Rrc61wQS1f5C+TA4iH+G0gOm0I
fqz2LuRiucJlC0aqt2mtullwmk5eQPL2eEPsUHJvh+LaHBezkulJhprNSzZDW2Cb9KrZ5Tm27J1Z
ZR/LsptJRHKAV5tyxPJnzYJwjdKbEaUMHrKhGP+PNzWHqDH1BzDQsDbDnLWmlgcYZnCokgKur1P2
I4ho72yR7qNp+MC0tcqIw8WRFoxh3zHYzm7dOLuriXe2m6+pXcTX4+ptTMZ5504cVB3aiauq9ekK
jTo7UDGpAzUEvbqkVRUevwyr3ye7NaydSSz4g5Ppt9jxgBz6vLNF4XAmmXV6T4vO3VV+Ou6w7LSM
E3LS+vCIQ+EG7xPYhkqupxYBKnr5Zs/uK9pSciFOJpXnaFPQARhmBm4zhrzheWrv50LiX5OV92bp
pkttklTXnqCbUz7H0KokHmHMQn8jhtj8qMXc/6hVpx974zSY8XAZdGLHISNIuaWxqrYCVOOxRF2P
iocDuS+NLWPw+itJ0q8kqpwDqX8MO0yWt9gebjVZo06cUHZk+WvixcfG9h+jHhG2y1cj5NTiwecF
dRom+6EI0wAodnOFc2MzqurBzfm+//kFafIA+tPt5Al0Vjw9bC5J02GB8efr0Y8qo+EwNDYqz0to
X2KuynXddCCzcBLVO4dH10OSmGCfY6W9xaFAL1Ivzr8waaozLcLjaPZrNCvESSlEjGg2pnsr0/Od
FKFcO77U7+AfZc+yUerKHUP9j2ncQjQEWfjzAfRHd/CJNOGbcPiX//y3h6rgnz9jD7/7i39/xb/9
DzzUmKn98m0vyMafKMaFCfl//veNKtP3jz8faN8v+eNAc53f0BRzcNHleYbz7cj5eaCxHPM4kQhi
s7HM6D6P9J8HGvkqdIQuLZcnONKWy+VvGzWfU9A0dF4oXNpD3fyXzjPvr4lrnKfs1CzTN9n4ce7+
5Tm/YHocyBnlTqle7pmGKraIDqo+zwpvYN7J09DoU5AjjoMTgo5OFGV0aMk6OBGEZqyVEN6TV07i
y291cDe2q21hSoK/GFIopFnJZNvWnBWBCSHaSZA/0Ti/O8rG1J8EFrMSpiTFSWPYEnAXuyuXinXV
+snFmhiWUaY/mZX9hbFubfWiOGaybnZmkRtL5DlwtKbm7EW/n2yS1DUec5FojNZYgh2t2S6v6mya
r0vDLT5VtlgtPMf5mBJzCSqxh2vyjLStaWts+moIE0+mTvZ5q5EAbpOUhf8gzN5EoUjjmnnXEM0w
dtlkMeDrFsLUpoqe7UIOB61cpvXkYwQwpG+BEqPdBZ57TA12FEPrjddK87xdxSiUSlRWJEVnCM9v
YhyXey1zylMV0e+RDMEGzilNZLZdaj5ObNeQkiN5Sy0Q6DHobDPsqx084xvTLvvHztejH02etC+J
M9i3hY43tdI9H21gY63Htqo3hRMS6JAW5sE3JzZ2fXMToy3n0dGIA2oSdeqKMDn3sVc+DeGoI8TQ
aR0lDGIujTXD6PR9QLRxiWMPHWmTGAZKrMHt73naFxe3jn8QE+qBLsyohpTTvDiIjtaaPdWfzhz+
PoFwB+nsj88xEfNZLI6KnnCT1IZx27NM2iREQ9+k7uC/2M5Yn8n/tU8WOqODUnP+ZRMCgJ+ZGPjF
di8uE0zBC+6R5Yi2ffFZC9VARohQSo1kv5DZPhwL3Q4vA/gneN94eTrDMxCla+ZVM7k/wvZkmC9W
yjvr5BreS1ygx1yArZ2Z/YmVmap6Q9IlJHB0VuVMuEBR3GDJzS5+PMudr83ToznnBhZ+9H+RXaFA
lfN0yScfsrLe68iOmj6IkOCsoQwOgTL4gojZNf1lt9USWsLMcq/HIY7yskcppjm/K4gcl47h+6Yx
G3/rdM24jitzPHScMhfHdx8jO2kC9rXdNklcb8sZ5j74mdZv67xAohJrzcqR5DKvhUNfFxL0t0lb
hx0VU9HtXGpg6SeFjWai43VUpW/sOaGMRJ9/VTjVxGhHubs81QsYI8zI0UcVVomF3pvrq9AjjUak
3lowolzYQ7uZTFgCmlZtGq6nfsKwblYfImbyjb/rFIkRja3Ss9saMPS2XvgAmcQChQRzi1DQ2TG8
KE+eqXuvWTJOPb71sqeBbIY7p6xfbaf4KMlQFrM8k/n3mRIEfTOHmbevtdbetsSb8/BZfmLRetZ6
MAbSCVFaSfvOM5JpVeRtF1BkTveRTzqiNYAqCBPGOmMC1khUF4KHx43TmeXaUA6BzYyXn+NqwENO
siKqR0e/dhmSrKupNE56ilkEgZy9YY7r/mDXFW6dyrGuWmVxM1FGb0KYhvcWJfXGHtGA2pM/riXa
GFyD1bzlOi43njHRKaRzPT4TH+QdmNPHG3QEckshXh1HTI+L01nu+iqdDlklsCEb1HEHOUfzLlTh
fONFs9hGLpzl0EJJOIUTQ6eWb3siS2Yt4AuuDPhWu8xvUPyEbkXTrahaFR7Sle3gEkvJ++FPVxNG
MISyBRAcIExV+Iw1fl5jIoa25A/9UW/G8giiwtvjYCs/cLR3aBZNnVV9pt9xkyMPSmIgRJSDDtoo
c7AenaRyoaDidtpk5agoXEj0u6AGg0Mds2nbpn1K1DW8g6/RLx6toWk29ZTsNHLtYCTIfW5XbsCB
IV4IQrpVS1It0tYwTAm3gB/X9hPrytlz0hfouTMiWy9litZ126pKyahtcx8r1CJ6tNpYIhVW3P/d
JNjz4cPoSqHfSDffZLpiuctqDHV7v0pp1VQq1JrdLTxHyz6lM/m2tu/dl3M/nkTF2Y2IwO7uoc8k
TFKGr8yzsv1QRUYQ4i6My+Q2tYgfYp4ybudFUZlI3d52JALswMrXO0vwBBdMRBF9IJWDyt//gIBx
G/fuY4qKEF8LPwCUUT291CmPjRXqlFTseycEdgbFZa0D6pd52IKGkfMiEJneMJSJO92By8VPZ6nf
78M+YqjDUz9PHizLvRDhvak02Cvkk7Kp6jR9JXKCx+JRxudW09MjXjz74KaYhUJ+82dR+NartNIh
SBovO3BK7MsurO/JEmh3U6NQkhp9TzpFEZf1C/6y6NSgb7l2i6k+VRqLQxLXMJrD+OQYBJeeZ0W5
lTTsgTtL/046wOzgJmwchjLK7C9hWpzUkM4Xo4hoY2KTYzYvMSiUHd7bJiH5JEx5qJImiUOFRdtg
yTMUuWW/w2Ys7qBwpBakYPpQLNGrrkmxI0BVyAJj7g4tDt5x9OqzaaPX5E/9ANzjiy3KdD7FXJrt
vUXez7nGETRaxMS7U4iiHbTUEArzJABvlLt+SDo0ANXQvc8cQz9SLEVoYfUcWFCM1G9yEBkGLq7d
BwgcMAJ039ICIBeFuR7ypLmder0Lplq0VxqSuEB0C44Ggp7+xKMnDZo6HHeyKckpMqdhp5sst6Gh
e4EC7bMmh9q518hpxdQxzQV5pkgcAyuWDzVmxVE23rWnCVWv4LQ8odiY1zVLUJ6m9Y+8HseHusB/
odEJbxVxYcPKsgr/1rOrp9Htb6qSgOeyjC9d0m7xRQEZtNSL0bWPLe0bOdOZdctcpdqWPmMAjj3/
qgwLutZJz92XVMCWrSgrkIF8prG9g1i3nyX808TdD92gggEzTRTMdhEV3FlYHSNU97lMN1UqADfr
zR7F7Q12u7tMjz850J6Gtv+Swt6hxBQXaFQNQ2rbXzspy3/BVJVzlyosjLHhOm6QOvN0VUtbX4dE
qgbWZDeXUMTbXLBPw0boysCPbXVBCj+v3LpBA67JtA5S+DQPPH698zRL+Bpdr9kbSnhgwQZVpx1f
yBBLTlA3tCDpB2uPilS/pYqb7qs0n7d2P4gbw8N0VKRfdkQBW4y2Oim+6HWTqysnldVRi/FdSiGQ
rhN9Fug1xpGQSBQkGsa4t4ihWMPUfE8npwabl+fnwVuC/cLGAaVdMaaQZOxVcyzOciAwgPK7OXpu
b+5J4kCqGqanQhubVwXRZUGTe4HZJzEiqEnDJdoRXtI2Xn3thwZe8rR693ISU4Tf1humzCGmL+fQ
IBRfy6Z7aZz2HQcoM24TnMlUNDuH4fCRwA3tWSSF90IambZJsMc+lnYbFM7SwYspwYDGR/cDNkqx
oaJkzTFNxKekpS5wHLby6DRZvu+aZk9r4exxITt8qEV0hmdc37gehxRe0sDqSvXM5ro5wxhqX8mL
MIJMsKlZAQvSePAs9Nchg50XklVH04ADhVimNV5Jbeu4eBpnFOG7ulfhYznFzS02Ni9oYrycVltb
FxjV9YEabLirzLxEA9iC28JmvRjZpztU1WyOki7/qgrD3TWJU/7u13W4G4faXnsNFXTtpvYZsSQK
H8R3xTt4FHjZ/ZyClRo8k8H7lNxHEVUe2JkmeQINz5GR1zIwVRhdjFzXd5FV6BcDSlQAyMeCiiPl
IUSTwSyljN5KewbzabpmAGWr+EIw6F80rxZPk2Gg0O3Q7DmWkq94rKI7AgXzezRN5nHwvMX9ayQ9
H73pME7Ikw13TLqWcjlcy/hWpvZ2bkVMwSbhJMWMZjQ5DhcX/juSrqa82BLQF/IodzOH4Q/2SUTe
z+hNtmU+UbqNVrhlDua9GmNrndCiWXfD7MjN2BnNKUIfRf3pICLshHijZW02M7KTH3UHW8GnATzE
k1ddI9NJLr0RJ3swwhTkdtkcK8vXOTVsfzuWjWeszeQmY9e9AZembzzsdcdEMwQ7MT+9mHN7Xeix
uRiwJC7Qrjh6MybWVW36h44x5lkMbfY7v2izCf3aPQHwZOhGuCiYxHz6XYTzZ0dwGPk5BCnXBOcG
RovmnXfBKtNHPD/zMjyFcXQhrILK0fCvzJokNsdDvc1gLnnGcTMFw5y/Vl4/r7Fgule1gusq5nRL
YAj5U6YcTkuTD3uv/NEM9Q7Es3+qOpQcYRv7QY0i5imOTc2CdgNtMeaew8EBEgMdehko1RqQHSqW
lKZZPkYU8ChS9P4p0oVDsIZ+n05RuLXDrTeEOyNrsmNY9LcpEWRuNPBwmSjJdX3LMmm6AI5qtshh
kQlN43Vqyw8uT0Iz0V1eoK7NgZhaCEcdnM3Bd+xdOzOExdq/uCfYjBo5mSRdm+JCyGPEGvol4vm5
yVk9L7VBsq0aDZF/rZkb+ryQmMgiDzI7aW/7Ok9AEclm30t/3mgiLfacFOnR6OFSNX3hXat5sncS
+BMKkeiqZ/e9CHWIOU9GhZcHAh/wzywlaMGoQolI1jefTZPiySaJrclxggBtitZVrWVrCt99XJ0z
D9+vYrd1ZpYHj9/Txv5eirR8LUKTm8eKjfCzDctZW4UxObF4MJpRXxMvd1u0hnY32qLoikNr99hZ
AWdAKeGLh9qclReyv4w3TsAWaTwekpmA0HWZZo1HzhoxbGvosy/KmsMn01D2punpW1ZdApVsVZTj
dAA4bexg4XY7bK3OXVuO2XHC/nYQRKneWaNt71Rvtp9Om2J4h5aVvFaV332ORTGvZF1zM/Y8PPlo
/FPYGNWh4y+5981hWvUOC9akWkK6zNZ+oZcennqVFPddM9iXzDXxCKAanFeO3l5bfKe3KGH4y+A4
fIrM4Uedp8QsJXNyjPXeuJ4M/g1EExJnyyLB0hGIfmWpGdectsamsMGVUX0USPu1M6RqoOSYerfk
teJeNxptleOOwyKGxoUyHcLfRa99997NR22D8hJXJvYtQif1jdnORAREgidWj4AFG3sGmBmaJjqn
B5Kx39t6uJqnRFulQ/JFWld6cJv2quhba61PI/l31vgsaX6wQ61cy5iuQGC/VU2pHUGFxbffw7z/
7Lnn/0cRMRwk9j+daN69p++yi9/LPw01/3jVz6Gm95vp4gZAPmSxWnOZT/4x03T83xCMMOJGnv8H
BejvM039N0QuPpN4BwwRCzzGnX8balq/MR6HLyAsS/cMXYh/ZajpOX+dthsm6mkdkwISGQuRzDL0
/GX7Az5g1Eqtk1tWyUW+08KFoGbmgmpP+qwLGLmjlJcjRKKd/81ea9gwlEGxINlkS1ATFsDIO5l9
Zm0Ha7TODoTUZE2nA8/NBeozr/GeskxIVWGqsw/9TX1z4LLGHbodUAMmcX0PVCKCJDqsSb0Pr1Q7
ABtKiB4+xD4rCgQURcHof0qz1zkZx4HicMTwSS4EFSDIf7AaehlGZ3QPzofVNGqDt3DYjb3v3cyZ
MV81WKOJL8bO7jPe3NSNyu56Qus+e1PXsGuPEPL0PHQ+iqwrX0xE3i2zUgVJrxA4TreRDWCv1120
hxgGyMIBbQE7fHAR8rl9Md4jilY7rIMw+vQF1zdN+PxquA2vOEhGQHh4CWFvS1LZij94f9/sv8w0
wQ/l30zARRGQr3rYhSEiODBpq6i06msevA0PFEP5BLsujEHyLthjJd/swYE9KiwTG5uaw4Lv1esM
KGjdEBsRvTn3uZRW3vFDF6qhhn3MOnk9MPqdLAEWHiooS2ugMOpZqY6hg9l1kl+A5xU037Ettk1a
ph9Wp7LznNr1DfM5+ys2jPER0xngI6iMgBeHsSmPNewIQrzrYdyE+VA/sdcC9PnNayyEQmNakt3M
gYII+Sn+hjvCJMcDOPvJAiK2ke44UUr0M8D4p37o8puybuLbzJBpuw1hfhIlBkPSWmiSKdJEYSCu
Z8CHUVWBnPQW+iRjp749OsZgaGvrG1CptHgy9xrhW+8CaU2BHmXBWRouru9FZl/yncH2Q/auY3du
etiyIap1gkNRlPc0iRL3CWJkBpj+N0DTWVia5CmOr2x9vTMQVZwcyTd3s/9mcMb+ZIaUQs7AkKlN
Sms3/AHqHOi5N903wFMn7I5AF1+d6cfMZYLjPWappBsgVLPn+S8Jl/P7Yr4Jv8GgY9RULASltU8W
bqiBQ/A09sBbd7ksAVMahle+wgvJTq67gEeNqnU+8a26AYYdwKTM37pjEk4OcRMjKNsWOtMGsq3z
6kcpG3HkpnhOK4V4nEQB5QOorU04wY3ZHjxrxAHC0AFBSQU5cj3MGuRU+vzoDqgL6JImTv0XHdv7
c4ob/cPpPftEaiacKH3BsaYLmNWuvGfVY3peVxYdBeoV+90V8HeuI0j5DjOqhfLqL8DXpsTtE2RK
2ce2R6qygqkepltaFPUiqlh+xGlET5l/k2Tbb6os2anK2meTCW02cnTeOdR7UKKhQ317IlkROm2V
uJhrY2QP/Xp0/BpH6x8022wh22JDH6Baj7YRmLUJ+9b3DOz/xOksS2y9m1C0QlcCEMIF+17ZWgJz
BJvDHgF5/sXMx9imC2a35A6nh8ZZ+Im3urq4bi12o44aKPaVg41zgfa2C77X+yb5wk6A6htRar5p
c0nCdYmWG7O7f8bpEj1yReHLLQigCb85wRwm02umpvxCYhcc4VZnjcQSJzJ3wuhK1sQuCfatPe4w
IjTraQESl99sYpUaivblm1kc5c58z8NGFA8ZEqd3L9W8C1APUMcO9cNRRnX2gleE9ZLX4TYA211o
z83CSoYwqTODZ74PGbMGpkxpDNOR+/uso6j6wm7l01x/Y5iJR8m8J/sbz6y+Uc0sziZ3Z38jnCG/
EVJHbJdlXrUL5dldeM/eN/rZGICFoJfKAvsbDS2/KdHgoqMObrS1EKQ7s1bv+UKVVgtf2lxI01hI
tXubx1mxHvDe9gscFnc6GBdzo6a5fxfIwZ19shCs2QgAswYh17Px6CBcL6zrLnfZaRjAWjZGbVXl
vg07O7nX7WIkW3wOkyemDaCzVezlW5/j/pCNJg4tnO7Un1isjC/mmO41SRXWm6b1xY05LRLtZlRP
OYDv5KaIWSLxl6emW1liKN/She0NM2QkNXYhfsMUBkyUtJW3Ae/FdBwF+uA+RAspHLisWQSiIBhM
/IESl+S4rcM0Umub7UxH0FMo2BFUbrEBsgJOS/SIQVkPhDfqG1dOJi7ocq/DJQTGA6K5XNjmg5WF
cDpoiszCz9f2wkDPFhq6qZnmPlJ9zLJ7YXcZXr+pQ/jpYdapVzkxcllFxZJlAsyLtn+5D7WVl7sl
fX9rXcOZvVMEUgSW0zxXEbofUgjAbKUdoIpEhKcE2AAKbGl/jXGqHyKgr7i464YEiHoK7CmBFk/7
GjbuDzJOPki9x4eQ5FXQhQTDrRUj63SFk9F+7jIark1F8ir5P0L6qE0qe7AOtiOY9TLySuvDYBNr
thJaRe6OpTmC5VM+WQ0+cSK2t2ProZgcY++rqpoKXpTRGU9IOrV5VetdIvYDbNfxMnP5fIWOQwTL
0C+2uBiE89LKVeDVUlZIxD/vwetrGxN3INcKo2c1dl5AciCTttxCcVhhUNvEaereZQIgu+hDEC7Y
rz8LLzF/95KwI6bbIiBynuSH1hDhzmjBxnGlL1GPtgidi8tmZVX6QwkBAB4gLLwWUh2J4pWmPdpE
szRYpvukWnuZasrAbBByXhpA9+am4IKJgqKGzr2Jws4yNn0bjYc60axLA3g1gaxqYWqpDGW9mChr
UoJxLfnDW9RIhZMPXDtenR+KAkjYmidCD2hi1L3reQaqDZ6w9a+GufbPOgl9E2tFFX8UtbTA9rSk
ZoZ93H3UZkfYFoS56Q3dS5cGBOpY/prtLygQFYXg3WmmSEvrdFJXDpGTz/ggBFKajE/5Co6iCc8/
Q/QNd8I5ZgWZArWJGHhFTJV8oogi0CfzDfNTNlP7oqouPuaF8OKgND389BxK4yVCEcRJwj5eW7uG
CA1IY0Z6rVz81iuk6B1SbC2eAyPrWudMC1YcBIYUgBw87IC2t8vpR4NOWMCo8364zeYrUn4Sk3Bk
DxuHgOwx+HP1ZCGXc9fCS6qDR9LPSzo0Kt3j625ue6AYgLQis502ivRYdWY/NBG6aITR1ZhKMkAs
/HXvrAeaW7MunLtQtm7NGMzp2ID0M6P8QplcJ3DJ+J2tXOnbXhI6zfwj6Ak/G1YahemtiMRwUuHC
/A1jYyYBOp7FE9JXAvSiKoZonuhl1my82PaK50ik1Q/UYSZI427icRGBx2w3EEBnYh1Ul79TKIR3
U48i9uyRHUBkfNNNM7eNzxolKxIicJnkMFrhAT0R+ZTG3VMW2gYLL87oa1VN4alUPaxIMpx+FEoY
d0PWxzIwaj+/xY+sPUL+8J/MfgTq0Pv+D0X8+OOkecPJE0J7nfQQu3zYpPPtUKXqlecv5YLddCYZ
sJ5MAY7bINEGaGcHnQCb5yqZACIpzphn5CfEUMEogWkS5Xqa7Ug1Zk8HbxC3bISrJqdS1tn76Ozd
PHIES2Te7BuKo+P2SI6qPrYOkDJJC290Bl+MJDjdwM7HDUHKLMmS44yd7iSUjcJN2QuwOUnzRguw
Efu/9+wUPmXLYHKhk5HVLemlnux0ismJiIexNXZ6TKrXmqs3to8JxGuiFYh8SLcCmAKidSYWvvZe
tdLdT5DmF7TcnAuyIUugatiTe9qdAJFN5b2wJjC8OwGen7U8VxpoyGw0BAzIUL0LkPhygsC4HTq4
+d2IMzYiG0vDbWk7B4v7iQtz1rziDAymHtkA2r11mYGQixXpSITveeIBjGMzH7NwgsDoUxPc5MqY
S+gfM4nsZ0I1CQSM2ernG6hbaoOPkWz4NTrznk4lL0XLGqyMm6a5iueK8ohEM2CUplEX9qVLrTI8
CkP28bU3uMq5dpIwHPapZE0wEtV2i1240c6eoCaBkqGTsOI3k7C2csR5d2ClmBDoENVtsRdtyJqf
NKRJvhUzwBoE4Hge60mJ8A3uTAmnfYwM9xzlnRUSL5kMJna6XhIOYLYw/daGOSXsloiG1t8sp5cd
vPN2UEDj6gViLSb/zPHdDPvMM9TRngqDvAohgafpZrbrIkazlIHOeB+XXVEcpoRUxm3MAN7Dmqai
9Kqy3cFdM/OuiPrKTLkF6dZrQRcNzo5cNz8ES4kmZlunHmeXX4ZueCwbNeG6hjKqIxOqHPJrNM3J
5euYUW7XzTgVV/mi+4W3Hgs4cA5W1PpY6sQk7kNgQtOqw74SP3FIOfJAoFFJmaMPw5m9Dk5l+ISy
Lx5jBzH+h8E9XN1GmDSD0qkX1F0TJrR20ulv0sb3X1OKO3IZJlQAgeTXAWDWJtO8NyI2M6dYY0OA
H0W4NnsCt9u6ZtuAfvRa7ZQU2auP3p6K3CDdJM5qzkQ7rN80a2RgnOvzTQrnK4VepEimyCQXjz8s
me1WT+jB6NRxkISYWsyu4JgqYy38HcGNZh6MxbeADnOABNnl8fRJQrplHeRgsGZAOwN8qenVvTJA
4ysnshZeJJqk3mo0ezXY+R3yfZ5NJRE/p2jkjqVqQXEYhB4EnXWkRf2HdD21JIx6GL8rp4VlhkV2
yPeJbOFPyX6KnmRkRXwf3rITyZOIYaJj5eYVArE+Cni1zpi97HUtaNLKB7S7WA7XDH3Rm0ZAhxoe
/cBCGlM+AqmiYyJ1un0vNKc8wFbX1rnjhmfMuISu4+VcvAyRgOY3F8K6Fnlk3bErtmEmYDVK2azO
RJ/ycTiD0564LrsHPnl/b/uRzusr3IWbYZaHWi/H90jq0dM0Jd3z1ERdujNSwzz2luECxvQn1G2e
kb9GpE7U6wxMo752K0MvIDaJGl4ZcVf5xVcKsQ6Jo8VidYxHwHOZf/JYTgLLJJQO9JEXDg3z/84n
ujB0mqAjMRSYcwL1NRjId+WJ3fjOHxro/+y55T/Uay5v9PmLEPTnG/93ZltbpuMwafzH/oKH9yLJ
/9fl/Uv9Orn8+bKf/gL9NxAlDAVNQLa+96u/wPkNXSVsE4cZ5M+h5t/8BdZvtq/7TEssGCimJxg4
/hxdeuRaLwpzRPLuYi8AuP4vOO7+6i+AeA70hP/Bcsc2xcRN8evgsm0sTzkj9DIe6zcGC55VpjVv
hQ24oaWC1LrsaPP03ytJ3vEvn9RPee+vbnvHWn74r5J/D5I8rkGGwx5oXn7RP7/5qBl6OnCbbQy8
O/twyRrUunjCZyPH1SJOY2aRmmcemfFO1Xpy7rgZPnnURhu/HmPI050tUW6QDX2BigAyYB7FiQ6f
pFWRWMem5d5PWolXK5FsQtupr/YhpO8J4hic57Z2bym7RXZV0zCsG8d5sJhsrF0WWZfenYkanDny
r+2KnWqgHHlF6ZphIshQaolu3i4AUJAf0BAvLnDbBzQG1C41oaG37cR5jbBfe3BnG40lbrzrwSJG
yMWDcsXOkZGZpk2PaYJnoHEJFSU+laDp3FE7Hini5DMj2C2AtsOMK3ERV2oapTFJgdkezod5dgXu
+qDVEoUeFMKZdWqo48BIuVa4A1LDfApEIfh5VqJvCOpSErDM2rxjdBPVa8mKiCe4xqcmrWk/9ak8
d4i76M6auLhFedqDKJz0VyYpkq5IaOW0JquXl7IMGl6GKIozgOBDcV9a8lk1miAUEiGpb3Ynr7RP
Pmi0fZS2ct+3HrSnRntzlO5f6coeHYhgRCPnSip8GVkKOspJGZAh4x/Hi2I4xJeVZafeG8nJjp1s
Z3qLjy1tvOpcsm44IGRlgtHHwwOeuHRHp43GvaX7lEQJb2bF1y2NTH/PS0ffIPGTIeDnYtxlmn+N
aW84M12Pthn8kStLo2jFyVOuMAeQmqVJb28QYrTxuXNEMHbKOE/JENdrwmvcNemxYY3EEGFG3hYz
BGiyYCPXI9ZaM4Fag4cNnE7JZycyvOfFQnNVpzXXdCROntEgx12u8y5K8jVVuX1lTa3/0MMYxuSh
ugAYmdxYmP0ZUPg1c7gGAhzfoHxwEYH6KwG97d6LpG8AAsHlS4Cpr6HzAYZukKNMnfWWesoytjWZ
sDofsV7iOJSg/TaxMYhsa89zwdBkMO1+WyTJfPFK1/oo7bC7062SKsRNu3w3LWr/wQrdHwSQt/fu
IP3HZaiNmm+xCxDZMp4TVdgPFtpFIxirsXEvdgx9f1OOfdXShmOy3Bqa1uzwE6ekCsARjjigGiKM
uywaPuppRBDas3g9p63RGm+eJycw6GJa+8LwYNvOTvohxza/GYqULXmk8geZmILYzeYgSyYJwL1+
n5dqu2jHAValRUZ5tdg0Rpnup0gkVwQmxAegkCi0wpoZe9RYPfJWKPu6SDhS1Wh0j85g+p9paIUH
rXKY7wtKgFIOREVGshD7TG/SJkgQR17NQCc3k1W2z1aYs6BWg4F4Zxbv4dyXW9J5k99NxzDIjRzK
OyIIPYQTvvFeRLNzYyhylsM45CMcPflIH1ft8l7q526Mipc4Fc0TsXPWowue6BBL5t41R3gYiGzB
IiuVDbtaypy1+f+l7kyWI0eyLPtFSFEMqgA2vbB5NuNM+gZC0t0xKub56/tYRFRLRHZLldSmpXuX
khKk0wYAT++799w8G5tlHMRm/Y2Gl4fHyK4Bpugk85wXC0PLsJb85Hs90x7OUeh3ENgUDTqT6Oa1
CYF63oEvneHLxsm0ptyA1q4IxcFnovVWSVezqw5FxbFDjhP4JlbO9WokhvnJN22cFnlAwRutSH4s
VkbM3Rj+Jj6HCGMnpaHlQMGQbXcanFzl+qe2nPRhtieTCdxJOaZ4huXRYu2ZP6QhfRS1ud/DIQne
GhsI0iox+oHSr3yIjTWGRy6bPjaCT2bme/8ydtEjHarDa5fkrbsPOFUETHnp/ECz+R36ZNO4FYTx
+JknY3lpsWZaB4iE/ro3po9pMHJrRWdqsAXuAKSrs8tf+HZ7XK8gcQbX6ru16Lp7aLmfWpzLk87f
+fJjDsZGyfodwYOiRlqF2R11EsTRohp6henRrVqqsQhpoeoMpfkxlr19lw1Sc6MBRTkL1VXth5Fj
Gl67AIff6HUU71UMUUZUs/Udd61F6d/sr/x2rjfwkpvrgML+s7Hn4oJB1k9wdtLSjrN7hvmezUGx
nULObUv+s/iIgoyUFpau/YxPVyFLOFz0i8JpKw62NX+ATuf0bqacURsJzMOICNNEG4TR0xILeudw
v6C6N862RToBi6G+sdNLwpTzuPHQN4wtxm3PWFj35w45vuKVR08AEBwBrlsWY1++pHE7H1OsBRs+
MkzaiddScZ+NJ2yHPPDQxv0FuNn2QAEA4awsurff6kLnN0bybikdLgd8Fi7mVKCQNClFEbt816a6
lm5TRnUM8JBkTnqqES8QX47ar4ZtlKL4LNjLgkTDP3vPS5d29GiYvqkQ++aGooV+EPcLHRfj3NbW
OhS+95NMPN/bbqIcnr4iv/ldA59GfsM9iAcWphfTOpOQj+r1jh/BWVFq3D4YabG1YRDcosH0H6G4
h69mK6kusyZ3GdSC9VgZgXdxci2XkevXpyYKo2vjNly2ljKclwzE+ndP5QfXTFy7cNnDCc7nnUe+
9DjSL2yQo2dvjk5gFNdIFjyQuwq6MEF2JggreoaTNlzo1uOHI6dKL1ZhYNqDtHhxRhMQ0YC9+3Fs
wRAjCIpjFMA71VrT28QJjHPwwihmPFC+2sQizFcMsN9Ob8gVR5hrOoVioe+EYScp+ff4QbXpAw2f
CzDOdk6VRZa+jDZOaQ/3BUbu3ai7wIuhGhN6bEpcFsi9KosjNGzvnaccnpiCLxVzEIPQbw3O9kKk
c8z2XgxHX1mJQoW0Y6pI0FpFSKhQ46eyUgf+WNPVv1g7eO3W8eL2u/NoAd6A0+LE1ddlucOkKE4p
nRBwQ70MDnJCO6Lk1gpyBaOIDob9PWB0LzuYmdZSqtHZbkwUpU7t3C0hxTceI5/keVh2MXAlDJRv
ZJCytRt6HPHvo4patOrexyg8z4nXSSXUN72G7oMD6ffVnO8NgFUfpwdCTKW9bC2mr3XdCFrjQ92M
a5Oobstb6vu3qinnSyrqflfnrvPnSVGAy7raofLegTnVYjmaHdJ86hFP2Qdj7OB8odGAD48beLm8
72FiIAOYg/0UayAVi5amhWxIpicyXNSkMLEj3eVTIiTYoKI+dYYfNesJ3M8pSnT5u6W6iFt8YlIB
zOfC7itowNUvSZNxE8ODKhvi/kM2XHPtKMq52ZvkywyVaV47IfXB11CMXr5KwrsDp5xm3qAk9WNM
WQzEciOnyHrqAdoZB9hgdF0mvWX1B19VvbcxiTxcvCLzD13vZh5jjxiZgBVEDXNy0kOJB7thWrO8
53IewNlEQqEz+kl/MB08gdqMCC1y06FbmFvFCw6BPj9i4yFqIOKhGhDl8H2s8PQB3cKZQW9cnhmf
nlHFIxUfM4KqKxij1oOVNzF7Eq/pN61QLKf5TPz6EE1B8JZR6f4K8w/ELKVpytvLdgj3WVF3qEyV
8UuYSYBQZ/7RnWfk+2nkkL4svCh5ZzUryCukRvvGp12eAXqAHp613QItmTmCNJl1nO9MPl8G7Unj
8iVGE9yP7rz09cQf0bFcdcZL2cssWrlRGNC0ynjUrSDJy+dWWGxj/4vzmPnvyTxOmb4wFdlkTqom
9ph/HsdYfFNuEjtU6MEuYbcSfuVx/oSA9G77+smSOQ9WF2MhQ+aPBgP6n76nf8Q9/34evOfJ/3Ea
5J9XQnikqIjrCfFvefM0aCzYE0a7hhxeLYy5zE+8+dnxPz91/nGi/fd/xrfuJ06wNUL6/3bonJq5
t+htomkxZJnU9bCCl65hg55yItIUy7QvtbWwfIjlOY8ni1xhBdrDZH/4bo6TpDY6706q1O1jSgrn
fH/Llgr/0cUYCFRgRCmX8V0BXXY8F8HLIB0Hmz9exP81qeXvSsv/+P/ISGYqky45HkZ/+8z/t3js
86/sMw8/88+/SzJ/+8m/ZBnzX+i0iqCs4vehkyNO/JWSdf8FVNZ1EGygJ/2Zhf0PWcb/FxMDJi8M
3pbnCQ9mwl+yDI12jDwgkgDPgcOR6r8ny9yRSv+4GpSUtqksWjXJ/tgQcP95McapFzdEY0JGkPZR
obzvdDtay4KZbOMbeviVeFOO/9v3d12BHRiXabPpI2XveFLYGyL6uVj3fC/pg+Xc99CgVEPKCfI9
REuNzsDezg1CdbZhXu/RK4tNi5b8s7aCYjPDN3H5lWX71cTgTM4JkDuxqMdYvXPmjF7bMm/OVVFz
0OuAXwaLuhPe0R1nbx8PQ8v6N5Q+vWOJgHMbDjXHF4dCdvwy3xBuam5x3pGRsn9Xlu6XkOst0rWm
imeeca6zqxWe34pbAI1YtVPvORQnL7l2nXJJZ/zAciwb/Xph0D2XL3P2ZNcUY2uxTBzaaKkD9+W5
C7w4xzLiype8Fv2HTxcKmD03bvelnwTPbKLx5VoixaWNGyi6TGk94A4yRvpx28iOry1PgNc6lzHV
tHUsjqwmgcMN08XE6rTjODh8F0JrJPWM+1WTNc21TUeDJEhO386UmfI1EIN9am3beAY2I96NIkdF
Y4XZ76eqHx56sIPr2g7Dn96U8YaHarz/4ZnNYoW/vYOJQx4MkENnFSdB9xmH8zHLvyhioGQjEoxI
TEsWf6Tn4y6xOVCmIjGvuA8YvlN3mlYBYNeME5cN3kGqeGsxf7FPNOu9EwXeqm+GA00XWGQ7+pzY
TUaP3YgPdkjC3lyQNGLUxlMdLONuHj7DqEoOw+QOZ75QXQKc1ONQoOgtXoeZi4u69lf92DC6CJLJ
PhTLnWvo+LVsinbFHrI6mgbzp2G4msXiWF1dtmjbAoAhut9gXyPCfmtSduFOdVoc+USDvWU01UbP
qfhRzfN8iJwwuAFkT85Twhe1Jhj81RL/2wh7bEgxErQmFvVcVcMSxFOBqaOLbsDHB2bdunzBjRJs
ws5zPmOzm44xvQMsKSkEUkw5tls3b0KUH2SOpoXpMhzxMb02fo83MO9asP7gquMnPQ67ekxupYVe
T75YlYQkZ8YOAoyLbsRURd1KtyPDWJZLZrvUXZTEm5+5DtwzXSDq0U+lynecMJJDxmrlvXGF98w+
vkhXhW3a3pb/KCZtMNqazu4aHgcb3GpHA7e8CN4+lM4WQx36VLwnREfbqi6U8wp3zLlI7dk7s77b
iSZNHiFwh/i36LNyU9Pt3iI+BM0XTiSmD7AO/rObm4zMFHTx8WPcps9KqukGXTJ64GCB2T8hmLOw
Zi+8lVQYc3pGu3ocPW8qOQwjwqJg9x9lnODLjJ3hMIlcXjAHciCjZWXmNwG9zfrOfPStyt15c0WF
QlDK/tnzR+ul0+6wU8M4fflZrJ+n1irqnaUS54vvd/w7Ur1tL2AWVKz1Jiv6NKGlopzhUMUEE7ku
YYMqJyGmaQazE21Xm7RIqu0QVtjX7qbTbdml+RXzhf3c47E9BLW0nlJNJWVtYMxb8KaoWxSD0F9Z
qjLXosYds+2ATF/nITEf8HSoLb7w9tRGpf5O+ArzqQa29YpS154IktoMTHO1g0se08SVeZc819gC
gGqRgUKMFUcVUPTIQTU8SrNPTqaXUqDE7p0gam2Y5rMhFe3C1OUZa65f9+KmrX7w6lA8OrRvlxiG
lB0dmIaJZWda4HGCp/E9zAWVuxr7l0vnHQw5STdE5x0SdrZc8wk+AqyAPaY3o0i3sR6qZg14NzrY
NE3vBj+/gFKltcA0pLEq7ZEGYb81d6Nn6geVtMNScuGu4aXGW5D7MeGjOX9qeoSitolRWmL/StNn
eKav0vtObT8+D2GQbkyrmJHe2/4YKm0RiZXiK52r9Nz3wAaSPGjZYEv3yOmez9AK1SnwqxRFmIYx
7kX5MZ9osEBg74a1q/UXLQTFGjpavbOdXL0ZUbVRXveWKLikXPrR3kzVOqqsaGUkaf/TKeJfSVO6
a9UYE91BJkVzBco5jQkkfJxqKzvp7KGzXy3DoWc+UMaDCdxlN81hvg+N4CDCGltZoUaxbjNjep/K
uywamGH9YAWOTR0OebJ17VgrzhXPs3bHjZYcbIqofM/EZO2zsjVXqo6/7lJWduA47EKLxzG9GkIH
XQ8Zbty0gdM/mr2TnMfeKBFYyvZSW9bR9eSPbix3qAdgqClAWiAbdDjBgaZ6hXUyYc/j+oo8QdCi
ptRhMdActCrcLjla0PbwWOCXjhajDLJtHAn+Z1c4egu19VCnQZcsA0lH3oqUDdAM02tZG6IYlsj0
2aeeMowZ7CA+bPJkPgaXKT6Tee63eWRWYgkMoXqs2qzeztXgcTB0POaEfuyOOgpTje8NQHUzzfZi
7gz7l6Z5Il7ziIfc7ZRtxDBjhETnhy7Gnls2PAdiqynGxWQ1ebNk26O+c2joV1e1wzVOo2ZR5mRT
3YGHmE9RyJLl+xk645WXRdNQKKfk2W4E7InAp3BsaQbD+Epg86fP1/1jlmrF2HOWkddt0gawBDfE
6jFWnJ8L9vT2H5smXlRRLQjdWw9InPMHcA6Ka4mRHBK79gdcm3SuiIE+DNuvh7PrpfKrsdLgB7vc
ahGa7bj2fBvKujbcTW2X9Uvh9vkOq9UaLjmpxFp3N8g/4Wsqcd9rfPy/oY5l7/h5yo3lzmwe7nHJ
eJexgNkNuU+Xb89mAqQBO+yFpCr9xjNg2HZZ2l9wZ8wHi4HsNcaVeSA0Oh4q1iMr/PoAxbVseSC5
8oQgXVhLPFpAuGveK4ms+A00Uey8sG1WNmbGDeRJ9uXalFs4Gdu5TV8mBfOIdfHKlXQ7lbD/rObe
iAlC0yM3h5NVd+tuqH/ZzsA8V/BVxC2AD4VjMDfilW4HyP/KWOF2eTDsyj5wqnX2RM3lLtZB8Qmb
meWTw0ghG80S3svFpmxjsNOzBTAaJ8+Dmg3zFAawlXC7BeccrXIB4oPemCyHwUsPKMs96xL23dGy
pt+mSfMHe4RAjAiISlIp1ACbkCANLUati58WziYPh+rYAnnaGjNl983AU8Wvzf65Der2ZXIwHIzx
2G8Gc7yIkGW560PoEBGJ6aAf80UzhPY6DeDKTE7pw6CUY7S07fGDH+pP9H/NX1QA49lPRLJxYOif
RJnab7zf9xoB1eXpsixjd0NRFYiwELhkHjvRwQ1c96HE8b4IWHBS9R6kV0u62T1QFzwIDOknjZkM
WoqRUgZQpvLGFYpaifxWnziH6Ic8tOQvOupDAghBfrVHy7zIzlKgITP5ixIv/6w6Cs3YYMVPNngV
AN4KsEtS5fGHYer2zG0z21fomKumcr+xqfo7N6cML3SS7tI6pveBGZiKxSTPEZ950DMX2Ul5JmCI
CbeGAbIvdNg0+EXLibsHRlMI0/mGouZu59dEfw3pTo/Qwpt5ldbdAQ95sMoNPz/YYzq9krLPryN9
EwW2i5sIyhQLmlftbLeMV1Nqb6kHS1GvkmrjxvdkGLu01RSZYDXchCddGYTrkrmJxlFuzp2vYnKS
qXwTHGV4mz2YqR03PObH4h16gvzh51l6oIeWL3DdOFjEMdgs5hBsJD6lMHoILRZAulP4q8p5/A4m
SK4q5rkX0E61mibkosblOT66IAkKt3pRbR++eUbAlKnplesYiOo63M9humXNWu5NiClsxfobT1SQ
l2TTi5WQXYNhxlgJQecwx6x24ZXDdxwPHXbyUh+S+p65Q/je29I0D+6I6ctqaJQaNTbjIfKWviDc
QgiXuFr2c+iF/zP0SnufFPwqRlixEENWf09kN47kPtkQ3WsFNtaAJy3QA6nX4h62nwfePmdwrob0
2L9FaX3DSZcvI1WUX4IvDC3jZo/RBUgC7R80ipkN40TlG7sWw/lZ+4IQQBhPT0EQN8wLSfaZmv7M
S2G1r/M5+uYwZtECUJsrzEMO7ddt9UKB6vCY9jMWzCq3zY/cLYwfGuVrQxdIuWPz9EciJCvJW4+a
Q0/rmbea1NAy6BuqFIgr4Zn1041XTuju/sDqjpNcHy/Lhs9LYs1+J5A08M3C8FWweGFv1bHtxRgI
Ht0twGnjEqdaIPZ++wz8feufxtzn95ctNV35vPIxoDKeikOqarHWriZmO+7IgT97qNBL8EvxjWQK
G5Qsn3aN54abyakrzE5Fu2d9335Uoug/aSyowRUG6tVAAjsVUxF8k0vn8Tl1OQJ0Lf0tHw9MAN27
Z3vOyhMkRP3hekHHbCTlvhCMtFjCDZ6CE/FGEwVY7Pz53uycmwbrlTznFg9J3t9aFCUuqEzAMz2N
hbcJ6sT7FnRqO4i8clpMWeD+8JWh3IUhvPS1ZERal/7kX1rixu/V2MfbCU74Tln2+KnySPPsSHO2
C91EVAle/kOIJ/+QynkEfNewAZD4TZck46w1xfXzfkapePRJW3xCj4i3qh7K95LnG7f4xt7Tg63X
Kh3Yb+Cyw/jblgrQjUlTWlAVDy3IHyLoRV//gsnXgzNUg7toeqcBrkrChUiDTecMAK4PbBfV1m2s
33GaQwWMInyGWKtsuDWmAIZhx/QDYtWoRdNFqxJuxXl0Z+tQB5a1MaZJv3cyZXKdXUJSXO4wsLLi
cm8av2R1fU/fg1laQVcc9MLRVnNL3ba8MlwnBEJDEEZ1YnGrqXiIPoYFZhMQNTKj00N7W8Jy9VNS
MsPSSJ3qnQYZuSK16sE/NFkWZHnzomBLU02CoXlq0rtpFZtEUAcYGP25T/ZDrqyFbIb5oBnPDhXl
X++4lOnzYQp96OiK3pRzYr9qa4wPfm8moCI7nkXBMF/kLEvseKUIT7WTmOe8oSuWcC7A9ySTe1H2
2C9m1o7FskiU/OwdKj+JTdniUyuy3ogH8/jmpJhgAFT5DcIDEPlqHfpFdzTmxlzbBcv3BY6TeTOx
zjzzHC8/ojEAJU3N771BmoOB1zaLibLsK+E97wV2gnvwasmmq+tZNRmWvrBBZcRK7sUvGA/i/t10
wZ9IkURXus+tbd2YM/uxIVUfswlMRhIQXLQArSG9SaZOGGw0EHZOtXZhVGBqVCEfrfdZDiggEQzk
GdFqIybO4LwONl5sKnrLXqrA4+6K3Jw2y/yuPdCCrndmi62iNggx2pkAGZA2HX3c+I+/DHp2iREk
jEt+qkgg0TBG249tloEgnZ8vedWMtwZ+1JgiynPsSP5Yi7Z7OTpExf7v6r//D1rtkFqFywLgP1N2
z/FcYMP8h677v37sT1nXxzhHGljK/zDU/anp+hbxYQsd1aXT5S+19y9N13L4CYUVDa8dGwFXAiT8
S9O1zH8hD+NQY61n8rP/PU33Tib+u6TrMah70HgUQAHTlPzh/5R0R6htVHhR0Jn3TnG/p5bbQVZ6
Wyfmxcalto/BZNMGOpLE6X7hbQ7OIYeU/2LNQ/z5//B3WJZwpUv1mqPuavrfPX+2Hxo0TQf9TqUN
vBTX3DggrdES6HyJoqNT7Sp1C3R86WI4s5PEHGyFwTmJxnZR1fZzh9WnsWDvvM7ga2iDsXFaLGOP
RsaAlcqg3GOJ65hVLhOHbB+mDkzbfacjS4Yj0b0MTXLCwkHvcb5OdHMb0/E6pMHBskuIs2oDXucN
is8Vm75eJDJ97sg3rRsyuw4tiCuBdX0lVT8Srg0hzLB4a1Yd8q5DGOq9acpnIBQbPPS7JLRvNF9T
jOUgvPLGNrbdvkcKS3NYzGKD0W9BJ/app/JqIwFyTZwuDdRADpS990bN2iPQ4Sf8DoT5xh3HiUMe
5csEGwXp5KdxvCeF70LbCKzPcYgUhewAR1KaOxuGB6mYC6eCA7LurwIYiSd+GI14uVc0hSCKa1k/
qsDcWnTemqOxGizsVRj8wqXyreXU0XY1ZV9F1v+MK/J23WybK7JJvy1/DvaNtCLIebbeYXGqVjzY
jq05nA3K6OFzRDSsmdhJJvUEjWtfi0ewdkslbAUfaXiqxvDGDm5jc+vl3WLQYoBZx2rVquEA1OpF
E6ggdopppXmq8vE3HI392IiPuSF0WgqfAaN8D4d4M9EmaVW23Ghmcs53wIT8F75ei1RuSCbAlgeF
iYeuR6LrL6gr79iwjr2yH2sXc+bodi8mbVOmCQ6HJLwg44W1gdK7cFWMaKpmK+11DTcvJdrlj+2P
BCXbQgJZiDF7d/lqVpF6ickdk1XNf/IUhk4X6VXRJBp1n7B60n6LFnxcIALi39OBvNTaNRG3+ugt
0eazo99cnvbXJB3St37WxyZ1HgJOdVtvQqupVTjsHQsdtCcWnPsrVeU7XD3vqgt+pUZB2vVaypeG
3N7CBHFEgY54sEAqLYxh3tND+uaY+bDrYK/0SQRU0D3x7F2FSm563OTO9FB75dkV/pIMosSuM5F/
8xsQRiBbCDHeWsqn12HS7mzHxLFF7IGotkx3XnTrQ/ME42JZ+9jhbB41YFS5HdziGFIMdTRv5Yyl
MlVf9EuvE9YSmHvN+lz5Zs2Vk2bLWNnraaS4z4u/ZOZtqvTGnmeJfekBswj5Z2dDVOBVeHrXW6g9
LbG/eUaDg4nkGNmWr4bLIdnSxFvoEehNDO8BRp2iMw+RBdXRml/i3pKrqnM/YjLfyzSWawULe5qo
ldLj1bWarWWNy3z23GNPnDqsom/VO3iRk/vlZF19wQxVtfKK0Ww/pv4PslX7uJM/i9TcJxVsa0Hz
NI4TvWEMR3UXw4l4EFlrd6SgrE4ewwhTwxyQkabGec0kW8N0FiC2ao86NM7ie6+MzzrOh5UK7GFZ
1j2dZOjXRBtvBF0edJZg2svL5/gOaINpRIduRMitKb8K6ROvVK/aJAvC/7GiGYuDr0xXDN/HIqpf
XFhCQd5+dJMudxEZvmXpeq9ks5/cAdPq6DOUtuBYgRXo+lngT53t6qPN5A+LbguAqScxdR/VlL6l
k6u3bcnrYEKeDIqye1w9pOQeJ8d4ZJWyH7VJ7syFhN058bIDRQvToEA4cOtk53rDnnP1zrJspqLy
t53qLTXyn1Ae7zm+YJ/jWjpXAVd+XpFPYlj9ZVnu6yhRhjGJrKth2iDel0sk/Wat7Rhp0sxR9P1P
1kf0XjQ+3z9qnjMViaWVkDsr7NNIvHXNFXYBRv1WAXecXLdaO7hw0K6bzyR1uTC0yfA9fPR+cMsN
St4G7yT69jJbdxhr4tL9Vadnqhs5Uju/qtCQC0H5wsqMm9PM20rp4znthw0gTYIfgBAXU03i22BB
uMSZCGJ3DDDVYigeqz05SqhPjnGjkp7ec3TLtZkYZ+oBcia5+CcQW3BB2SPtTEyvRvjQZN22cvk+
1JhV3HRdKxcAjL0vZucwNAP+rIOKWkZmL94VFO2KKTgo+dHZ6UugmzVV2dt06hbuAK244CYk2EG1
UbAtaXkrix9Rk1Mf5r7BqtiPmb9qM+c4NO1u6MtNYOcr06eGCqTzXhBLJqmChcl9qoJhRa/Tboov
VUGYROP3IyLj8033MvO9y9qrNfS7e2wMKWsbt0G6kk2wm+85zLGvn1XQftZpF2AfgxCk6jcPj6fM
OlIsNnlYazdk3Yn81jjbKw1GmTrO+sGY7fM0cucCs7rwEy55lJ0bUtivcjqGvbsmGneNRgxe84UV
+SZJ5kUt7N9tUFRru0tWXWYemd+WUA5/41z9GYXO1VbtxVb1Lk7DZzENa0EXFcKM/+4lI2bU3600
Se9x66SDp5E1R4aRi7AgZS5fOYwd3OwHXN8PmK0/QiNZNWlyYntzhTO5tAvJ7SWIzpKb1mz2DzWk
PHfAYu7DOiwRhqT+ocM7J99wvny3uvSdtSvG6ezi9F8RmKMM0dxpu4H52n1i4MWn668pX9ylZvI9
1/kXxcIksc5eGSzy0WKpU0hoa+W5UdSCZXSdJN5iiJ8sfbC5KdD17HBbBiJCgB3BrltTJbMd7POc
ePvByq7Cj3/1pMNtmrZWTsDzs2i3kPmyniByhJe8CElXZn51Cp30oc4VHAmy4SzRo5BWQd1+ROcc
yH7zkjgpkrCxKZvkUibNzmSJvrD7+NWNoQ5TGAjRgJeV3Nx5ld9RvGw1C938dCjDieJ0N1a8gWBY
OPmaC4VVD0DmOmyyozMmK+Wq13qsv3wonevWcXDJ9dGrrIxmSf8B7KxEv+BDdB6GmUMX9DlvYQrB
YFMU8bboQega9SHFFJWy71vkjrxBgPsIk4kKwu6t6UHoTOAkXKd+rdNyRxkMJOl6LSW9oFa/hVtC
JeBz31oL9naLFBy0LfVjhcoAm3E7mXLt9vSYh2esbP5ywDDm+3zVA4pLh99ZpOHjPLSVfxi0fwva
+Jo0B+iEK5W5y/GRsOOmaDaRyq9VUDQrCAfEpaOI50e8NkT32PEouvczwuTYzoD+XestHMRj3Anu
Bx421+c0JqJoyx0YHsA53qasu9OIWNubN5KH7AXunPEfBi6xsaJUp+jkYqJXd2hZhRJ4KcnfGtV4
GP3GXEK8/e3TYMi1ORU0MOGgTmpMZD4HibLasJiMTdp0Mu9ZYRfxnPYzZqMghN+x3CII5zE/dIb7
lrYIJ1P1WuFlnivKIa2jT9l7nHDLchhJIeUeKq2eTP3cS0iJk4PrnHM521pX+dys9UsoXJzxLP0O
hClOncsTGXFlRsbOydB4Sn8bMvLXeTgXezznNTNk7bfv6EMFLXRzTwQN9G2ftdPvHGbkzU+Ed6ZL
t//ZDwUrotQXW4m8AqxEBf0y6KAYeHJcF5Qzf6s8ix48W6ujqELIvNzsNWCyMn0t8BGwIdSYcXub
d5IQ0Q8QHcMON2jgLhJDmuuWdPghocqlW1LiDAkZ/hy4ophA4xTu3NoRv/gnvW83m+cvAxV3p/HQ
bwP2sU+EEO2N6Ybt1Yum+iByOLLCcOsnznvMxwxmI1bUvHmgPMl+BsE/Lg2fpMeURMNemA202t4J
950xWRuXnsAbYDiciJPpUdlhWOlC95m/7YqyOuf4NdY8a0qwKv68N/yyOVs5ydSs7pqD37kshFIE
mNex9nnfMdmeW8c1l7k1nQvP6plnJpE8FV7rvopaTN8lxSjHpFXYHnCpXp1xLj5Ge/YvhIERriub
68drQv3lJap7NzJoGtAuouTq9K18ln4SPdIZNj2QRygv5lDLR1aW47Uu/Og4Oa99LBeN19dbn7A0
/WGm82Jgru2pG5ysD+kZwwZ+Greyecwe6t7tLgNrq9PEA/MHwF93p4vOY2s+jl+0MuY3kEDtTRK/
uRJ8TvY6hiHkSPgAfsgONipY5JlTHm5p3oRjaJdqgYRMnCXAi1E4id76EeUWOFK4q6R0o0FeBraQ
ZnRMkwyQb3ZH9eHI7ekHmwPrUo4Ab5zENRG16IRU96i1zuJbMf4YI/JGCHrLvs2mK4smnqSlnvqn
hm/mZMasOfUW+BMkxWr+llkCw2toOrnCjvrMoujFy+crRNIPFWc7R+o9ePWlM7Noctp4h1B0rOJk
DS9HQZuRS7TYcOUYoGcmnr/CfR8MhGQsvMvOdH6ykoVekHw6uFanIln2YbqBz7LOmdx4MDiSFVUJ
B+3ihY7YErF/G63i2cqdfSy8S+Z0Kzyo6GE2f3G37fGLi/rVRO5aw0p/n2c4DVMYM1Fq9dw7/UsA
ha+c8MQY3IniKD2hOu9Db7p6cdjvS7MCz25YGV6bPl2ls3WdPFaDFs4MfGdrv4rOVTw0lKsxlFN7
u+gsZ9PX7SZvMFSW66Z769Ab26I5+hGrKd/bhFn+G1PZy9/0odufts6/e0rte5/h30QXj30f6UrB
SsuWDqA3/99EFwXsP2mxV+xU9sYxPz7OYzdega1aC8PMpoNQ95byIpwfuD9Fj0Os5LOZNMm1Bo2L
eKvyHtJhr7/cPy6V9H7VTPfrR96vpOh+TaX3q6u6X2fmH1fc/dor2P2Qn8oRUIgFnLv7Nerdr1bS
XvOBuGPzGvxxMY+h3RxY7BqHMOBan+5XvXe//mFqkDnRc8WCpfG3QwddhkgGJPckSEmMm3Vww8fI
VvR+b2EJis35fr9hcWovRBuMVGMM9jNxKu5LZsN8HkZR+wT5pHkSRfM/qTuPJceRNFu/yrwA2gCH
cmxJgioYWmRkbGARKaCVQziAp78f4naPZWX1rbLejN1ZzKKnuppBEnT/xTnfKa+k8BSaEtXfxgvd
WLCedCJyOfPW0w9QyPLhrieiQZTMD7GekjjR01NCRHAAUiyEecRhinwW+HAag0P5PGwHfOTHOZfJ
W9VQZzTmHDw4aMPDxBb5y2gnNAxac3ybifau2lkjMwpq61sUGFNYEmNoNxmX/OclULN4Ouj1ZujW
O4Ldqryu13sDXNj801zvErXeKsxz6hdrvWmMz0uHb7MGdcJN1K53klxvp269pyK/SE7TVF/q9Q5L
1tuMsIVnrFQCWxLj/u8MCa9Wyh9AZGF1AKIJUZXzgFcGX4z4Mrs+Qy0wIfNXHUxEBs22zPZNzAAq
59kM2fzV+CUo4LAAENc6VTc+li2yLMBYY75MUHTz5NlFu29o2o5gUdC6O4Smvzvg3epjjayD5qbu
rX3nmj70vv7zFdGolVsfGofPPW342FwIBEy2JFUWcLUz7122aEfKjEPi4GlJv0rQNZVC2a+LLx9y
54dtNvejXcA3b0zhtnvyIKhL6Ba2Q2vkDLxKD8pYzz7OdJspHNv2IaHbPGrD+aoqRjmDiSM1Xagr
Fx7fucDngm0lDIzoKcvap6JHDGboTO1WajGRSlVP/l4e/KCJ+WJI0722hyAIu8Z5Bh1NBWQIOzTL
MeeEZZmZtnHxILUHfyKd8pCLvttFZp4++Sa6Rw9D5jnBoAuo6Em2aXIFISE/Vj5lNlrBc2xbbKjH
ZEr2HhssgFtFvhtt7y21TGYlVvoTimhOvPMCzpyJWSis+aKoP9B/8V/XPBjbzB9f3cGqz5VL6HXl
TQ4e/Foc2rlQO2sMSARZnINMakDUlQa/ZLbunmEqYxVTveO0vKcuJNLBY7dC9fHc1NNLLcrqURsN
7ZgskoMDmVpuYtiJl4Qkk12Rx/WhB3IYanRgBztDSyh9gr2kMyLnFfzWaslcM+rwhxoxid3x1L3p
avRPs5Wnr+lSvYF9oYJwGyh2PiYZ9IDqEC0FLCuVEsdRks+trA4CUAP6dwX1buGkEpyQwZYgl6Ck
tGjYbtp37GLkLsbzSVO8isFkVL/UEfKWYKZrhQ8DfCEYn/j33FNsw+TZ2EA3nzvpESfTu2g1m8A8
EoCTXteR/91qOsBowlh4CjhQjLL6ThfzM7O9p4QlEy6XlKWMETs3Td1kW7LVBY1N8r0LqCkKNjnw
z7pyR1VgsfVMP+ZZvOriq+lm1z35EqRppFusEneLVSNKzKufXrc8wAmD1iCBYRHOWtgYlNlK0nSQ
ZqPEuLMzDkdc58V2rFaIXu2ox9ES5jNBfx3dq/VtItYydNvs2VfF0VIcXIYtNZ0xCV84epNL7NtX
SGATZsn8vibFJYH3Kt0xkL4Z4fhHm8Gv22Paj/UJ+HJyjPEdvWZybTJjG67VRLAz0Au/XZBdjstb
lOblDp16svUHdAeOy9ALklPzDlfKPsWGhy5EB9mp6J3uNqqxFIxdVN25kTF9RJw/V9aqq8Tx178h
X/Iv7Vpl4dkr7vVn5bXWYMLAK2mw+N9Fn9UZJ67zDCJqelBr8Tbwif/Pbqj+FzsUMA44Jkuk/zc1
Aqf0u3rP4d1+/8MuiyP5n//uf3sUTAefAf9fz8NG7bId+2+PggtoWKAA8i3pYx745zbLtv7heL4Q
K2jCQnm7xmv9a5sl/8E/kN4/453Xf+s/AEd4/m/rLMcCncseyzc9vBIB47E/rpGwFDaKDGZxiDMX
5q1fIMzfmi7ikiDy3fcOxda9NZM8DqAUs1m+VNPWzGdP7G0Y8Hvt+rjwOwKE8hF2LePedps0zwNU
3Aqf2db3c3eXeG1xYus+fqDQ7U9mliK0y/qY7JoAziNsbunSJc2lzLfST82HqLA4urHC3rJM6jZF
6/THrBr4K1DGJht6nCk0c300qkb9iBmgbnt/nYIFZRrsChIeb8x+SC+xFFY4CwLDDH9Af46oIoQk
n4Zdn8mrzLaCLeFMatsyOTxQVgffM440Eg8wBO+tLnIO9TyYj/6Sprd54yFTYJK6K5E7+RsHncWZ
E0PsTDRme4EfjU1NEa8EAME9Ii3+UASPcLdky2QlHmf834mDv9FyB3mviyxmC9HUdxBCmw+zLNob
UqsuzuK9kc91vdSIEgByHZe5uIyjf4UU7j4xEH66znDnUwsZfHO7yQEZhLLqQOikOlEyTATbwDoi
mN4oEXfJSfe7JI+8p971CeFmDxWZO8tJ7wUZmipfE5ckMRhR5QLylWtnluBwhOMOB47+D8/CO7aq
mYpXRW9EPbqnbJHNHeIBYqEWYXhPBXDYs8rmjtPLMK+nJCm4nHqb4Yrsc3ODQSc/eeXkA3fniCuQ
pj3T4HvWpiEEBNrNQjFmIxY0fWmcatEa3zq7jxh8494hKUV0m6HS/hddeOIKe5velHFib7FrujDy
GWp+J8VMhSZP5TFIanyBtZtUB7N2q7fRFR6ZTFw0BffFh2rqrz2s0a9BAFLPL6v8ocyd8Q4Qp/dS
pxoVGlrbS5W2/iUr2F61lpfsVDddyNSOL6OJHk61tnEMTJ0fotgR976xYopIiAIz4uQ80W7OyMuK
BogMSX5dTM7qkM5ZjrBCA0GxqHreuFbmv/Q4gAV3sU5OyHzmxykFO1jqzroTVgEUPnab8d12pYYv
CavWXmC4jfnSvxE9qS8R7KUjNGv7qTMlyEmpa30LEk29FV7Uqm2eLTBPx8lw2xtCr8D4R7o01lBO
fAfwLIwwtzU0zEhLJu9YXg6MM3iZii7rbvS88gXoGT6CzuCraPPJT8IuFkCqKnRRV0tMLJYNBOvs
ZyIKDfrTW44LVlt5KtIbItcCKnEH5kO/9JfRC8y7yYIDwmLUnR9hAFpnJ+87RlbA6dE1ifgWrCz7
TmFlgh4TjXs6+aZCmuEbV2UE2JnZra4tXrTKbsViV9fRuOR3HbCxkDapQuRtsUqQznT0IYa1hx4j
3z1avOhW4ji6AA9ItmPDHm4DmcreSzoqtQm8Ir2IDFWqX8/exUq66QrrQHIwbdFfEMPo64TU7De3
KVhHMABn6Cnm5yZy6gBhvR09WUABPyyx1AdoTcGWqG/16FbNtEvJG92lCNcPfmrx25p1md9EcaHv
5WBN9zNTUAR+NXRdePf+jiM1RDVzJLJBHX14epecud8Rj8l47pGp3FleUN6lDBleWsPTbPPM+oe2
mxhn91STJb9I49GfB3E7dsJ9IfXEIHip0dlVr7MOFpqfXUEP4pFe+RoVw9ZdbUGmdmvAH0YzqZeU
FAEeinwgW475WWhbM7N/J2C1neXJ3uwSzbwz7uhIVYb1vBPxo+OX0T5JJP4D6qv5VEPvuMQlAVxz
6bkHGfTAYxkJ7WIQWadMDcFrZSh/33ZieGgBRbMoIiq+6bX/mmqrPGBoSfa9oJsXXjfcjB5Gqdkn
d96xRPkmmNm+BZJkPVo0bFCTkSLnyQVPu9eHK+nf20KUFCeVj21oUTU7W7fIk3NOn3OmxW53epC4
pharvGvaCa9Znn5jMCy3XtWdUeOuUrR+zwr8rbEXAF3z4D/EcO7iklQGmfjxE3yK8UfVmawZlT0d
erVuZP1BYDrxZmwEKM0TFtXK0RoNk71SYpTdXBofRsKyGvnUUMdEbyl+keQ2Hd0shTlN6ebYr4q5
pDukxrVVj8cylliccWZMhlJHjuqQWMhqW2Zle0RZqsIe3srWwkqGjUH1q9nJdO3inNs9+Em+E/yB
GQyMrUhIl84hmp/IW1/fC6LZUCGo3CRKvZlI/o7jgAB2K7WNGmMxXf2oVtHcAAUnFK12yXIqxwfb
UC44kLgOjpPVzLALJS67eQowmj34CwPoohy6O7PjPmvYmzHcFs1HKwGHTA0fD2mf7lMJ+5gntnGu
k66xmb9Hzc7qqvnK0oJh+7IckYQsh4o1Ckbd6HvOpVWUgEMmvzvqkiW6rJCs1t2md1DguZjLAgvT
4OQY9gMbWyCDWW0+MrxkW6EMhpyJX839hgn0YG/cBLeEV03QPAbiPFdtwc8pUt4Zu4t64ffRXnyJ
68tGRc81M9TfSfgYj1I0YBOQEb+z3Wf1l1R3Uc76vShmUP1jGT3yBZR8pmK1jeVKvksx96HTtcmN
FbNp4b+I4aSbrENjLvUdY2vzwkStxD1gjuHItJNcEWNkV6gFWx7h9QiM8VkHP0vDxhZhGMFeE2lB
dKKtvE0aS52GcM4JYfGwtZwqpzIeUKTEaZhMDiuFaRpMIrwqjx0MKOsH6ou0ui7QfGKwKQsmhRwD
2+RkoswjBYq4Tn0bTJM647cr7qPeTn+UnDhMXh2wKMWEcavDGfVsl2UWZpS7kHSxPCGgLvaTQFzH
f/btYxkl6d7OBKrUOjUxlZkAuXAvHHEegZ32dfMAkefWwLtaIW3kBbsT+MYags9IAIs55Zue0mLb
QfHeqk5P33U6TT+Z833vUle9+cX47jWQSPFTxPUtlNBVUTOgj/DTdEucqr74tiooVtGgLI5QuzpC
Vux3LIt0wfXUmYN9tlv5JBaNSARJIqZJY80BrLpd0vnWBsdMTKPoVvuEmK8r5PL6tke0eIhqbTz2
edmj97K8rSMqj9CuOfoOeNLe8xuNsdcsNl/DUD6lqFyvU1y5dyZwPzbRY783WJCzRSu8xxhywwX7
I2z8TCzZznV68NRQXePzbPirLr1nJzP57YeVjRhTjCa6A+IL1EbXsKs4ojZIY1xCeYCPGEVkI7gw
4h2e0yHdagmeJUnTCf0mdimizEej3opU+2ESmcme4VAELgXVJK7DGjq9VGNoqck5lpNnPcLmSUJm
CXhYDREdXWAOLL619dKrmGhIAXc/90Z9SouovvN1MVubwVuw4CHBSF/dVPXHVufNg4lIazeJlG1F
Wvkb5iHOCxcdeb0eCXk7YB4idLTMz6lVSnjnbFGHuKl+yiqX117nFs9jXpFdB3szbBEdIoFhYhG0
s7NfzYynamwskLVRwFUzY2mgGrB3KXTGS2f2967ZkarYgBTxlyyUhfpiRPWOhJvkZpyNr9VI64/6
1322wY1vPLkmbNQ0LY3nd6CTzencuMkKMagIVpycVIcD9tetN5SofXkwGKqXPeFgwG69J5LiXMYC
fcQ7mPwN5IPo/Etn+W8m4MJZgQa/Ag9+79NoIn+V+xGHuWTAt5LjBDZ2Y6xraGMMfJaLmKwFeOKV
tWQ8t4GYniRhu6+zHJtbkSzxlZxF+zVCBRg6IwU+234RH5Jhbp4mO1j2pmvAFvNzYiqJMLmrRiUS
frQpGy2Hb8DcBg6lhEEM3avjBQbpdlBatpHoK9LTfCd0qvxKQoD5RjgK/iVjqpH8Fd2xVN4LuBvr
ZPSNG0bolV7FMPgI3NweBlxQ71j48aPNXffGKXIEN66t3F3ZyuWkEt9/o1KPD+66DbMy/V6P7t3Q
D4+oHFmh5lW+CwIx79wlme/HobowgFku6Qh1CDk44ULgjwOyOceEULJiUjjwVkfgd9EDa8JzDuFz
O5cUheFoWPUX4CsFO41UomBWiTdesPTMp6Sl2t2QiOXd13U33nagxY09IWbR9Zzk4oc7mOn3BmrY
rnEMP9R9Ih7qJZ+DDf7GzRKx1AjrefSu0AgYRxe72a4jKbRlHzqkCzsgc/oxdtNrlxC8VQ1uundU
CQF9aos9yyHGY40LEwZ693WkXUlAZql6AgZcZouI6zFIkb50uxB+ukfRKM5EY3p32KEjEryYnz7w
Qw9OUzDpk6id8bSYVNgk3XY/Cc6jFCy1npjiaUTOQPyxisoWDcFWYo5Fe0CdPX6W3MVn+S3WSpxb
mKI8a/C58kGKvUkvD+tWs1a310re/izq5Vrfo9Gl0jczbE7DWv9rQ/aXYO0JcKkF8F7pE4ZiFKBx
Y0PedpmGdlcH3VO5Nhjqs9fwqMw4jNYWxP7sRoa1MSnXFqX87FaitXHRCvtkycp9y2I3WCUqrRHG
iQE36LPlkZ/tj+UrUIZ9609bqTzrPGHYCLGBMWRXOQ9ukDO+jJEWvzeVKVDgER0jCFq+cyaVHWYQ
ycxz134Lwf1joxzoh0bzYIg0PTYGH5htNPVDyZqPcA0qZZQPE6mmlMJ4flgq4f0C6UOEgrfBIov6
CnsD2wq+BzQfprV6zNztIG37LoDq/NLyHczIU2kZ87V5hIxAH5lnCKiSvGdSQJPpVCuQ77Pz9D67
0GBtSBvLzg/t2qQOa7s6ECRzaelgcR9DA16b2nJtb/kj10aXlletzW+xtsHe2hDLtTV2jVjCjGy/
guDLP7y1gR7WVnpZm+pqba8ZoNNpL2vTnaztd7A24vNnT16s7Xm5Nurj2rL3a/M+rW18/9nRq7W5
r9Y2f1kb/oxDuoywGPRkNJTwo9bJQL4OCYZ1XOCugwPRD8Hur09Ua9VH//lApTZEUi5gsP4GqglU
F8/ONMsDApXH5dV+bd+N1/ZB33T3xD1VtzB6//oVnT8uMf111IYcN4AF4gT88v3fXlEzLyg9MBuH
0ZPRR1ED7N7i65hv8ildBFjOurlSc9sT6hvnyYflLj2WroiEQsslAB5TTLSvMj2TloazdiJ5EYfS
VtSNbx4WBslfOpYDT4BPOLm9qmZZDhNKoj/OZ4UQqG4vdqlQiVXLdOJi5ufGdGDj+fJhAPlxGKmm
6J3LbF84VrufO7yWsnaXN09nKJV1VJzG1pUsOgrjuUw1QKq+yu+TcoyvxAo4vxqp7x6TwFveHQ1I
fEcwkN5lU6penNhef46lKL78zYcqfv8aHQF5zPI8pqio/D9l8r9kdnVQcen11sTPXjrnKk9PvYgk
+3eW8Mjn+awC270znd6wNtZqBXNRnR5G4VtfO5kgA1e1H3+fx0Gfy8KZrwxpdXf4CIJX6rv6xSYI
eEirLgR6umAstPWDKnuIl6S85/w0MxsbpT/nR9Zb4G4jYv/8nRcb/rmTcYWQeuavsgMxUiCTDvWu
kA60lA4e6rhlvY/yz6sp+7ymls8ry/m8vpL1JgvWO+3zA/sfgw79f2g6sT0G2L88Nn9iCX350fX/
tfkBTqj4dVL/z3/vn5YT8x8YZiXIKp8f6K+AZ+n+A4gQ5hI3sD4Rz/xu/+U6WSFDJrJubBgBh4jN
P/rXnN76h+uYFugfxpYSEJH4j+b0vz3ljPt5SDweVa5ZHCzsA36t/nwHO3shPXlQyZDvW27VzRgT
LA7WRhIcOp9++Xj+Tbn5p8OR13MsiyrU5xOBk/Sb3iITZI5DtvZJDO2Q6Yg8+4EJpb0fLYYN0zxq
XALMFzmtA7PbkBskgw1Dv+FlUVGx1XiznvORuKjd3/xdv28r1r9LQGxiT8F2xPXX0+CXXzuTduiC
7AkOjAfeeqr4nUVdscF9zx3hnBnr1gR722SkpcW0S+ZrF6TR39Ti6zH968Wx/g225QrTFJ4Fx+q3
vyGXrRdN2SAPTTqRK51T7LOZrp/++q2u9fzvr8JbdaVvB37ADuiP79TnQ84S9KQH1K9HN9dfpOOn
R53SJ7bIlf/mg/0378llD2TzjbvC4UH646spoSxzymRwCNjF7yc5FRuKFPE3r7Lukn57T2TMACpn
csEzLH57qgQzE4ZJEeVFAhWjpavcVMXwMJbpt//4w+Ni9yySJnGCsXT749txjYVPdH18oxRLSWlk
P9GrYYck6srO8r+51//NNwVOzAYbZjsuGqXfXmwanBrgieMfaptQcRY/LORHke/KxQNHkHnHv35v
Yv0ufv8UBQQ12+FEALr+23eVMuNelB+TOm3AlFQj8Wjaj8yHwko8LPxJvmvAa+1R4tMz19mamV5G
H94qldTV1D5kuVQHuyrZo+cYl9CJtM3Ws2Wxc+kr7hhzlc1OJlVAUEtWpVtGPrLfqGaBN1oDZtw2
/WLtBjcDUGpm3r0qS3X/1+/xd5MdfSRQ7sATgTA5i//0PGqCmTRZ4f4hrhJxylxDnubRJUdhdJ+N
uSLtI+pOlYp/+nbShI7IxRNQFvk3H/W/e14DTm5m3KAk7XUL++tpw07LqeCvBIeCfcyJKcBNZXoB
Y9bE2/71G/7zKwVQ9H0bc6NE6vb7d8rAGGUmutaDH6Xldhrgv6i6fOsSU4R//Uo8mX9+YNeQADIL
bIjz/v/9578com1p2czIO7LnglGETIfS1QM93Qk0Lw+ewYMg2v4pBggUZkNPnjVCDZKF4K9Dx6oR
mAddA1vcx+W/QSrpPcKBcd/dsZVHDXGo2NrkrzwGXe9cevQTV3kCe6hSxO+BQCJ6fl/w5W/bgZRF
s/SHk0mY5LFh0LgPVDUfjLZrd0q1IrTxD+AaGMzCwkxZu9FB94KAspL+ewC1fVu5FjYzkkg8prCT
2I2YN24js8zeyVoqT84YYEQoguU4By7N2Nj6p7ztWTXYi3MLRTjF/uh0zDbMArIKY2AJbeLayma6
wd4Oi6hB8MlIa9uRP4PHcGiemCk2zDGqBseNiQiIEQHOnLmlpalX+lM1zkzLK3JOzD57NMymvZUm
K2BMco2GmzEtzJO03b420xhdK3xIL0mwpIeRucc3+FFTzVrA/pob2ZeqEKhVcad5SH/VLdwaAgrK
ZNeaKTYyo8SBahF3pcZYPMAYYSRuJ568Mh27u12gzGJPbL1D16r8wNtptnIMsg3Ac0SvSz0U0JtT
psycUvMlQNM1wDodygEUIJpGssfa9FC0evxBycRnggoSW2nVsEEerJu2j8g6cG0xnNra6b4wwR9f
kG5CWEfDhOgHgHLwQtnG5N2FxvAsi9I5DWjPEMK3xlZ5roPExSvDujUj1lMgL1gzLlz99H7QfjdZ
4dTDLh9lehRxoPaV5PsW3cjHNxodqHbgA2RV4bHfmKOVhk7jul+TRsxX9D/OVztpWV/T+Se3IyQg
dyNH0KQbOZhggjk8GDQrZ2aUnpc6eNGd2xcvtg2WfWSk8a11V+GSH7k88QGZCo90RHm3KxPdhAgG
onPZqS3jZP/nghiIXAVahHjHzjvKDuwK8Mtk5FJeRF6258XrvZrGW8/8hEAyJ9HkHQRLFgFVTJQf
SF7HACMreTzBip1QkLIZTebDkU39dA1GJ043mRMHiH4NxApmjqdPVtFNPkzx0bVZFW6myuLvTbTC
G8AgxyNyWHgJUygjXS5Cq/0wWu05Cdw12aYqH1G04nRK5/3U+MkTDdYUgvno9x1/G0rBOt4HLRmz
0jVLvt+JUDBv4vkoFnAYQCcHj3VpbKEDxe5nz+2P2nLbMB2QIShSq96CKKCHH2O7PeFURHFlZKzo
gLJDH1tcfTCge+/agqSpHHbFNTovhiDTnJDWhTkrQzu1sbu0fMcdlt1kFRYAaStWQTZdLjMQDXMx
I/mj4Ct+jHzbPGapUYR6JmCE6SMaxyxR30a37O9F0CEK0Ab27G6QYQu2YQ+aG9IeIQ/TSIE4LZZz
Rdx7FuJi1SznMhyQzZnUAXnV1bIFbE7C2I+uiyUYwug5nkfnqlVWfGuAr7hi7xO8p9Kzn8Xi9mER
I6ljAKwGqnJFICpKmmNCwxhObspPQRoE1sNh2XkNxTG0u+QqbpAmS9WdZW3mW269eaOHYSBtc6mu
cUcRmNE4etnVoIZg+ymCidEcrOZaZr7wR4INEKgbIBpMMjN/eURG1l2TYpd+TCknrmkIQlMj1tAt
W/y7bqw1EBgcvE1sxmQG4nzxWmcJJzUbu2r2l+s4yF6Z2EFb6RAdkqhFAhxO8qJ8QGJBziGyv5Nm
vbeJ8mwXL1hsi4FY3dr29A8CE3DzkFOFj1YOhvU64aC4xmh4rSPyomSTxdtJm/NWOLN1KXob06cn
k2KvCh9rW1Hrfe3gP+wQtW8yCyfsotT4EHXA2/bKQbpQ9IsgGJa1nYeEV/vuE0XSchhaBq5uzU/Z
s8yDZXluiOTYunaq/r5JWbZkFaEgltGwgxUoK6Pq3aprtU1457YitDhmuYHMCHM5sZQJ+thwwnq3
tQdt37R6iB4qMypDBqrzFXzGa6dmu4/xZtlMtjfttR7atyjAweSjXdyyCL7z3FbuM/AfGt+V9l4r
P2GDW8TzHsYFQl1pxhF5mZUBgavGlvpMXTbdiyq1j4VH9otiNreFPxLd4Ismgrk1gseE9/sVmtmo
dvlUKD4Nr8RW1i1tBo6jYIm78zEnmow/2ICHXs0nQnT54t+xz2JlEXN4fRkT1X2QZQryovUDNZww
bE1y71Usl/tu+TmLlISNFBKN9od3gkzrE/9zqB/k1KEHgLVpuUGLcaJ44OzfMWS0bvgRtoclI59F
4EP/Kky7PUMbiGGEMKq2ZoKscsaC+zQF1Gox/gLaoa5ItsA7XOA/AYSziwPj2S50s7W55O88A+pN
t0RZvs1BnsA29zRPLqyD7eI77aPwEGalXXtEdWrgV13MY49p8DzNHYusdhhOA9kcnPJDRXYJDOnD
2ApUbnUBBxLaThgptuQsFovL3JfibmiKdFex2f1aS6cLW4eVhTFn5BBxWkzEv//kQsJ/XeHPXDxz
fIZOY2E1nVz9QxULKtzarMpdxuIcczUOqKJw571hyJp8k7o86bT7WQtRnycdWY9Iz9q9Mue7VI35
eV6Y/daBPQ2EVxvjy5jn8U93yVWY8N3cskE3T77bRnujCtTDQnYZzLfou8K3d2NVRrwvUihcmCTw
8hLDg+sPpdKBOPh5OyD4DfvSvCdUXG47OxGsxcZpv0SuA+DLiatzhs4ELJxA8maj/ZhEtuzrKc2v
cE+TwdCzKdfbKWc9QCpg/Q2UZXEVVSLHB9LziQReVhyiKrBOTlKjJku8q9wZXmc11ddTPd1MDDq/
g8wbSI+wG4QgBfkBUtwMNhE5QdR173aHVKQ02/GEWeuQ18ZLFc15vhmWJg7bKqrONcnPYdIAJ4gH
D09iN/U3gU+KgckleJya+FyRAfHsNNhQqkSKXRuM6ntb6YWbm6JgI9I63dZDrHeN4GzOkSnf+E0V
31sjjKzOxIEkS0EcK1DNescgY7ybEvWlWQM0agOghsC9W2Jrhdg47hAHNKTGTDtW1xJoXb0wPO3H
bSHwOS+Nfy3Ql/CaaXpPYe+yGs2i3bxEOOIqW5IaO1UvXWak+8avwjEnDMtLj4O2+hN0JqB1CVwO
siTjUKJX5+5jNUvi7nIojGozBP6+q11/P3sMhDdNY8hzUCMxEHbqkwb9hOSr3LV4Lna0UITNYaSi
lEeKHxPx4iUZyZNjkCJSh3KgSvdb37rRq89getOgjTA1OqQlW459g0OmR0NBUt+5N4YXmYnxLhnh
aY3qa9Djk7IT45tM6xdh59escx+hRBKNWFq3xeT/iPMfSsvx0IIxAOgfP/Uemcll27BY9S+pa10b
gtwGMqa7S6GMi+IJujhmgKxO2/JbPfnZPhYlCTbxtpLNeLC9tvyy2N8ZxRV7idxma+msxAvQFOwm
ZoKWyy59YiNOjnZXPatFvnhtxv+173kTvU21e0ms4qsj3P6qI5eC3HqV7asyeU5EwJqhfEI9SW58
ixoJB5SLn9v2WDWaAjMImgM2wGQWbsD7avTuuKAdl/lF0ooTCoF2r73iIeNXdSqy5IOxw8kjt92Q
LSZdnLd9O7K8y5Lo6FlivAV27d7Ojd/9AE8dMDRzT1AJyzOa+TWjQ5Puq6OPHHTeFpa689S3DmJS
mnx+slBmvyWL1ezLDupxVLp7FZjFec4L3PqRTtZSysOab6N7SNDQ77qpynbSwgxDmNe1cNS07aqJ
WqWJ8OmU2jkYMS1Cp9Ocrt6ghuENZ2i+OArQ1ErAlbul5vumb6032vAfkf3cOrZOcfGqt5H0rK6n
zq88qs8yF8PGjTjzm5iC3g4ekERc21n0pZ8xyHt4oauJ7z02GnOT+YU6JcnScOlXz2ZPwppi3yqm
rHnNSNXcEVPZgDX98A3ni1eYCKgUd/bcdHxpCuiZsAdIimP5MjEMhXHjFkelY+vogMQimpscsKYl
LDgdB2i1TsJ2iYHI2a/YYc4+4bNtCecy9tVbBcvqwHqBd0qYHRlM461rtahfSrsOF7sYfvpkK92m
9UR1R0jlfjbNem8EUDdm7NwVPcseR4U86yqiOIJH5wp1RxQqqK5Gtq8J3DLUIdFwYMTy2KKh2kdN
C70kvpGUh7ddawzhxNkREjfuXdescCj6J/rm1FLtSlCoQDRO+d70aI7lmlyFwDNkX0hKeQrWjuRq
Eu+0Nz0JWGsbvwK6rpU293Ht198m3tTZV36x8ya+UmENzVEgJj5w35o32MAIG0e6d0ZZVs3oJdge
iWtzblFbdUN2nQP+eunwZLxIGDjRZBGnwGr0kBS2+QU3SH+sUFA/Ns2oPgCfxne9kt41DDeQ1LZt
HGDGjoephLWpi6CDa9mVocMYh0iMBL1cm2JPxADJe+yszn82a0QtQ9zbexNOJXgKZnwgY7tyzZpv
hlNXFuZmMouvc0upGDPx+hbFSRWmrQUqWFEK9bTIhyADOjPNOJnyzByOEF9cNBKed25UP38d0LfR
MHlhwc93jwxqOK3heqHOXL1TZTyxR3czqsW8Oft+Mu6qzrtPGEThsOIbX+YgOIrRtfYTs5QcD/lA
/FyXXrMtVqeM2BnSyKd9wA+dXqpUVzVYtDBLFXWla5fXgR4ocPFCo1aw9G5couTULKuJYxLeoSx6
8rLKfA4H8Lks98R4jPL/Q92Z7caNZdv2VxL1fCmw2eyAUwe4JKNRqAuHer0QsiWx73t+/R2U82RJ
stOuRBYufPRQlYYzFQxyczdrzTnmYO0Ip0W/2hWVB7dj3HMAuxwaVSMXPkZaNLZPo60Nd0oSPOTm
nJ5VY0gESjQ/cRyvD/ZQoYsIaqlzI6lr1kpS9yeS3Fyrqo7TFDwSWeXHoYH2mKijwmnIi3Zrn5Kb
OoKK5kHVIZZTidpQXsPLzjqZWlAmKVQdI1JfrZzhUxQlDKbCD5A7qeK2C8BFMgTL2yXZGyXzQrUk
5xrgD2Brd4qN/BO1ivy6lAYbt2SIYSYJtUMEEn+PLE1bhdiYSPGdo3qfqPZnesT2gXqc4Zbg8J1M
lCTP+3PstrapUWDqzNOkyWuIOlWyMuwxOQb8Skm08o1Vhe5sgwIuBy6JtlIzlWg3hRMJmTpdQMdS
igGy9fwwNELeBgRM3oUFMs00jmsqHMZncyxiNgf25NIgCFZNppUXqQaOICEF6tToOWnBEI6PGX6f
QJKVilPnQbXFHIrhqM/j1YyH6UTtyUNxpISK6kk6doCnRKf1n6ZYFk89UejqTkJCsukHUwOIYMzm
nZKPMr76wUTSVXdh9FIwyEw8llOMsDloJ/DVSKvcVEZMi1psbAXKqBo2saF3K2kaOOnN7Xwlq4HY
lH3K6jglwqNrcomVgjnTrgkW9kHfxZYyetY4Bis5x5OXNECR/CQ/SVqQxZlS71JTgDdKWDt4V9P5
LK8zexUjqOZbmHPTOWFeEUhppsUNH1RfZ2le3CXL3KmA0SryNlnHWEpPAQwoayItYP6SLpbfYx7T
dq2eqatZIMX2RFH5W0Lo++uhmubLxO+rqyghc1MGVIrNjkgpOZfgYEoxVfYmLbF5lTYgzdaMOiCx
PnZyUDXMiZnM+ktgAcrMGRWrG5iDtIrMooLKEUqxm7Ydvl8TEAdYBQQ6CZRMMC9dRyChUTXpGiBs
+WgktkrbeDCTK5P557zLrO6ZWAkpc3wOk5uOW22dsn6HyTpS64OvN8xeyYGGNW52HI3EY1C8wFoX
nA16txeBontUcnoXIzpxz710TsEdKiv02aZfWFH0EdaSPsCrSUpUySALFzq/26HRR4QFz2JMFsI0
0PUzHajuYrO7MTGjh9g9NDLPstJ4NDhKbe3eUl3cG+1qgGJLr6ztDhwpfd7/DHdKKBkrzP1cFfFo
iAvY3ejYayRyNxfK9dPcqIDWx352inm46aYQeV87bKjUYuizfHnfqLTHNRuJSN4t5syI6I+8zVMX
iVS106zogIavWxV9v/OFPEouowWwOlXhFVWd7sxsYvXzWJgkAKJthiGkyZOJrlruIdHJZXsizLrb
mKaO8o7AK+vJiHGwdpNa3lL+KD/lVtMegsFq7wjujS+485yLKd2tlb42L9jLYUSuAov4iQLqXK8+
tyGAbntWxgt9JkPQke3U/0wNlh0+9fLyJNeQ8jmCOU8m6hwW4ZrsAYmgqaBCIpQUdtu+kGmm4EFS
/Fn2yD2g7ZjpecicqZWgRIoEFEhISr3l6FPHMZhMxXo+bu0JKyhmZFqqWFuduTCzs1ZP4msUlf5K
Ca3qtAmMAcfs0nHxI+lhInwCvgWki7Dgt3dDc9CHUmyyUpEvKIuY/OoGZGnQUNHTTXOkiM5e1iZb
oQJEA716lYUkAtLpAc9VkxFXiv7CT1MPK25DtkO84gTkuyUoqW6ur/N2tK/h7eYsu8EEJjjIcW+a
ynyX5ePt3IBvEG2irsMeU9WSJmyVbeAWUxTtgoKaEA2d4yCNpJtmQJtvQ2Jayu6JG4VzRCbY6GVZ
KNZtwakL/EcMTM/mMNsLicJLWGvH7GCJE4ggGCBMbFkVEbpaWMD0gqQDt7ba2BHNQJIHnpduduiq
SOdFo03FWpYQtzhUNMJLzdT0EzZ9xTGRdGgworC8NPopK+CfGgqw5ayhS03Bw/Ah3KvtvtFyoTCB
YWqVg7JCbB9wiKw5rRSe5ot6J2mqjO1WXoiEFr6RKqCsKQ+mccf3mtfQ9xEtVx1hihpKX205saR7
Xw4wBREqoT2hwGTTK5WS7ZV2DtOPymJ5TfYPk2XSLyXkRPO1F2EkWNgHy5I2MT0EljfqJbc6frM7
3DHmKR2p4ixFInCg8WkeG6qmXct6EJSeoUsh8jVJDAip0sa+7yerYCODX/dYZoWTGdtyRDnNoGjX
6bD8nbgHduBJGMyfRS60a/DiMlk3cfmSmDnc3NZusou8klVaDFVMTkFli+QJW4lMnN00bmU6I5cR
4RwBWB2pYd0pjIfJFOaFXsbp59ScfSqmQXDRjYW4I0ig53TcBdljDB1hV5LEiL9ssClDpBIHJnfM
avjDZaFf2gW8dbfIhPLYlAEQK2IosG1bobFPZISs6BSbYE/06WL4ktYqnOMbubHblyJXixuaSP5t
FmTFvcS7v5Ia7nzM7cSExk5yO+XRfOtPRXgHc31hDcPsvldryXikCiweUkBn+ITI7vQ1hKKiYQs/
a0CxcobIrgSLwpJSxCvSCccX8lRQ+lG3cXNZIC5vLJG5Ew6bG0nPwmNtlKezehjs+1hRE1c2YTfJ
kxXtDMrMEGwRxiJ5rP3HmSILL0CRVvdW3vo7zNAGm+qZhAYYRKynTdaE66DXr1i88uc+74q9QSDS
hmaDhKtBr4MV27yYwE3pIaLcUzj04UHsMs17vRKkG9Sk8Tk6DuJUmPbRSBZltqddhs1hDKh36RGx
k06uZuUlwi8gyDhmLG6OThFSqE18prZDeiyGyToe/bDdRaIonwhaoDFYKK1WueieUijDVpReYWmT
ZQ+lfHHGhGGVHik0xl4l7KTYcEweVbdXK07RRabHC/wkTdhnY4f9glNo+ETBetjLsl9d6r1ZPOtV
l57l0PN3c+eDUBK6dea3ZQk5y5SAQym99qJ3bfGcqMkAyawvOtTdvnUX1zWYhVQz4bNZUQWobhqE
gCuZQ+FkqNpeSIP0qtFxf+LD0sHnCb+RD1LdipvAzLKnPICuYlMVzRt2JP0Ep9kx0wBMkKbDWJy7
YXrMGjtEkU/ttGM/RXyCSel93jYtZT3d7ptszTGAm9xhPiJo2yhneReHGEJBhyky/YbRj86nsdUL
T6fryhwR5NZaA3Z4EsasX8Rw6rhs54qhA6YlS5EOs9hAkKcRXVr4LftKgI1hSKjncmdSsDNbQi50
wwweu7oEGBfUzZ1QpjL2MujGx/AJi0PIg7LWwmrEdUODcILgUJlPbI1E79hRNn2JA3jZbpqWZrwt
TWhXLh3jaVozmuNmQ7TgUhnEGGm4AECNh66wyaot2fKfBMAXQekvK5ttDJtgXoKOpFyxd4E5fa5r
kinoHA+jw9Ga94Q9Et+AZoKiGi4+SOIjqazRxzHvg3ROn+pg8ClZtmSwGhNSEUU5JbOdhL/aErWx
0YQhiFakgq06GERoeGj8xZXS9n3nAOdQ8lUZLPlLnWIWOHJCHHTrBuqb3wg8ySLSVTcNWjxwpixH
qyz1qy81gj5WXRiaTk/rZjrBLZm68tAad0RksnzEAYe3rPazZFunifYUp618MtUi54A7T8pm6rN8
gyzRcNO4ndZGShOIIZkfD0FHo8ykmbY3bMqZ9CA7VpPGb77McQkqtFSl+jY2QZ8OwPHIhwHw2Cv2
iS4JexejttoPswaqgq/d7Ka6qc+mqZM8erWc8SdiwQ1ZciS6fRvONgVkCq0pXyoLYItjp3G0Dy39
IqXvu1GDKkD6Df7RVcke2WJNCfs1fftwnTfiEVfgdJCMWHyRDEo7CnalSVWKp07X4mvNDFN5Ow+F
TfFXVHc2q/npwpc5T8tCOgQEQ/9EiLEILd5LXmxZoIJi4VYFAOZFPvFGsQAxzyzLsLKWMz3NU07M
e9Mowou0LSPWbbaqSNWl+FruYS19ZSD8eaDl9+QSSFDogi5KYcX6oO9ZPM6EkI7WZjJgh9lGWW/7
uqGLINO21wZStn3OZDTG5bh/GmaWlLrrsnXZJzhjeLJJ2eiQHzOKnSV2qDSnwZSPhrYe2MbTb1aV
PbkmGmWZzCBhiBV13taGKHaDiOczQprANMMLG3RqgxpKrdTthoTE+oEdMGs9sAkIO+omGxPJiVAH
eQagWKer4TrKg3414vlz9GFS9lVkfInzQrhYjDDpSEz4cUFgA664RSo1Wj+DVKsfNdbkFoIUsIWm
aSrVQfODiC1jKHH7BLt1NJScG+S9QHJdkKk5kd2EZGmY0GZoNn13ZepIcmu6aW2nK3YBi8ZgUD2f
tGnTzcKeLO8uM1axrfXHgI9CtxglwvwAF1ppwgZYi+NtDob0J8KcRUj6ceiRZKoTCMn/os9ZlHNv
hl7EWlL2dm1v5LqEM5Pb/QzHcx7DEwyPB2XsDa9ncQaF24Q76IjdMx2vDqDeotaj4KYrhMaozSBT
9kC38WMxz7eyvSXE0oB+ouKV0T+KBANqeIZiEBdBUAFz6KgF9qns5/VPPkb5qFxfnqON0Hp5BZja
lQ/PsaRhLBq/tDe0PydIP6opbYeh7rxxTI3PKgd45siEWEfFzz2/641DxCZ09CiMJydoduyLdLIS
ZDO8LKWeZxet1smA+/1ZWolIvirbpLn58a1RPt4b5mtZgSj4is+g9vNBplkBCaIgwdjDD82kMKu5
7poyxUHAW0RycQy5sZOLQo6Ke1w9cL0yVXbDPg13EyhgDzHD9KTjXvn/rL/+X4tUMe1FVfrnOJXT
x6QJH5+G5+fyrUhb+frffRVpm+JIQXBt2KjWUEDyVv6BUlGPeNyygVxQRypNU+IPkbaiHKHeYwBr
JmrJdzAV6wgJr4K4G02QqbI42n9FpL2Ezb6ZK1BnY5VGni0vbgRLVuxlOnwzV3BG9TnD5jgcB3o5
WbOxSVfDDl8/MIsPnC9lLzGG3ImpZ/hW0HFgl29C35BPMZfdEf1935X1uVHP02YM+w6zUrtnI2a6
fIvIKzpO1FVJ16fW07vWajBekY4zsHW06dHxHqhUYAzyHEv2xUN88eZp7L+utm8hfO+Xwdcvh+ZU
4YWimEfT6cOXo6QdtvNEw3/MYg+ECWj+l7wu9zI88L/2SWJ5cQ06UtgUF6/Mh2znQKoVs8e679Fy
oLIBqT+XaNLTDioD78cfpX0zs8HZEUiFBTIr/k/9sLOYjAiL2EArKDf6L6Zf4RXO8qVXRd2Nlrbf
L159AzyiXBmlZ/Zd42Ij6B0TwjnbYFCvc1duRGTe829dERl5hrtyRklb3wXScEIW1iORI4LMBNBS
xWdc95NbaiGykbw6nURA8o8eDZw15V2mdc2xhpjR5fAwrjiuDx54nkejn++rKnrQKhNAbyLrP7nd
34r9WUFslMvgiXSUEOoyrN8MW1+nvTFplCYKywKDw1qcjaTGhS2HU39jF3dlZjxKbLlV7IMjmD1H
9NlTKoXPP34Yrx/0bpsHPxENusbUjfQdl+r7C6HQPwZZoFPsgt6D4qWawMuZd1bQALpR0i9phygh
Juk3TU/qbr4qQOL0fmxutJI9cWarn7SOvJ4RKIRebURgPs5x8JBNClHI+uEnF7ts+95e7OLCYBIS
CE2oPTKFvL9YUlotKWnHEPAMB2+9BUktD1eily/hc5yVbXRFn+Y4to3tjOAvquQbKaQ+3QnNgW8H
EC3mZM5ZqFVg2dAHCsHiDfgKf7J9/ebpcp0EwUOMErxKOjPd++vUg8okhdaUPLoOlyUKzfWQgX4g
A+uCQjT5nY1Cv5P9iTBa8C31/NBjcEROserIZfjxTftoYv5wLR+30jItkRS2iA9uCNEiHeDEVhxS
WB1hqRskdj/5uNc56cMzwmrAaKIfwyZJ/jCgSG1NrDk1bU9rZ5q/AdVXqyXsOhsYFeKSwoi6Bk9B
qENBoFiVmdHeCKdjIYcP5kS2YIxSdBVAnWDfl9/5ne4Gjb3O4uaKanFyoob0HjrfHte+Hn2yM7kD
No7qUptPrRYZUkzR1SmVnFBXsE+TWijUkLsTDBJQ7XNYGkJUS8pBsCacrqY50DRbtNbTqtCr2dEp
MzlqTWIhWIz9jx/E+8mcGhyDghMNzggFlwRb9PeDYkLm0hQtD2JG6DaLYB2X5/g/6Eic/fiDXj0d
7x8BaDHSr/Ds8EGa/mHZANleqbnPO63FJjXZ5BnNNsZyarouJo3OI5XqNh6HS1FRH++mgwZw2EfK
QeXdf6gR1OV6Q2Fihqa7nLbVq7at0RWlmx9f5zf+etN4f53LdvLNJCj7thmoJT1DOkenkzKsm8SM
XTnO7nwWaMfkaOmFJZBJfLz0F8b8rB7LybXK6i5YmPbEFUjnhmik1ThW2laj3XvG+RxFGIwJ8iws
fxNUhkAOjHChGyCWlFV7jhqzd0RJhmDZ9iNSkRJ9hM0HozCjPw37C2KjAHI7cArnlI9eGi/sJhfF
7djGj/6ibRrLYXqY9O6GaiTBMOwcXjJ6b+7oBxQxuyo4wcg4r5Mw/ckW+9tBxG5HF+x6WKY1VpD3
tyxpbbYbGmEqge6ftzTtdTRQkcZRslTXP348ryeMD8No2XNQuKcop3AUe/9ZIxH0XaMVJJPDftp1
3Xw7R6V2UtZTcBMOWG7SClhqPp01wUtgUiIuqHzg/WSBHVry7SnLGDwUvd4r9vSTi/t4RGTo4P55
tTWha6ZM8f7a0rhXMt2idRhn6HCCNZ2qk7m6/skd+LhT4VNohjCJmXyGAifr/afU6uKJNtJgFSt0
XUZz3JLak3gL6neOwsKbmu4wBGX5mFb6NS7hTzot+ljmuG8K2m8VCRvkPkXE5jTj3qr18DQF+0WX
yRQ/2VB870oN7Gj4JYWmKvaHyYW8BT9F7ux7llEwq0TZmmgQigxQkQIZp4URmoADfNDF7U8m/I91
IuyK7GIwfJk6q7L+cbLpraydC6T0XlaaN/5gMsXUbgZpQsvVQz+he8iqn3yk8r3PRLSFyphsKCa4
D8/FzkiuAXJoe3blb9AQkrIeleOupJvkIWs9LbLuS5j011UoHuPIeFRn8Bq+9Lmto8ANpaI4J5L3
JTa1YwW2SxRf/XjciG/2KZbKZhq5AZMwlYLX638zsY0SXAZZbSWvQQsWxWifdX/tx7wu8xAadJdn
wiAYRMOovsR6uOsAEDbIHtat4d/X1VyCWxQHtNAvcRiusxFJUV9U6Bei/WAkmzIEjKZDPaRm88Vg
vV2ZXQC8QrKPC/56Rru+ixMNz/PYkKYDhjHRm+cpk6+6SdwrsHYa/Fx9Te0y8IdVv4ixf3wHvkFc
mpZqcGwx2eTy7sCAff/m5FHUctoITa/pzSs10z/NiHIx6kioJ8fUTe2WWDI9PKMgi+KazmAK5cCp
J+Jx2qA5tPVwgHjGYkBh040S4Y4qqb2tSUkHrrRZGSAV7IaUK60+DZqWuPaJyZuceKrl+CDMLDlF
XjB4ke8/kiySQ6C1LnvNvlfU6EwJNKTREMtiVoMYTdQgGzVdyfmJ+n+JGac6r7vI67lQfHwXaTqe
jnF8mqSJTuoEmY9t64GIIk0iHzZti3ZMAv/AGWQ12mAqCYuc1yLXVGTu1aqQZIWiIOCJNhs92MPj
OsT/pAFuJEZU2al6+WWog4sivTNnm8yb5588Cu70u1ncog7IId3kaCdr4uPM0BmIeSGwsx9TMfts
dcBjxXZh+Ra/b/3+0zb3zXNx/pg9N//1ztb+3+//2Hz9c/BcLM7yd39Y5W3UTp+QekyH56ZL2/9h
sS7/5r/7l789v/6Wq6l8/uc/Hp+IqPKihtf/S/uuEEJ5w2QBfHPHvzG6e49P9eNvAGl/O38MHuvf
to/9cxp9/7f8XlHRcLCTm6hgVlrqHxrTG26W9p//MNWjr6dvjTXe4gDBa/M/tnf5aLG7UnHk0Ky/
HpqbomvDf/5DxUW/PGI8YVgZkfkrf6Wg8nGDQWSjwaRlY9VVKAN8dNbGcauOrCX+aihj9uLjhl7P
Ggg+5gfxk/2f8vFoYsi6wai0+EDgDtyK95NEAM+hKMlWWul5se7N/jAhhmQPuM4LfT3b1X3Gwbsd
bm1QX+Z8EWQz1ULtLgV3rUbjyZiWOCjU7Zun952ay7fV5+Wq6HlQ6+IfOHG+vyq/jGisZZW/KsMJ
jkd1DJ63dQfVXCtBvZop9phS5hq1sbaS3LGD3psgohIwUG6ALAm1/PTjC6Lk++EV5j5ZqmZRCzd4
JvqCSH67T85CExED1pUVbfUQMqQ4DnJdHLDQ+hegX2Wn1CV0J2nf4XM05l1UkObTzjoxO0kvjucw
f5DQTYGYU9ITrbP8EyGiY4Tw63Lsahbq4cEcv6RMhMxsjlHkZ9iMo2RwRgvSRq47KuIP25BWWoPe
GY8bqXduVcxeFepQZfQzmWKOXYLzR7aMifDMTro1/ZmdIR0GtTjMfuYhg/NE1bu6Na1IAvIWLSbM
n11g+JuuKk4bQyXmPme7dDdl0jEsJ3fuP0v5iQHb2xGDtisnJ1XFNrFv+q6/7TsqyjUNALcczWPR
svXojq0JQ0BfbLS69bIG/mobfCJqLDLj89TS3VmeXRik6Aj8HaQxL6E1bfuYUfThMuvJVNfM9Qhr
zUgCco6ydl3FFn4SQozpBXigIlyJGL9O1Gc9gKtGexnNwbMEn4nmoSz6tVahF9Jv2Rrs4ozSN/oH
JdWdjgAiJerXAT7dmL4kkD03SBtuDx9DunFZDYei1j/xPJ1Y0rZdayCcG3rPJPFXRUyrVJ9D8wJC
5ynUPxpOljtAfqR1wJaHN7O3VhyaXCm6TIZiK9XnyNzXhh0+9rHPefcz0M2HpvmS170T4IpNAvui
wX9iL1YYQiWU3s0scx3hPAt8AKCyrZeX5J490JGXzqaKJ2d2yYVEvMRBBXzagmzqHLX1SYDKRPEF
zyH1qbLkpmV9GS/WyPSZHUb4SZ2D4tHGJAHwHtkenjg4igqyW5rel6bSqdeIb/rjhhP6PRqkYmFb
BORWLC11tOfBTVYmuQvH0Yfum89kfCZglB1f77JLi2S4tYK8xGvrGUFGPoz4OMrSGB/pSadbzvp0
48aqD87CvoxOtU670Okhfqrn3jy0alZ9PZL8p5e/s+hLXTTFS/t+wXtdxL4UCDIihAb//b9okUR9
ypphsR3nkKiyOi2bvT/vOXx/vfzt/7KAeo/ZY/66lHpR93YF/e5H/GsxXfoIrFY0nkwu44/FVD5i
602NdVnBZeqtTJv/Wkypi9CE4C+47KUH8QdDhtVUUJsGmkGNml9p/ZXVVNGWo8jb7ZduWRpdPEVT
DGwudAzfz91Eaw8x+VEC6PN1h5LMvlLWwRpYVx0hPHWt2I3Ie20OGgpAx+7cOb5uqoiX8dbH6BAR
3G31YjEg4/DtEX3hbIXNLa0hSG760iLfAru89XkaBaWSIHa66LYbHtSoRYOMjEqeLynUOoM6XWhh
vdakXWm94EZJt+DJe/U8eApB6eY6tf6EV+isqMkhNV4y4vGSGpM97W3FONZjwLa2rJwjsvCmQXLT
cNpkyNqwWXbuKOK1Lm1kI67XsbJIE7v0fCTGxp4pDwyfZTu/blr5U7ZEiESBiUBTI7ejoeQi8i9t
emFYfet0fYLoAX2kFgxOirO0xpRrqnuFGGFUKccahBl5UreSyHaJTBHQyE61UQFFUJYXTbfoEAPK
jJK0MmJ5D5iaIk0cUxhEz9QJBEWVuJdhzvOYVnQYVgU+/9gf1qJJ1nQf3bolM9GoCRZpzrSo3beG
dq742pfENPYoZaG+TROpPIp6g8f3Glv4WkWGHQjBNok6nBMatAoMcKI4PqN9gPkO8R6yWGFF5xUT
fjz+pMxHmf7j2OK9g4QkU8F/LS9+GFtJLzdjVADdGufsum4hjgpBJnSvb8MlG0uVKy81jV2b5Ju0
vIDqtqEfc9Iio/YmWeudrEH36fv28RK0lUjyOupIAo0Tgjh8ba/1xXoc9UsILOAH48artOikyk/k
TmzqMj9RprUiWRCGS6eM5k96Gm4tc1jVin3e8gjLKXoRtX7Qk3vU3BTFdBeJ6Tog5ZUwEMTRLcc1
zSvi5tSyWV0B0mKT2CLW2td6ve41sZ9k+9QQwdk4kWI2AqoO26sYZgFDcjPbO6E8GHrvxHO3qwxi
MwvafPjoK7ROI9obRmWyYEv66NTKz8wKKq9fU+G1PmfttE2R0wQD5e9OYlOTdPPpjD/LsvzHqdTX
RQ5tjF/oAJtESaVMO6aLW1UNsMZfqXV9Vvti2yjDVT4+zLE+npQqEgs8ruZ95WvgPsP0TsLZEpbK
BkVP7AyGYLFCj6HVT/LINfbZdBGgUyZksNA9m+b8STVUTmnMD29m1+/sZ9WlivpuBmKU0IIAowX9
B2HIsgt/U4yYC/z+NR6plVEkz4HU3frcPr9WHrCWsMeqd4pZH7BHn89df0Hb5zgm5jPCVgh+oVq3
cAuptMRe3JTH9WxfkFnM3NUeGsvOEdQl+5jiJwKDn4xu9CofrptdL+VhmQmcBUaBrf7+upuySste
YQdT4aLCHKfhZOGCdbjTHVLZmo2Vn4aw8ZgXS5jEEthopyJslJ36WOabKkyxn0uEQtUV+RqlaTJm
SdsqQCObXcwZwkjPp6i/ZGLFlIX5KO4uS0m5nolRyGr1KdDHy0w0jq9ZrUcgcevAO+WDDVLHRzpR
DgHNL3IXdkA/WgnQH3D5eC5BcpfDIez7/WB1J6WBOCkycjYhfrymRfBQmTN6+6S/MpT0ok8FWFG9
fMmlOFzpWnk1tNKLjY7dtSLjBcbkZWPEdxmyp7rHGKErL5imN+EYQAngCoLquG6EM1u224b6zZAR
hWQRvm3iCgul4wnOeZENK/pNgTy4ch9STNFvc0rYA1xb4Y+rTG/PoAjvm5bVo5RVL7bsrYSCxgm7
7jau22vkyMzj4m5OqusgGi862NMe9j4XNQ713QpVubzVq/xSD4etDBw/b9H6yeUl3etdp2qeQfWt
jnXPiK19kMvHRTnsBwECO7UuMwUDLyojD9jfysY8EuHeCkJ5zaM/lRUQE/1i5o9u4WFve5PgAQya
+nQmF6etP6+aSV+3NuUjk+ZlcxfPl76hgdmwvLA7scvkOEaYzK4PmijBtFBIlHUF4dhK5lU45Blo
b3wFxIGNrbHv8OJWdXxfZWyy7SbOCXzG4DlroqIeZ7a3cWZ+KgKNeOuq8nJkmRTgevIBgJek9Kcl
9SWysmNfsm8FQgFfKp6sgBhZglmcgjTqnNcQtEmxb6tkC7piHRflZTYYhySIT4Q6DR70WqciYgO+
tMJ/33p20a2htHp+0OSsTHc0NrbaOG6zjlNYkkccO9vsmmi4u6DRT8dau0lbDKO6cafP1dWYde2K
UX1c+VBTVO0E0ZyxGpqOoCclOJlGw3Q6MrS8OrDSlS7mU+rdTmUUF4Bx6o1Zy4+CPOeVOtSHQpse
kyqEh9q1d3KKuJEyV+ESJ7evRXvdz9auJ5cLI0m0kpJjJLQ3BONAN1BGjozxFV6uu07tTuRx/JyN
Mx27nOiIVNtKw+iNsrzPKOkRv3CTtYNj1YlbC/tgdNJZkNxDf3WAKLu2H543ffRJy+D4MtoFuvk5
osvHHRtH+3KcNJiuxOS20IyV6kDFt0+sF3uWH8ZgdAJ1XCud/SXmzBRlJrYkXT/49jMSXce0cUee
19Z5qZwTLp93B4TWe6T8XqfhSdKoZKv4kK1rSqouCcZuAX4d9y3cktFT42fALvDzrVXS3Jn21aCH
TjQK0upe7Cj0FPW+Cy7NALK2VWPu/YRtwsE9cig6leEincXyATho6YQzUjLUxNMSVz9tI0McE9yg
i2yFJN2x0a+XxoUyfOGA5mamdtd2lmNMvNeJihFnn42Da6af5IBOPnPlbeWjgCehyguizwOBOVn3
MsaFm5X25xHwzhqt9GepNLZ4QbdJpBAlG7ccSPHsYrjxcGaRJm0PnjqRymYXxCeGVDchYAMVCbKb
iITv1ahO4kmqsXtZEN0LCsLroZhP9Dq/CumCe6i8ruxEui+m6bZI5qt5jPez35JjXdZgzgjHOw7a
BOdmatElMVB090P+pejmjTWb2xaxpgGE3ZUttlNBOF5KokLrKZP6Joulhf7YIg7ulBrrt08cH1J7
VO2fM3xPZLw8kz94ZefYeapY3cbxFHhFw9bERkW88hGmYSqng9S3V6k2s7XLVmzUT3HFvSQyJ3Vl
E7TGTghEMEV9lgyYLBVxFlb6+US+raVVKjnTWgAjZcKhM+iSRxpJ5LV6LbmI4HB7J7jl/k84+yqW
e7ZppW7jp0TRyA7sKpKzu3oOcicrQGYEjX/QQmXHvYlWPsVsRy39ySlMs6WM0GGJl8g2gmV7+bo7
+A8cWt9VZ/9aOfb3T/9uPZbf9FUGvPztvojy9qr4pmj7b/1LP/5F7wq8DJi8XcrFJLHmbw+Wr3vq
d2fV10t6LS7/6Dekj9Sguydqx6p6RH+UM96rXnPRbP7jt7TIg9//2rSPNINiooYM9fWH8yGf9+YO
/dk9+PHX+7by/e3vefcF/rTGvfQF6Bm+2VT+8WS+vQ0ffsu/boOiHi2iDyR4bD/ffH9bPUKxQ39Q
I9Pk9edX+/4gYxBkfKOT/JNx8Kc3QDWPECShdQRr8/pDHeLtfTCOXlsJlBq+/lB3/7XGASL/pYv+
77wMf34T5CMdXu/Skv39a767CZY4QmOGegF47+vPL/cy0Fnh/f1b90DRj+iC64pFB+Xrz7t7wIRg
GzqVMptW3PLz9Z7/QhMCrwPlbPGxiPeXXwiZh/36lK2vD5tf+OaFoNXFnCDLSIp/tTeBLsvSFPpb
o0DVjiy0EDra6K+P+f2yYJlHyJYBE/yy06JKc/Lv3gODpXGRf/NFv/68GwHL0oCkhtdkUTPx88sN
hKWu/LenRONIt4RuIFf5+hq8XxdMxgkTAfJ6NDvLzy83JcJA55L/3sugH5GA8Grm+d5UAOydZdGg
5v71g36luZCG6xIs+7dfBQXXA/osm6Lr68/7ydDCSSEWfZn8692Br6sBxbe/NwSsI7jZAMCRv37n
BpjmEXMuyRj676/BL7c9orNjfb2oD8eXv7BJVu0jxcZjsXgp3y6FzJNoNwRrxdd788t9edOWiSP+
u2OAndFyFmJC+e56gNFo8UOgkVZ/0alwuQ2q9rdnQ45KUORp2Xx3LjAJsUB3s+xBvt6GX240oEP5
2ycFTft/zJ1LU9swFIX/CsOiS0+chx1PBxalM+VRWqZNp2sRe7DJA8ZJFumv7ydLdqzEAdrLQlmS
cCTL0n3pHClADp+wv2oXvBsfxSOdLkWaK+/rIAx7A+mCGIRBwoY5jqF7JuibTqJ+qLli1ce/mUDv
pK4xHAYxVzT1h0eWA4kzE4U552uUiJqjihGkiSMpA1owSAloKasP27ktL0GUNIq4z4paivmaQgsu
2aNgia5F0rwJ4SjVGEoomq3Revp4HBCF9Ti728w3jx4bYofWxIrCo5BkeZiMOdfKLZ/FEY8NlZrL
towJ8C4+5IwBrRmUPX0YjKGIc3RStx1MAlj0OhkzY6AlZX7NfKolEIlIYrDXmlEEUVA4JPhH9rzD
cb8uE+35R6qNxMpDYkYzJt7lziHSc+kgYBFH0F4pp3WXkJCSjxGXo5A2FtG7QRjyAqVJQ5gEQ7JG
rbw3r9pNHbEQcCM0X9mMgX8FBFNP1CpwkZHo4/8oJ4WQ+eyTOg4iIcOuxDaUUszHNyNhx0E6H/oR
l+aFmsvTGTkn1NghY8YI18zHO39JiteTVtUGcDvZSkj0FX9OmDAKKK0j86prikQRfrkKaFg2hBHU
EbD+0P7wNJ1bDGNipTjWnsO6Uw/zBsr+fUJ6oU0I44BpHkEP24sWE04m4UASDuoxtsC7aYAx6PGK
3sFDwo3WcYcbH2ANWRqcnVlnlv6VleFYm7ciWAeRyZ8RtnW5xjG7kRFnjLA7b2aBd/FBnTpKBwJz
SGJIBAp/sPocLAcSpwGZpfn2X2KENyRaDVvjIi/maUXmKLJVS6D36g9qrsMhgOUwXKVnp5qr4fxQ
i/cM9E7Md+7sTVfZcevLOluu2rH/bh/wsGmnrfqp6j9eFlmpyikKsEpHaLupdY1np0gZciSBd6VK
s1Xu0E2q7eVdhw6kh02E9CI+97Ms2rBmr04K+6nIVdmGNTs/UthLVW7VUrWBbS1djMx1ZNNczTtH
2pTnpE1cq8Vic/JBLZ4/ntyoFZcmOiNkK6HSVm5UuYQNNXMHydTWxNjM0/kecFWvkAK/cnbYcXnt
m+b4rUrzbfcaMomltPvf04Kjz9qz0hJgpMB3m5TDBbKy3DrgpkwiB18+qnsXuIqmpcA/1KNarXPl
sOPs/rcU+2cxmxWOwbJBsBR4ohbFHNl1ummPiC1DSsF/rdeouTuMuD7eFv8qxf+N4vuFC9LF6wdj
jsFal84ctwUJad+/bB5BX9eDoL1zszcmxn5yetxsPUpx8cqNvPBbMX265+1ereYI91fuc1g6pLg9
brk77p4a0qG0mdviz1PphgM2tyDrk4JPyuJ5486gXeIiBe8WgtadriK+5vgFaVv6aAb9qvfQ4bnp
m5ql6LdqqcepBrJd1+Dkd2Lw7IEYR22dVWFrSSR9UvjP2Twvaphdz/WRNmLoZr3tyXlN7zXDUNrE
BR4rLTh2ww2zDWeFdE+On6v1ulgdtLDjBUmbqPyMmukHqftbvQbbwjt4mmtcwVH8d5hCk4yl9bAf
41OjtCUe6Qh9VSnj0x6czv0WaTPd9uh/hOkv+u6ufLPZxj3MQmuif9e/uSm2/sV0nqny/C8AAAD/
/w==</cx:binary>
              </cx:geoCache>
            </cx:geography>
          </cx:layoutPr>
          <cx:valueColors>
            <cx:minColor>
              <a:schemeClr val="accent1">
                <a:lumMod val="40000"/>
                <a:lumOff val="60000"/>
              </a:schemeClr>
            </cx:minColor>
            <cx:midColor>
              <a:schemeClr val="accent2">
                <a:lumMod val="75000"/>
              </a:schemeClr>
            </cx:midColor>
            <cx:maxColor>
              <a:schemeClr val="accent1">
                <a:lumMod val="50000"/>
              </a:schemeClr>
            </cx:maxColor>
          </cx:valueColors>
          <cx:valueColorPositions count="3"/>
        </cx:series>
      </cx:plotAreaRegion>
    </cx:plotArea>
    <cx:legend pos="t" align="ctr" overlay="0">
      <cx:spPr>
        <a:noFill/>
      </cx:spPr>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plotArea>
      <cx:plotAreaRegion>
        <cx:plotSurface>
          <cx:spPr>
            <a:ln>
              <a:solidFill>
                <a:schemeClr val="bg1"/>
              </a:solidFill>
            </a:ln>
          </cx:spPr>
        </cx:plotSurface>
        <cx:series layoutId="regionMap" uniqueId="{00000000-E302-4BD6-93DD-ADE0B18C008E}">
          <cx:tx>
            <cx:txData>
              <cx:f>_xlchart.v5.7</cx:f>
              <cx:v>Count of Name</cx:v>
            </cx:txData>
          </cx:tx>
          <cx:spPr>
            <a:gradFill flip="none" rotWithShape="1">
              <a:gsLst>
                <a:gs pos="56000">
                  <a:schemeClr val="accent1">
                    <a:lumMod val="60000"/>
                    <a:lumOff val="40000"/>
                  </a:schemeClr>
                </a:gs>
                <a:gs pos="23000">
                  <a:schemeClr val="accent1">
                    <a:lumMod val="20000"/>
                    <a:lumOff val="80000"/>
                  </a:schemeClr>
                </a:gs>
                <a:gs pos="71000">
                  <a:schemeClr val="accent1">
                    <a:lumMod val="75000"/>
                  </a:schemeClr>
                </a:gs>
              </a:gsLst>
              <a:lin ang="2700000" scaled="1"/>
              <a:tileRect/>
            </a:gradFill>
          </cx:spPr>
          <cx:dataLabels>
            <cx:txPr>
              <a:bodyPr vertOverflow="overflow" horzOverflow="overflow" wrap="square" lIns="0" tIns="0" rIns="0" bIns="0"/>
              <a:lstStyle/>
              <a:p>
                <a:pPr algn="ctr" rtl="0">
                  <a:defRPr sz="85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visibility seriesName="0" categoryName="0" value="1"/>
          </cx:dataLabels>
          <cx:dataId val="0"/>
          <cx:layoutPr>
            <cx:regionLabelLayout val="none"/>
            <cx:geography cultureLanguage="en-US" cultureRegion="IN" attribution="Powered by Bing">
              <cx:geoCache provider="{E9337A44-BEBE-4D9F-B70C-5C5E7DAFC167}">
                <cx:binary>7H1Zc9w41uVfcfhhnoYq7AB7ujqiuOSm1bJsV9ULIy3LJLiC+/Lr56Yl2RIrJbnU6m9aEaOoCIeU
CeICB3c794L1z8vhH5fp1bZ6M2RpXv/jcvj1bdQ05h+//FJfRlfZtj7I9GVV1MXX5uCyyH4pvn7V
l1e/fKm2vc7DXwjC7JfLaFs1V8Pbf/0TnhZeFUfF5bbRRf6uvarG86u6TZv6kc/2fvRm+yXTuafr
ptKXDf71rRtF26bRdbitordvrvJGN+PFaK5+fXvvm2/f/DJ/3l/mfpOCeE37BcYSfECEUMzmBH37
wW/fpEUe3nysyAFimEiOyO2cJ9sMxv2sNN9k2X75Ul3VNSzp27/z0ffkhw8v3r65LNq82e1dCNv4
69t1/kVv377RdeFef+AWO+HXJ99W+8v9Xf/XP2d/gPXP/nIHmPlmPfXRX3BZbatxm4N0LwaJfYBt
hW3G70EhxQFliDDE1DVS4nbKa0R+Qo79YHwfOMNhdf6qcPgt/7LNtvmbbf7lzYm+LD6DTq/rFH6t
bzfq31cXTA4E7D5RiN0DxyYHimIiFEX29c/tnNfgPFO4/YA9+rAZiL+BirwiZfqtavMtmNP0zVm1
/XJVv6SlkwfcplTZHF/rD1i0O5bOFgcYSSrFLYAz9fpbkj2A218XN0frdancZptl7TeFO9zWUaar
20P/7ysapQdcSJtzhL8r1B20JN+hJYS4/XiG1rVk/2ubmf/z5idk24/X3ofMENscvi79yr9E1fbl
lQvzA8k5x8q+VZ97yiXtA1twhrnNrtGktyflu3n8SbH2IwUW8d74GUi/nb0ukOp6m91u0L+vSgQC
B87A8AE6t77pjirtXBcEeAAc3Y/NU9I8AMn1sDkS718VEt5VGukXREIdCEapjcBuffu5H2xLeYAx
Z1LxG5s3M2pPSrMfiZthMyS8o1eFxLJ4wQgbrBUVlFCb7NUIyQ4QJ8IWhFxrBATi18H9tbV6Qpb9
KHwbNMNg+durwsDRkOfebsUL2CV+AB4eDjun+7RBwcfIFoLZEKjd3f4nxdgPwM2wGQTO64q4jrcA
AcRaTfWS6mAfMEj/FQUnsM8s7SJjZVNy47vtmTr8pEz7Ubk3eIbN8epVqceyjQGb5vawvoCCQLJp
E4El28vNSAwJjUQCfMa1mZq5i5+QZz8m3wfO8FhuXhUe3nc6wNPtC6KCDm7wuOFhZk58xwSAFmE1
i3F/Wpz9oMyGz6CZffqKMv6LbabTNyfbLy8IEcYHCAtI85W6n4aoA4YkIojL2/Nw7dF/Toj9wNwd
O0Pl4nWRLyud/Ye4F4oPbEI5EM37LZk8IFQQTMUD1ObfEGw/SH9d2gyq1etKES+ugNgMX5R2xvIA
dl9wSBPvK419gJC9qxDc+H/4+G449lOi7EflztAZHBfLV+VqjrZftkl0uy//vucH9svG4ELILV9i
34cEqEyImxnUAq4DtpmreVqc/XjcjpuBcfS60pQNhMhJBLz/y+FB6IHgAhNb3XAk91UEUhUuGKbA
/19HYlAcuKsiPyXRfkjuDJ2hslm9KhX5dFU3b5wrMFrp7eb8+3oCuCjOKYea2PXG39cTJQ9sCawX
faAq85My7Ufm3uAZNp+cV4XN4VW1TV8yoYQQmdlKSnm/SgYlTIYUAVW54b9mmf3TcuyH4nbcDIXD
10VxHW6rfNtsk5cEgh1IjBhhD2SQkNkDBQMEzH7q96ckegCSH4uZo/K6vMkNQfH/CZf/vs6L4+2X
aPwPFLPAq3CqMBS09mf46oAoZQtKb2j6WfT182LtV535+Jn+HL+uTGVZQST25qJonvb7/8EmneOr
EJoKtuML2lYCQR/U1TCVN8bzfuxhQ2OVlEIBQfc9NLkbE/6URA8ckB+LmZ+N1+Xxzto83n5+uXCQ
ogPFoKYDhOn9fIkfQO2ZAVA/wve7WDwtx34gbsfNUDh7XdHfyRZi8pdNl8QB0NIKyJ69zRs2O2AC
7Ku8Ma9oxsb9jED7AfkxcgbJyetSjNMvuo5e0lahA44pYgxKPNc/9/RDASBEQY8AuikAzSo8T4uz
H47bcTMwTs9fVXZ01n5poRW4qsaXs1TAUCubYEHofkLUPgDXQSR0e17/4Nupr/nqnxNpPyh3x86A
OfvjvxqY/VWNa0N+zSXc+8bf7YQm0CZDFGW3/vq+P4cWpl3PAKM33YNopiM3LcoPS7MfjZth9wT/
7+53Pt/G27oBfu32SL4AjSOAz2RQHsA32jBz38DyAPcMgdSNO5lt/U9JtH/77wyd6cL56yp2vtdJ
ol+yaQwoZokQhWLZXo8BlTQpd/T0DWKz2vPT4uzH43bcDIz3r6vL8qLSpn3JDg3ISCXjCGpo940S
JBkQ60qom93AMNOMnxBkPw7fB86AuHhdrvtD08AtgJdvJRfX5Ux86wvAPd/pqFQQbQnxzZlc686M
IPhpqfZjMxs+Q+jD66IHvi0Gamcvmn9AHgjFGAQXm258+f1yDbhyaAGgUM25MW0zrflJmR5B53ZB
c2z+h83Yw4TK9ythHjDO/re7ZHcuPj3+6bd1wy232dCbitfeaOA6Klp/+fUtRWrXfPH9jtruIfdq
Zbce4C9DriDq+PWtUqB6EDpDtIA4ZJESsOuhtPTtE4SRgJwTQ81n9/e8qJoIrripA0zgDzZVwAJw
MJdv39RF++0jeYAkuDBFJVytotAk/f0O31mRjmGRf9+Km9/f5G12Vui8qX99i8EYm+uv7ZYmoEJO
QSoCt7cE1DkYB7NgLrfncE9w9+3/HdAI5X1OyIp1kbWZqj5xw0Ifs4CYjRx66UTlZDwW1YXfm3D4
oPsk3OQ4t50SNZGH7Zo6GenUZRzV2AsaI8/zrB3WhWWa40wOERAP33d2j8CgBo/KCxtzV15ujaLR
asQrW6f9amQ4cwxB1BF54CGDjENKGx3bGQqgXP/YxJQ9tVVQKLo7tREsM5Wh40qHtXamoYlPkqRU
i6kcCj9urcKb7NRyWlxlTkL46dBVgyNKO/NsaYdubHi1GqecO4XVZ05hl9KRVXRKbNKuiYHdE3Q4
TWkQHgdNO7paFoWTVDla1ZM+N13sV6n+kMSIZ05TWqZyTKq63xNtjZM3ln15VkRZsYyarH3fURQe
JbVUTpIO2k8NyTaZjYpj3tr6uMqn/o+o7RsPW6Y40jgl/phN5aIyjY/yy7GL0DrNw6XVxJaT21Hn
hT1GH1hfDGvZ5f0ypalygiHUi1i2l3Fl141jF6T93WiOllFuxYupyKUTh6X2q4gXy4LEH7gITtux
f1fGplrXvden1u+szu3DJo2zzRjbn+qJWEtum8NqZMgbI0GO4ik8zrJMOyaU1FNjXDm81Uvam9Tp
lNw2WTd5Xc9zh9jxhnaB5ZBuPB1QxBd1mTR+iwLqWhFtNqYbhkXQBsQLUn1SBBNdDBVaVWFxkbJh
E0xj4IWV8TqDHGKFbhGXG4ED7oQUlYs4YYNnwqxe6Il0yyJWzCe9KZ18GBMvG1Hhw8Iip9amWfNK
oD/7sAp9EfZN5HDcjCu4jvSub226Aa1xtNUeBqNdOkyRbmGi4WLorO7dkA2NN2QMOUa0i5D1ZoUi
6wLnQ+/rKrSdygZMoqKITu02pH5HaXpkR8znSYz9WolgrXKBlo2OgjVjRrmKFJFfFsK4sRbctVuj
vW6g04U1lJsyCX2r6Dq3i7L1RCvqwe2C1NcNnOaBU2vRG6twWmX3Dk3a8bAPI+QOutFL1GWfmcwv
mqRxK5vwZVkqx47UBXTmeLVoQ4eksJe8Z9wRSbcStOndpKTSzSWhbkqUg9PWeL0dOG1n8xUHNJ2M
BUvBP+Z5nbgVHZUTcZN6NG1jzwos5QZp7A15WTmlVPGyTPtznCN0aIUMVK0fem9I+9YpTCMPx8Ik
72OKLW+Ucjn07H1S8MFL1GC52RghJ2njE6EG4oyRJF4D5tdtYjR4o0WWVl8tObEsn4nwvCWDcnhm
H4Y8WZeZOteq1U45DhfNoA+50W7TRCddic2q4JPXy84f6o9TWp7KEteuRO15FBn1gZSJXmBp+zlq
t4kmgSvC6rhKiDdm+UVtVT4Z7EUZZZcI534z6cRLJe7cktSRW1N2Yo8iWuKpc3RcvtO9vbEqfDrI
cBMHOTnORGkRJxhHuQgDkRdOQYv6MyaYw77n6P1Qj4uapOTcqlG4CHSPQLe74bIj4eCgvBKZQwZq
b6NUw++wrPUw1Rygstno9m1LnaA06UKMTeimUZu6Q0nzVWV0viYJsRzT1qFXZQl/pwISOGmXTMcx
KttVaoXRhoJd9BKGPmRaExesX384or69qGwFxqJhlkNDCy37CNerNJV6dPpcoiMsB7S2y7Y6L4Os
Petbala6INIJ+hi+GBeR2000cpu0QkeiDE7NOG4qQkefi+RizONmkwQN+IeEfWzHKfIrIxMX/Ch2
KpLXvkVMdUJK1bpIBZHXsDRxSNXHTpxMk2PXtV6Hckid2KrQ0gq19iXqAjB2Nf89y62NDCawdzFz
s0nFq7xXsUekmFZVLyfHwsVXGeYrBFfblxyoGtfqkmRV2/oPalXMZzp4JzXNXRwF1mKoh95Juqjz
eyvG68zE+clUcUhvHvVjQEzMPagSUFqgHBNgT+XOw97x+KrI+zivJ7wCDZbGhVK85dK2Lh2VSulZ
lbQ8XeLkfTOZZpXkVnkS7LQr6mx0iOKgPLT7pnLg7QO/Cx1X75I+sr0kqsDyhTjPT7icglWCkfbi
Lg1XOmjyFRmG2q+mEQxDjjZVidRKmvBrLqTlWA3coM+q7B3IYflhs2v6eGy9EEQ9utydV7+z3Jil
KSkSjlcWr4PzuhqoO46q9jJlTe7jUwGB8NepJLx8ABp2GVNi9/mdqXBvBVmTDHilW/m1kWnpjJz9
SVWfexU3vz8+Gd1FZrPITYk7s0GIenc2SwdZNxQxWXHdnU0tp59oFrXruA+/YF2VbimS5qyN0mij
GjKtGmugHkkMd5QIm2M7blcxIOnVcDRTUQ6LuG6bTRuAwodDm3laA4QJ75EXNTH3yFjkZyiOcsck
1eCmA4anFbF2amodDTtHXe5cNgPf/fg69+GnOOFYUiwh6EX3l4ktFmErqfGqsIt3hc7EKosnp9UR
f2IivHvSfEPvzjQLhZNmyCNEQrrqwpavWGBf4anunBSRws0T8VmQXDkDlFcdexcpGNkX3uNr3UE2
kwAifiy4hGo9QLtT3TsHKMl6gSzwIytR8tBNRIDcjJIEQjdhnenOIqnTlmnyxLHdt/B7085iatIU
YNyKnq4sxsEMVPyLTDB45ipIHF0ha5OPw0lg1dVZuotyZN8kTyx8rwgAsg01NrVr3J0ZpRThoTaZ
xiuq08qtwSVqXh9DR0PgBg23nNSIU2h9gHiTij/B6peLx3d+j+rC60R+zD+zEm1v1wXOQ7Zq0vZP
WuvhpMkDuslKAUpshVCqe8wm7TKFOc7QN84BY0w4/Hsf56jXVtUUCq04reMj3Ce9o+ug8R+fZY/m
wH7+mGW2ppoi2qW8YKusGbDTwwKdOmd+kwnzBHz7ZtotBV4yATeqgcO4vx5s7DafJoFWU9D3Tq/w
p1TYa9DbJ1a095jcnWhm8yD/aJsgrRhop5FXum9OYyLZ0m5V4Oixpe+TsBHaCXfhcbkLlIlpzPHj
27onZYYSlySgogguW0Lufn+1QTT0pdQBXbUyNqupr7oLQxheaz3QlaHDh8LYiRd2oXR0N0L4Fkal
K8sUOTKztpbUiW8KC7wDRBf5YRJmn0RF0zOsyce4EsUTCTP962FjUNPm0AcMd0sQnPH74lq4S4Js
qkC0sD3MR144OEJ6WUwpcoU1HQ+2GHzTolVbR4MT9to4kIRaCz0kEL7zPPW7DFxH1eVrCFMDPy6w
lxnIaWoLjw4kEV+N6cM1KjMI4Sg7xLIrHZ1JSM9GJVxj6cY3UwGxlQlKp0uviEbYGfsyc5Ho2FFd
19chzg01dHatSdcsx2VhxkqH0c3Lir7/+q+LIoP/vr1E58cfd+86+vHb8e1Lkh791vKq2BUw6/mX
dtJ8fxYIcyPdjhy698tfmKoHuKjrdy498OHPEVXQFGmD7f5uif5CVO19O8QP1upm/DVrBY2v0OwA
LAj4XcY4vCnmlrWS9ADug3O26xP6RmiB+brhrSi844LC20oUvJUESCpbwGG74a0ogeYiuDADhBYU
7eGOLP47vBUT922ORTCTTCLJd8f9jo/MSRvitq2nZRZUyLGsoMdOhNjkRK3uTgxLROHbQVBqB1t9
BJFCzRIfWWV5OA5dsC7CsFxAwsdPRD5EHhoHCSlvO6xSWmS+1QRhBkc2xMWi5bjzgholTh/Q2imL
ZlxnwNQ5aR2NnwY7rZeyiZBflyhaFVlVnuKWJJ/CKqj8WBbRMsN9A3lTmhzaoW2vgXShDtV55md5
VG0y3TEHeDm9VXYlDqUmUntBbOzOqwvKPRUzs0yyJFuADUkhpe1F7fQhjd8XZQ4JjQRPejS1oRW7
UTE0V6FU9eByqyMXTW4V581Y6vGwLDt9OFaKHBkyWItAFcFyjNgXFk+TK5QYWsfKm9gpEpL0LpB+
bFlEIrhMedJ508TIYRl3xhvqfPrDSoCDGqaGrnCQ8E0io/GiTeC652Ed1sCx2OmOJURthjIHi4wf
5xVrnYikkJBbfXDIY2k+swTS16Y2lqdCC7txU1LPrlF1VcR58kny0XwKtd2uEDPkdxklg3QRj/KN
zui4nFIbknTT6OqypW2wyykFWUZSJQioh5qve6tDhUNibV1YFrCPxxOTAYxrU/vriKdplQ4TCR2d
WtWhQKHZWkYn3CGss10raxpfoxR5wRTDU7SJTOi2tGp8yBqsVT5R4keTwN6UitGLdt+EG2Jj4oS6
JeeCtNnXsgcUPFJR8zHRbEgcZZcm/FDTXnVu1pFyciZRS+ymKMsqhyUqPM2EpGs7K6MzTjLiYlMF
EcBd9AS2rSpGt2yj8SwIg8Gpqzj1GTySnFUg4raNhxb73GqQl48lrxxpNYOfW32xCCaZEieHWdYR
s8ZFFuHg62gEyFRnNgejjiPbcjEclcgP+pKcS1EHWxu1CXAdQLU4fMDEnzLNYy+yR1ssaInzo0A3
tYdkUb0rCBA8zmQbrBftZGKXEOApNUvDr7w0kTsEhfFHokfjcoitcietqqZ1TD8BZWyrtIUERFno
SwCc7naKJvwBvI7iXmFh+hXZvQKVDnlRet2U1b0jqULgYHRtAsd0adMdZ12ugK9KgOSC3JUUwFh1
nK1snnXBglhSsbNIT8B2sa4Kc3+MBxE5ZdRGkZ9CkPueagmBFzVWBoQqr3Pix7hUKZAgLbrqx7JY
W43GyGmyKay8Msxl7lgo4Bs8yrAG9sq2z9NhuCSoY+sRF/yS5VO6QihtzoeQm6OhDRNvwiU7g02x
mYuVGT4OVhxugdXX60xUydqMQbOsSEszJxWNfSoTm7xPTb1zplMERFnWd4DTEKTNIY4nSDk4OMTO
GQUQeX5fTe3KjqzwvU1M65HO2FcVKXDiDY3VfLSljj7rKe4/h0HcLYAeGU8mE/ZnOq+tTTPy7CyG
9xk1TlhZRe8wPLI/rWqkg9NImuVONqHiKAWQvD4rwj/hIdkqjhA6q2PM3J7ZfyZ5Yvw0N+Jo6tLc
VW3Ffd2p9KgZKf9TsVDGTt6G2pF1XOZuE7TaNxJsj45M0rk4wXp0O8L5OlO02GRUA92n5A61RpLg
KI7lsBqFVn5UZcj4g1HBEa9xKt3KQmXqlJWsjQ+7g7bcMPuDoG3mo7q2zyHAeTfmeQ/p7GCcjql8
wS015pDCteZC8M4+zEw6uCFj8Go2ErFNy6fRR12LlpQN6bqLqfZ5rZVLpyJZEW1xL+VR7/Oy7D1Q
9covdjY9HxPplcBgbUQ4sD/SsE5HeLMDAwaxp7abjEA2W2D3jjPoQDy1gefzIh50Hiqq+pyDnT8r
wy7w8qpQg9u1SbkUfcTORMuSC1xb0RWWwME7o046v4X7d4dTNsQr6IvTqzbn/TJnobUxdgQ5a0/y
AnLzeig902fxccizPvEx7afPoWXXqzjJ9HlmRfG6H5p39lTYqQfWkqWOHdvkD/Db9mFRJXXqcD6K
dxMytdPVYQ9sgo0yIBLqMT9lQTN8jIci+hrHCbCjMQ0uiBmSFLSjtz+HfR27kCyyExwSeCVllolP
LTBF3oAm5dp6zFaMNZN07BxbC+CAIKHWXS/fQZQpj9JqEl5Kp/6oqyx2IkrgZh0W42AThnHhTCjs
1zbRehFGE103VheGO3K9WUgrTs+5rDNf6yDCzmSi6gpKqjo6IbKbtha8DK92mmRCxEHABLsxHYaj
SMehG45QNBihOnY0qaz7g9RhvIBrjK07gRdbdnZW7Gy8ioyjgyBxMWY5EOfUnExA0BgwgSW5ol2R
n0QKzG9Sj4UNbCLQh2Wr6stgUhByTzlZdH0JJTY1tVdAPo2LAtfd+yoEN+RAJ0WypDJUm7AMky3R
NquAnCXhaZhEKHPHtNKLku+4mUrQddsyYORqI9tD2WN82GWo92wLtUtDY70cWQGWzoIxa43D5Kgo
g+EsVpFYNhOKN7VQJexmU34I+rxyM3AnbpiPwNoNRX3e82paWCqQF3Vsd2dRB7zAlI3gr6Eke6gs
cRIBO72uO4tBMFADES5jIY9s8Kufv8Wm/2Nh/P+7CP1ea9xtz9mu3orxo/H5vYa879+/jsdtCQ3h
QIIByEzADahdaH1dRRZQLIaY24ZU34aramjHFN7G4xKKxRIuSAvQXAqdtBAt38TjEN4LxChceYMM
GUPTAflb8ThE3T8YjZtonPPde1buRuN1AF4+0bZYRdiz+WndQYva9/zkJpO7W5++n7z+eO4sygcN
70SdDtJvODCYzjSN46eIiOH67arXL1f9G4+fMV6xtJKxH3IJXqWsqvNegF25CIep+Pq4+PdppR/i
Q+50d1vsbEpUmwTCh8JYPb0zGIqvTkRjjh0wLBlYNFo2weLxyR7aqxkfUQP2QPrmAopOVFEHkroQ
+PlRqD8ff/59dvLHYmYMrLRLZGIoPfktNuwY455l73sUI3E0qiYflpacROVkY2mu8/i/i46aMRZG
IdPJ3YRdasthU0Rt0LqsbiP9BJ+0e9CeU7t75cZdeJSeetS0lPs91Mj7jRhpQFyT1CQ64kkUk2Pc
Jm3ilnWZj9JBKcPlAuVRV60e39EZn/V9S9WMxzIyqxNej9xvw7AroUSrlpCGfzUJLfvEKcO+y5x2
lNZR0Yc48VsIbhUEn6Ei2d+iIn9IMKPs0nDMgBzsYQsU4S6toFDFe/3E+h44kWpmFQrQ1F6NDffH
sZa/o2IsnKBr49PHd++hp89sQ6qgjl1TCDQTqvUVgkrUUW7ppHWf9/iZbYBUlZsy4txPG9l9xH3J
nAGyqedZHjWzDFXax8aQkvtAuk+TjwarqzxhikI+U/yZNSBDiNWYxmANCtbG7ijEwBygAVLbe3x/
HrBtYqY8mQ3NFnEbymWW1mVwLrOsbD/ScrLRprEiW76DHiUq1o9P9hDWM9tD4tHKC2ALlnkxSnFW
wx2U5iMk6tbXZz1fzkxNrVCL+oGr5VTgzB9DZlXOoJO6egKNvWwV5/Niq10kLG3JGCwLS03Zoq+w
6fy0H7H2SkgR7GdOM7MnlBWBgk4NuWyaljSrXBQ58qccp8Ds6qYfnqfXcmY0yqIrAzpkamlIMl0k
1Rid5lLYF49j8dBezaxGnwwK9xDjLIm161mqK0mPQjYW5aeEq2R4YqseOFG76/53bX+kQpMoadSy
Stm4tiDFPbVDXKXO44t46PH0/uOLQI8INkcsW1kSaKOIISMUEzAhz3v8zHy0nSyAtRVi2aWAQJOG
mc9aC5KQ5z1+Zjxa6EUY0zFWS1Z3CWAwQrOMU6NRT8+cYKbPiW3x0oYkfmnjrMzXBvO896tYTv3Z
s1awi5LvwivJSGtsDWJp15H+CGxcfTbosByfJ7+YKZocK6DG4V1dkGixRq+aiQ62E0HhFj1Pxeal
tEGPpWhIJZdJHRq2rne9lU7csuop37wz03tin2+8+h3+fAzjEGU9QAxkkKm8OAQm/yyzpk5swibI
En8IyZj/ngIf82ebh33+hCV/KOYRM8VLhzCQwJeAKUxVajaRVQcSIvvEhrBONX3MGgeY6KkDakiY
bJEMUyg9wXpavO9QI9pnbvBMQcdAADOYWMEyk1brUd3LpZIpfeJ8fCsC7ttecv/88Q5awkroQV1S
NFWFP+Gga3weTEAMGpvK8TSss+KrsVgPNMikcn4yUEryYyKVin9X0DfKnxDlAUskZrqs8pgDiazZ
0sigpq6Y7CszQOnyeXZUzDQ5rajA4xDLZWWZfhk2GEikkKrwy7P0eF61hGYxoeI4ZMvQDOoPDt7t
pEZW9jwzOi/AlzTMY8uS9pKnkMm4LVbZrqekGusnTtkDWrbrH79rhmpdjpwMlVo2Yx+QtWJVhT4P
Bsh9LyIRVBdy3Rrot5uECS9NNtXkebDwmYumfZ7CIarEUijol3MM9A5mztgy65kWnM+89MSmpGxF
Jf225NgXYxd6kygs73mwz4yECGyUx+UwLes2bJZTDvSxqEz8hA16QCX4TPfh9YsRdEGV0zImOnNJ
g2MvGAvyzEM1U33IegqFdTEtCeSNDorwJ2goeSqQfEj0mTZjYXLgpMNpGcqxOW7HHIF7LiMcP/Pc
zNQ5itvG0GqcltDDZq9JNyReAJcTls+C9Vtr/R2nQ03HTZPA05uAQOGAyhqqUFg/T3a2U8I7T1c5
mVQnAVarIZGb0LaDdk/JnmdH2UyVYwTNUX0ABecS63RR23noQplpWjy+Mzu12eMv2Exf84BH0wSV
6mVv8StIO5NuwZrE5Muml+KZK5ipLO2gZz9Ogn5JQXHP7aaIfcyK5HnpOJupbJNDKNRPol8WcAFm
Df8vk9aLx/yZ5obNVBY3WRqoKW6XUFVhhzrN5LEZ0meKPtNYcNRBkmDaLMsiDrBbcQLd2tGQRN7j
4D6gtNDycO9g8iCsE2sCmsfketgkTdgctUGQPlOpZioL/KjV4TZuFlULNZf3tEcqPeWVAu7/WeLv
LnLe1Suozf1fzr5tSU5c2/aLiABJCHiFzKTudtnl9uWFsN3dEgiBEIjb1++RHedEuFjuVXvrtcOt
UgpNaWrOcZnRmSIrUkK3F4COft2yrXtj4//L2oDG9GrwuAkUS9NqPg8tujV0dCQfssx5Tv0QtNQ0
jFRNOmPlg6+WIL/rsrXy+6z0ELPK7DYIRv7/ps7IQPJ45r5TP0ZrnFYuldF8zhYUjcl19NF/Ya6f
45ezUoWzqdoRo69NJguXKpdzThrPZT9Eq2Rx2oOejdEZ+WtAX/EiauFZ2aKHaFVww0trgcGz3emy
TTKLlxdf/XKDf+DWvyzMOtGkaje0WOOpWvI1mkkemWryu6LoIVa1NOjM0tCdu3nv8kXWf7lmj/xW
nRzidNztZHq5uLNWkuWcxV+DeSSegx/iFHgH8HBkMJ2TIexO41p/H90+eg5+CNNhzNYGmbA7Nxwd
bt7UADhbkDu8zi9yiNOENiBsBBmmnrnocUR75H2ViNavRUUOcbo6RjqGkcs9ghdjvncpj0/BFKSj
354hh1Alw5ppZ8SMfq7ubB5QE5dmIdNPv9U5xGpUV8T2q8bNWo3tXdaAgDiqZjv7jU5enzPOVoaK
LXbllNFvUUOeR0af/YY+3KqgMTV624KprGUA6g75uhGATf3GPsRpVgO4GnXJVDaLTE9Oxi+9qnq/
D/oPsPiXI6ZTgH5kqXMlILF10TbJQ0KG0G/mV0XsXw92tIUXM65pcO7a9c96iz6TWL/BkPiXqzo6
RGlaLyLAfb2VGBZEzx10NJ5vIxV+R290iNNZxE4qZqcS3PfwC5twDoBFuUd+mUZ0CFQwJkjYVr0r
dW/3U78mP2QNEJnXhokOQVql9ZDMtXUlYFlbobXB1NVbndd/W/hDiGYdZzXgaVMJ1nj2mI4iemyD
ynz2m/ohRMlEJjvZGttRAnFI9fIlASrNb+xDjO6sz5pKKlfaeKZ5lK5f2yF97zf2IUbZwtalBhu1
DJrxhbntMWbjGxj/f1nw8HCT9ktViYkKsKCrICiCpnqogRfyOxLDQ4RGkQHyLSDBGR5C7/SWfE3t
1vodLVd5ul+jP5DI022PNWll99wL4D+19Jz2ITqZWQAIRE0dYLcZtEZyz2K/G/QqT/XrpM0WT7w3
eNtxLR7Sfi07W/m1Wa/Wp78OXbfTKp3DpI3+tM+uaJI/vDZfeAjJNmus2cF2PTOpftg1e0537ndO
Xe2Lf52zG2a1bgufyg3wypd9m0jZODqe/CZ+iEjaVWvX1NlUjgGgBKRTN1mVffEb+xCRqq3HGKLO
wTmukd0GIf/OMup3sUFU6/WyYGMP4M7gSpY1X/N4ZMEpy5LZK3D+g3iWjnMysXgOzgP/aPtTiiq2
z5qARvF62hKkHzbIbSpdCjDHQkeTRwN/8Rv8EJML+u/b1lXjOZLmZmnR2x9oM3ntFJhovJ65dS5U
QYvB0zZ+T535WbPNeq7KIS5hIL2FQ5qBDazpe+Bwf65u9h37EJrRUieUrhHKxuA9P7hUNHcDW7nn
qhyiU45sbpHPYqPEOwcOtfnUcumVYLHsEJtr5tiiMkT+SrepASW74v2JIAOqvY4Wlh0CFFhgVqFX
M5WCgfOwzJ/RfPjktRWPYC3oT4SApGJdnBPxaXCqzilkIr3yCBSEDntRzgnq0Ssmvq7vXR/erTNA
334zP0Roo8HATSQdy1TRxxaAwzPsAYjfiqeHCHXCAnPp5qkMTfvMgrZorPRKUtgRXWXjoNsE1WNJ
SEyKRUe2iFjzt9+iHAJ0Q0dhTPU0AmDAv4pxvauT+KPf0If4XO1UqZQEttyidsnbPhkunW78kBEQ
TXm9U/p4gZgF4DslWkj7qdv7p4SOfm1/lh4C1BkyKhlBE6QH/KXNR2eDe1CNtg9+K3MIzyWgOBWZ
wxedtz9HZHDrmP7wGvoIcJpw8UjD+7FUEDJZjbkF8chvHx6xTXOVKt60oDns8yDP8yLIKWi7n37z
PgRnvbMKrCs1lpk0hWLbk07fSjuv99h/tlzYEcW0BKgHzyaxpdRz7HKb8OZx4GbNl4ZAd8lv/odL
NFbd2oFlYMu2pt9ayT4HRr34DX0I0RWIx5YnlUX8z+PNPNooj2bm16pjV+WxX7NQQWRcW0owcRZ9
1nPQ5Swwf/jN/BCjch0gHhHKEdI6NVvOO3Uby7u0lW/pCVyX4Hef9hCnTAqRurTFllyD51qTl3rw
e4uDevp6Xdo6HvBgxtAQbXqewvpdRblXGwpivoeh063Sw7zZklYa0kMpmZ4j8LC9kL7Qn3s9Osgv
YTzX2IlVuG/5ZgewmzwBY+yIh9JrBcbhKG3ZzRDNCufkMizgxnltlyMWagJ91LEMS47j8X7eyH0b
r34xdERBZYuApNQgbJlUosuTfbvPbO3XN2NHpFN21SJaibJl1M/vaTQ82HDynPchOm2N7gRfgqEE
iedzHdnnVg1ejzjGD8FZrUwrYRpbcqxMngGEDokrnfqdh0c00kSbIWig+oS+DdQQLFHPLsj8UtAj
FCkM8c7q4nAoRU11ky8oVED1LeB+C3OEIjVNBlRasyFusk2D4sj5h7YOd78veoQizQ1U8YC1G8o9
s2D/juwJN6lf95wdYUgu6FJonvXYLn3GwGTv0k2NEqzkWXnVcNDhf326AJ4bZgKKbKUQcoG2G4pn
ZVWxwa+PwI5wo005l1pdmTINRjUU82L03y5LFs9H41FOINIkZEsWmNLKDaJQgjc5Vii+eJ1gR8BR
kqxrGs6hKV3LCeQugCuneP36nY/xIWKnFgi8kXamHFkiJnAMifqutrUTnuMfbtO1ttwuK9aml6Be
1pP+tLaR350XH69T0i86SBzWvUvNzTaG42Vpe3njte5HvNFMZ7qZdjFlU8X757CvxA1LUqP8FuYI
OKI4J2Oy4bNmXTWMl8RBoh+k+R5iQX7zP2S/aMapvjMzVp6Oy6216Sc5tH61eXaEHCVKE2CMrSkT
Nn2ElunzoqaPfvM+ZL2i2hbatmIowVj+1vVXaQ4YfHguyjXp+6V9NqBkngZOm5LaJv0GQd31xik9
e26Zw806hcG67RRKpYjULOeAvuTBFiRnv4Uhr+duNwg+GYgxlfG8ORCWzZ3q3kIx/ZOC/ibrPcKM
hhq6BwYyn+XMlahydIsbHDYJBHwKoTOhbrTZlo9Oj+0thVwbaMBSDvELKG7J8B71v9F+zBIIqyn0
JXtwxDvG86StUYwX65CGS76zZrCfIBIRQCZxGzr1vZcyGAqQ6GtyimLU2s+Jcas7tRGqZAVHl3q9
dUMAjU4CDWB2W/XNshVQBUziLwGQvdslos2YnGiyYsylraf9IgZoeIBtR3Z30YSs+2mcNe2+rQlj
1fuJ8aD5MUYg35fpTrK5tCt+78lMe3xuwjlOr8KikSo41BncDRRcRPbA0w68sHDYyUcoNC/5TLi9
NfVo9zLss3S7LLqd2Wm2TMTnOVkYStitnFkhWqN75LNZthWprSmUSfvaRvdLVzXZbUujiZU7Vnsp
Yqrm230P9JPt5pCdWDjPe95Utto/tlHTJ35ZCDscmHpljitHe8ijyh5VH2hbCZr5hdYR6UVZtSGR
bE0puf6rYupjldR+8z7ivKDUsa4twbxjV5Vj1t5VceRXHKSHUzKegUyJUEEqIdO15lWQqTxro7cE
tK7Hym+i6ojysqGgXKFpVwrSNPmqhr95Y/2SPno4JxvQW2eom/al25x5AkGrvunppP2Osn8UwX45
KCWvQ9cRPpbCKvbAkL8C+e+mr15HGT0clFaLeZ7N3JcQr3F/2HTYUczv0slzKx5OyqGrJ9BEsr7M
UFTOY9I8yF34kb9gjPP6GA4RwtC1Mn0JceBKn/pwacp1CCHx4bc2hyCNujraA4odyYWO1zMZO7dD
lCdWw8nrDxyhXpMeliqQU1+iUfX3YthdHIx+jA64a71eHOOgZDdsCSTEwww4smmE7m1Bs4b4lZbJ
IVzneNjp7Igp2yHb0zzpB4oee0qgFey3OIe3yGK6NgpXgQQhjFjukqWBFkjtmSAc8V6Q+6ygRY4r
HD0aCxnt6Kptt4Sl39wPyc0Sgiod110Pomvb3nE6Q5WHD5b74fsZOUTt2HQCQKYex3DnkjvZ0fAb
3rSbXymYHII2WfUAkSbkqyhlrbcVq1yZhFPiuekPUUsg/53V19upqbUoxmUQuZsg2uS38seYtdHq
VryTy2Dr6F8SaPO/du20H/KTHUFfMaFdIxtloP+czMGtgupNEUIm8/8oX/v/mfzsCPwC3bSqeJt2
UEeLqH0xqp77oko6AgXXsQ9eQDh7CoIMwunI4lRWiAyP0YsM4rj3+/pHfBh4ujx0DfJPiGbJFEJq
DQQotOwgFu71iY4AMR7SHW+W68lUTVF1r2sB3tk2bFPod24fIWJ76CwYr6QrYaBbq3xdmoVBARyy
cH6b7AgT4+OuLVw2unJzBLDl3X0Gev+n3+ocQrud9DZlbu9KY7uxWAX9e59i34kfIlsMezSOKtEl
cttLCy1iQka/EsBRR1UHAcScoCBSTmweCxUwtBqW/YPfohyiepKtFdEyd2XlbHp2Eqp/Oq49r8oj
TmxJ6r7r8EXLGsqAP3Sz0J82wHXjNfcjUGxsWNezLtIlcq0naFfdt4N4Q8vlep38Jqk94sTEij4j
t31XjiuRd1FrUyhb9YvfJRYeL2AFobZZUV1SlfYib1IITcnEddIvTI+AMZatPeVdqMsk7hpIkqU3
ikGD1m/VDzewNZ0QVVZ3Zcbk8jBazYpkaubn/z76NbP/3cIfgjRb1DYvEe73dmcDUv5wFNkZstd9
f+Z41XVeORakWF/ncFD/qCoz2bbcbfIDD3VY8MjP//0X/H7r0KuU1K/lFzaHaA2CjgWGYF81+TC6
+a+FDn7SA/8I2f46fI1cuZNV15YZJP5Q3RlTCCTGziukKMSuXk0e7jNu3S0mXwmJN35ETA5JCb/j
gB7xOxnfky0eUeyA4mu0nboazd+i6bpm9nvpHqGB6carlFPRl6Gjk8nxHZrriRlmbynQ//7jQjD6
9frooB6HOatx5MTko5vCDyKqvJYe0tmvh4ZmyJSG8NgBkzuOT7VFh2Z3UecVtfDKfj16hzMmUAB7
nqPEVh/mLTAfOxn7kdQglvZ69LbuIheSsb1eremz0TSGsU6cnvwi6vAgMigahZW+bnkYN+X9kD4H
DFKZfoMfzmK3Td3mtroF8APKXAU4pcNX6Of2s+f4h8+azktlkNm2ZSShhpsKqIL24PN98Jr9EVUG
xU9UuCCXeBKRWPu7JozCJ0JM7N4IqH8qLf95HtMjsIwzSlbOHU4z7mL9boiizt1AYXOwFzzEHLlA
S4+PpyFu1/4h2PAqeDBJM+ivJKLs4jjZbxPo6sbwgqgc1BW2QKl3uotXAkHFYauLXchq/9FXW+0u
0Ee1feHiZv1JNWP3s4EtzVbL+UIrt2AIaGDIPNQ121/gf7M1z+qqU/HS1akZT3iwQd461HYpZAjk
5xNcpoL9hH891o+UVP3slUjSoyoZcI0DuRKSz6KKmqc5U9kDqYnwu2DpERLXBwpmBOGsSrKGf3Ey
PGeReO+3XQ7XHt6amw74Ag3NHTjblrBbAoOeN3b6NWJ+t1UOF59zgRb7uKpyMNDquLXj3kJtcwPq
4bTghSBuecZb6VVdg17f6xMnGrKYsxlqoIEJ+Jmppb3sphWf/NaJvB5dbpXDG5Gqcu6ZhKPW/nlq
yFvrdF3s363T4Q6JQuhgK+tUyVtXfwSqmr1LpVi/r00UvFHZ/Lc/cTh0wipLBDGDOo8rVRzONIOF
0PtsUWy/rRcw2t4A5P7LJz+i5gBPEG7mrTiLelIKUvArDDSaAMZosHkiBRDdflUlegTRCYnaSWVb
LFoHHybF+GccRJ45VXK4YAIIjqAQ0KkSfo3fJrpcJhq9cUD/y5c4gugSCiznDg7uSYkhmW6hhh9f
eqidbzC8m9vQC11Arw6ZvyaFMcbmdQ1HquoqJAiuu/gC20Q/aiv8NF+PPsJ9r64325RJEk8XYK7h
aSgjv8cKPQLp5hqlSAjUy7JmKbuYedOnNKu93nE0OQRyyE0Ek7S2OkVzfQeDwxySv55rfgjjjYbt
2E8YGvL/5yobLromXu/D//By2iCEVo+Zqk4wv7tP4uB+4H5VPHrE0AFWeBXCrWHL1CzDXTOOUxnE
9KPXsXmE0FVxIueNBtjskRjPxliWb1nLLn6jH6I0zJSt4jCoywTi9vdAvX4eoEjtOfj1hPulFyR4
ImAJAcPMdiPtxWVwY4Nsuh8UlR5hdMG2op+ibV3WTQPJcZk+BIkdz37rcgjP9eodONI+O02a1euF
kOWTsUr5FRUpP9y0ss+moWVddurm4Um1fdnY3u8SP0LpNrmuQgskUu0EfezOdWGxt28Z+V1//m+u
2SOSbgY6fwfDD0E0zhBEz2xhOBSF/db8cMHuEOkZ58nUYC3preiE6Ye8sl3mB0iDIPXr7ZjBJpUl
Ks5AtOp3AtuGyt73q6r9eJD0iKZzsAHukoFmJ73s6Nk+AwXwxsr8U6r9zbofsXSM7xHEqQQMOLeA
zvdhrWMQjAS0PF+glNSXdZztsGUZZh2fOaprSzFMKp6hkGn4dhlcFg7n3UAT/7tOYhjIVikMKLwq
8JQd7sk2m+hO03g818lqL3E1QVM4UH59NXpU+KELoXurpvFMFy2BspheQKlc31jXf9nORwDhGgwR
JEOm60vPTuK2houVO8tRjd3Ja0sfEYRdXU9wnZPJabWS42zdGtcVMuYR9Xs2HSGEdlJunyvjzq6X
5qxTtpxMxryK5PSIIES2GVNDtTtHV8myJR5AMmeJFzScHgGEJpkZbOcw+OwgO92ObMj7lvjBE2E3
+jrWmXQg8rvOnUkTmYKqqMlR3/vh91UPB1Wv4HUWUnjmzUTqPA3gzTGsLPS7NY/4QQGYbMgCOp17
gIJgjmTFU5vQ6Q+vuR/hg/B0NjTiw3QOMjRs4AwizvUW+y3MUa6stkvUo4cM06IqIe87vaofPNwT
vwzuiB3cYX8yTG4ez13H2wKi2xCzYZWfYAu87V/vGLcMkMxKtvG8JdGeq1DZIlGeuQojrwePleMB
HTD1XUOuZZm2v0Mr/biE9AjBC3ajh6ql7izAnjlli5QFDjW/5j09Yr920CCqekZilRjyY9T0o5bE
j15Nj9AvqVF77A1zsL6Cn9pqSHWuKsDo/vtW/5dn4hH91UZqIKqn6YVXbQw3Eadrfdk4nKMuzBrc
gv/9z/zLJXJEglUzrVjU4EfEJA1O8BMSRbc6PyQYPSLBjKySaeIYXYiuPqWAgRVZv/3pN/XD1a0a
xBTwjPZsVrMVtR6a06grv9vjiATLDAsnHcf2PCs3wwMsJTkEjHe/6+OIBNs05Xy3iz1Pcm8v0ag+
7VETe37SQ7juUrO9R63nbFKZFLpdmwKQVD/YP7r6rw+DLtmSKUkrcw50YItmNx2MwDY/5SYwoF+P
XjHW2qjh5lxPgyz2WLdFCuV6v4TmiAFz0YaSsxXppWm6/QUeTXBjCru3pOT/JZSOKLCKLkvkAFY+
xzYCH+V6axtYyOdeu/2IAYPDDcrVW5ZdWIDS+Rz87NvuxW/ow0tXwei+gn9GAh91WsF8dAc6cZLr
+MVv+EOcRm1P+z202SU2GiZby9VN7oFHbZf6xepR7suMqUMqbLJLNkY53Lju2tAznTmCvyDENUwb
wdCa4fq74iE6P0AiPSK/4M8At61kyC77VfpILfCFYzJdPLfLIUybsJXTvvXsBBWum86a9yH3UxOk
5BCjYQxQEdWanTjgD00XPLCufvbaKv8B+YKMkLS0YyfCnY5KZlrwruWi3Se/8Q9dyc5EQ9O6Prmw
Plohoc5Gdnel6r2lJ3gtPP3mpXvEc9WBMixdKn7RJhhvpmqe9dOYhEKcwVNNqluh90U+Tnv1v3hc
//Pe+90fPYRvspGqm5uhxdtvXbq1iNq6JeasFKKuvcjq6i839Bp2NXlHB9zta7PZLrntYQ0u9QUP
a5jb5e2u5u1WVltQfad0AeyuCwFpVTlttn2BzXZozfCgOKwYH+cR3rH8dg1YMqjc7q0I6jykWU1F
bqfEIBHqOT5dHmdDL74bK7WL4NmZ1PqW7gpyz6cND/pEnLZhXiyM/mizfoSE3DLXeaxg8QOZ762G
d2oeZS7gLM82SMOrm8goDul7jZrlpHPwClqHCY5J330yBGaTsI9t0r+10fjP1g1sPnHAfWnusEKq
mOeF1OW+uZVb5Mh07L73KNomLl9tFEZLHqdcyK9dzVT2UwsHox8QOffewuXS1s325QrSuzHwdFvz
DqJRY7Es9QjLSPjZ79V5R8uGnANSrWNRpdhpWTHzBVaRcJfc4/A+SmeeXerY7Rq8sKHfYEIouiLh
ZuaPTejq9BTWdKGFTPiALCzV6SnVEMDN10FweECOS9NLcZoyPJqTAhWSVfSY2dDZJE8JT8Abmeuy
YgnSRpwlXLs7fK1e1rlNkdnlWRS0+uR0R74N8DI/Ldu+Jj9dvW/0Ymwfq6fdkpT/IQeSJE90qih9
2CuZOnFqd3BU2CVbXARFhJ0nrn0EQyPF9zJ1bTA5Ee6ZcJcQqsbIxnTY7wr2k3RdfgyprntR9DOK
wbcJGEjZS7QmECMs2o7BSUykMGsd89a13RKAxbIDtAUFncTN7rzhW/b9LYlRSCO3XHWpzBVX2YUr
2RU9XxdtUZLYgnG+ZpbzeB+6UZ0XizPqiffCNS/rSkSXYjv0xF0aGsPrtxeSEajEyq094V0j06/p
RLv+Plt3FIFkHLrV5ouZUMyH32qcEGRQ00QpnHpjSpvnSKWWXyCwotb7jiwRqtrhBG21HW3maRZX
W+Vt5BOQnBwia2HrfpAWBpoXOyfMfExiHaUnWY1x8wNvn7RF0GjWw724ifvxSblQ8BfAswZ9aTa4
G5+yPuzjuz0OiHqI5KL2P+uu7R0YMzAfZU8DglaeOyM3cmt01AyfZaDhZ47jTQke54lmmXkKp0lF
P1hTVemWVyLTolyWeY7vQluz/kuz8C0uoHkfgo0uFhplkHaOefuzmhahRK4Glf6IKR/MZ7DLd1mg
u4S7CzyPfnsEqm9M8T/3AfvZN3beYfdstu0FlpFRVBiJSPoJU+aZ3whF9qcpC8UlJEPavEutS/g5
TGEZ/GFQct3fLyB4kACdaOgGpLB1RtDcjsvUdX8rdG7kfcMH+Bn3fdNW5UCyyN67IUtI0TDKyNeU
E5b9GS2qegKFPLj6HO8/QW3RebPE4iQgEBSc1npPlzt4SMz7DcSD6Jc2q1l2Mi2Yjs/JJtvuKRJV
Hd0ufe22czDIZr3JNhvyMoENcPg55JWqPsghE6Yw2xRAE7EJsxEkGs1h5DfvY2wfx3CfwltquGk/
wbij6t+5OEvkJZSqT07T2sw4O5c4tfIC/HRkH4ds5j9hQYqNXaHutryTa2hxlMh+Xc487icrTiG6
VfO9aiBwfKmEM6DXBMksXmQ6ZuxWG2N4PlWB5T+kzBoDd8pRwaQ67aIqhPcQo+vt2OpxOk0LCYPT
BO/eKO/afTFf6ZRhBqc4FBHkDFfMog7EaPNmDcbu3F0leXII2u3qaVhATDvHxi7fSLgtHPZqAhaX
Bawg+CPSJfFXhRBOiqaVRBdcL3H/eRvgzwiBI60heZZTte/17TKBJfuywZ/OVrkcpmTFeb+bpe/z
ZsI1DV/dRM3jz8XNNP4DFhwWF4KCWg3cgzHK9UOaydkzTBzR6Tx3C9ExHI5NF5dtFmXqPM+CwlFW
RFO63y/rKFC1WOEsld2E1YYcEUw2KW9HuKwF+W7rOvjIY2XJSTLugtMYzlF2SrZ9b/6w4U6bm3na
l6x0ug8quNiSanugMO96H0ZjU39EFflqaV237ZRdoBovprtM4QXztKGulF6YqnHfTVUVD8B5M7k+
aBE2quh3G00FMxYO1HBsGKt6AXtuH6MPU6g0yBgdm6b39Rom5KZHy7h56qF0Vw/5vDEY6EBXPB8W
m0W3sJcfp3fxOAQdbFBXOAnzlo7YY53UrfyTtumOnaAh2Taee5HW8wW/bG3OsVZs/MTVLKu7UdQN
LLWbkbePzhJ4bp1xHLX8BKskWv21QyoZmuajbOKbsa+FALYZDCzskRQ6SneymTZzYxpNgRkmwBDD
4t3A9TCfp60jH/E30z9gnj2t31qIxoOTnhHZs2KA/KIoApxPFdyazfqxIRxW6WlmwHWJuw5gVT3b
NCg24yZYytl+WUEgmWEGjoZCKt9junH8bl02Ud8EHWHoHNWVCtyL1nvf3QG6K3dkRd2+/sStMXYw
8q7DMHq+dmpoWFA5JPvjHmZMjziJ9626TRt8egjNchiOPSw4kId3cL8Y7W04yWy6WSeexdebe5XQ
BBBYxhEGuRmiPIRendidKIZ62bZnmq1tlsPILOWXhGmcb7miS2PfhVOUDt93OxrW5LDkXuPbjdFw
fWLY/fJLM66woMGPpH31TqEctnxIFRbxbieNXU8ddfF0g/s/MAKLS/R8XvYkWWDoq6Z+x8e0YoZp
rgr0pyTaJv1+xprNd0MD/OC7Zq5lXbBG9uOX1SQk/qpJsqU6h0JY2BmsFG3Fnx00U8P3UK1n2fce
yivq29AOiuB9BUFEmGs3pEludAJfY+RvMkx5nw+B23AVtiuuD2R7kIzlQTwnpxEiDf0G2GgS/ICq
/MaKEJd6c7u7Qb0kDvv7rMKl5UW97ui/6KRjn2MCXERBt7RqCrxFWQJHxD5xJWmTmM85XUM9PBk5
SFCOI8h3XkzWtP0j1WYJ2pyDgfW96YdpvcRRzeZ3URda6O+iz5q9wM96kZe5hVPO+4FI+iUd4fJy
GlmFUkBaBxN/2jpTJZfQNgt5h/4T7T60Khl3+Ih3Q48DkyE2AIsHUC0tFURU7WOl28ysRcqYeL8B
+QLjcV7r+cO4LwMI0eC9kqWAjCFckJMsqs07NaLGlEst2uFMN/Bq2wsoatE5rWjXnWxYEXyJWrbR
I3Pm6uTKx2vykwLtK0WRpXNMTtoNYeRyta/b5yZtoZqU7xqsxRcDchv9Q4y8f7CdQ8ZVSNHAs76B
KtxW4HSf82ThdPpMHGQPbgRfDO77ZA2RplMQeM2Ub5QFE1yQaxk+u76bkoLEfDipTbquVCtC/Wsc
2mW+kES1EZxJLCTPIlbT9ERb4EjzkUb7JcNltEy5jatmfHKATmVdoblO2gc1Vtu7dLsaoO52p/dj
mqrwnMLBZsU1ipTjZHeGY39p50DcKt7F04trq2j+0FkXFWg0DOTb1lbLXFQw/b5BugbXTAUWTY+u
W27XRt7IyUBYg4FXjcuWFvs+ZSbvYYbET5MNyY1APvB50Qm9F5BS0jnPmmEsZES4gGarIXnfs4bf
pYvY/mRg/zSPBKGjy70Z9+xxCIh9Hy6QeMUTiE4PgqdkR+4UMft+DgyQ5NOaFBw08kc0RUDWhnkp
hRo5aMiPm03Jp34JxFmRhqtc63W6n1WbvRMLFPRPCtu4iFe3FERWNWy/WfbguNjuRLS23zYxNx8z
2tqiDv+HszNdrhs50/StVNTvhhtbIpETbUcMgLORhxRJkRSlPwhRIrHvO65+HrCqpy3aVZqpsMNh
SSQODpD55be8i3Obi7Z4EKkqlRdhOw7sZMizrPFmPVFT50Vku8t+wT1uOTqjGT06xlxf9OniqoDl
7PjFOqzzvmxTcbEAX7QfJs2VH6N8ArUQmH0ptWNYyHHKvZCV60KTX2L9e9KHS/8ghOMs3pgUswuU
0xinJUg2PYBTvswrsiluayw1zrpN05nUMYlVpUHkjIZ2MRo2bGxopZN+0cZGqK47be76/QjPX39c
ndx0fLXYY3852LWIvpC5Fs1O9KZmHuukTuxzOo85Zq9ROebeZNSt+2gNea1/aKzBqnfINCwlkgSd
E58qbVT5Zy3GSzj1xZKIJNC7NO69QSSkoqofZOK3OTnK5IWWZlm5t4hlSL7NrrCa8zhX4/qMKdVE
OhT3rmB15+wtUXsphKF0h4pOaB5aN0/S29mg9t9VpW0V+14SdwIqmkiemg1+t2tkYVofINWk4hL8
rGUEhpqFOhnQpubXBH5A8WHoerfW/UVFY3zRNR3e8h6CIi4zxjU18+WW0liaVMFANtfLrss74kJc
ysm4qgu25MeMYnX6nIlMneyKOZPVFZP8bHRWpn0pmFJSJs+VwASRJnTsszpIlrxwGInuXTvMwVhE
rfvJgdPfP7oTsf2p6xplpoGQjcZ5FZZCGz8605rOkaeZprS8vg/bwlehlZvX3erOy6sN3T//3iaw
2XZuipPg3ZLHs0JwQFTtDR7PIpt35Yi660ElmlndOOwyIqJutY1LeIpnSbMwLqE1H1NLj6ejlcWZ
XgT22pICeLnjOBEy8BX1Bxlf2vjLWG+5CDYu/XSb9m0bTQeVRVn7mHdaNe6rVOvVqevUIHhjq5ra
oDHzefySKQEXyYkz1X3pp6wZ93WkF5qvssG4TJoodPyGaXJ/XtLUjnglMoEM2NFl99t6bEhKGwc5
mcdhRSUXgnQTnqvIbA5TOLt3jWUuPdmBWNf6w5Lnuddi1+lBCosGC38xN632y+SKxY9wOB1Oq9VR
oMVqkF7XT5VWe/3QT92tNCYZv45Ym7i7NdP1OHCm7Vz1og6PiWNImn1OkOZi1VlGYV2EKZapl3W0
VJ+Uy0MIrL63jdzTE3ADj12+phpZ6qJrh3llXR/IAwx50XMEpF+nyUoOlACG+lwhcS5jX6hIT+7q
UcQxktBG4SSDxyITlu8SVReqOQ3i3CpjI7l200lf/ZYN/5AZotjlYeKUbLVwuKh0OhhX9CssceOW
s5NdTGOrnunEPJF69KaDpYoDBLzCI8a8K80o/IKeRZoEUUFQTNI2u+p7ncxsRWBkOuXSjf16XTAc
Af+vHxPZWvlV01tdftWGQ3c51HWVfsUgun/RmqzrgnnQeI32LB+zwd6GO5nL2T7b06NDLtEH0dqQ
q4Nr6mcvn2Sxh6ysHC+tp4jcgFHliNmdO9OvJRJ29Hf69HqCjoADo7t1eiB+t48ZyZhnChDoJ1rp
qjtbjdtoN5YExAcoSJbReBqdKOpzXsqw6B2M7jBNdrNuuancpa6T3EYN3vA7A5pD8zqPZjb6Wkzn
6gtaDRjUtsLt7F0Zm4vJ0kzMj21CPXJYyrTzzJQAWnvj0OJiF5lD/M0VRWc+WtMQj/5SdAbVjrTz
cfbS0c21z0lihM/ulpoc3RmW+cPi1C99lvc26a5qDJLZws6Go8ITxPWV0xYvlWDLei6WHT62ILq9
y5XtvjX/MmvlISzuDn3L0KaUwVR9P5tykk91pCn4x4kK6QxqqkAZqauRKAhISorpQjhV9S3PZ8sg
ztlxWj6i1KZS32zjyTqmvb18p3SO1ss2N8OXIs5XJfD/XkbzXMST3Txooe6IFwPLDPGd0jKmM5JG
4qyqNiN26PHim5HRTDetCmUN1YjZkh05kX6TaI5DN5vUQ78UE4KiezW2jhnM/apbu9EZu9HLi2H+
iCayYX+qWzXeaprdfXJDaTwAoOjXQxXCFjlqFYXxnBfzuHNsF0HfNR3rTzzz7LI0MmBtTooBNxon
dnWqYqUaX9RlMXm1FmZPMHVnrxGwfOranpzLdq61G+lM85Wj1tjdVyHSC7tcLPOhwVbiYNS5frKx
SSbmlVb3GKtILB/qqII9PI7o/XiiGcL+4zQg8foFARGKs26Z7PiJ1rAlPWdceA7mlKaEBWUZVkXG
IeEfu3r/EM8OSaJFKyGKyDJSoSEPK1ctaIHBi51wI/omE/bq+JTIdk0OZq3Xj8ivp9md6VaQwGcc
GO4SbsSzktGoB5+wvfST19Ibsz7UWSxt36q5nYeqCqdqnzZhGvumLevpecO6nqoyL4rLWco15zMy
rbvLDHvKP1iRnEjYlsTau26tVUcglHK6pRVd7ggTZblvhUi7wIzH3AAuhzHsrpp0ggj6GBe8C9oR
YS2qmnJ7ArQ8Lkt/12lxOvqlGIz8QtPGYj0gP7Z+1wS2SV6ONeRltFYz2yd0eRzZpO8yZQ9+0/TT
hVUZJJxxUl4udSzuQC83MATQd6TPgVCDZcvwSVuBk+9dGDLLA32meeQg6nTje++2kSnxwMlW2gNd
PtTlqWRCkXyJ16YrfN4UhHc3i8nMiZj5WPhxE9bolyNepK6QSHOlryanHk5zZTfuQWLLjTVqODpu
4mkC2cP9pKxtE2rpGEW4KzZUTASfLEjXTk2nHlKG8sxq7nO2MfOul4GzMzzVba9HwYiitg4SszBt
47GyydCCcVJt7Et7dOD69M6SPSYOMjWBjt588pTT0LC9ohzi+EGfV6JHpGmOceFIoxB+oczcDCq6
YaNflSOtLQ8S1BwFKSw0/YNdN617iyFIMnoLKtD1blhCUXmLudpkMKo2+m9ai6uCJ6B6qFu8bEZ5
iJd6kt8cvtT0qSNBdc6iM3Lp27nMzJs8mnREk2uKgjjpiuJugcCf7c2004vFE5DtRxqYcblGFOo9
LQcW9UxSiG162OB1rbrwKq70ZD0Ztj6XV6qmT+s5tTWhl17H7YsurCS+NtewBNwT6ll5HNxRM28g
2EmHPdVa68T8p1zqPf6NU7sHLlYXPlMVMTyXU9FpGCSuvXvSctopT3pebG/IofAJjFbVKaxFCrDi
eqB/mPnwK/pu8NBiMcxL3TEFxaXotfKYgLMYnydzUV0QOk7YHybi9RS0oq6zXW5ZbhOYONL0mde0
xRLvqQZzdRnayK8Bvsw3ezDc0qogjRM1X4S9Ll0fnkikRIASg86GSsKCeTaj0Cq6cMbZWslZ+to+
0iSomNY35HYefVgj82AWrmnQsAzyvT0PRvMiE5HlGrWDYfcWfreImLzWWZHD58qYkPUcpgV5ou1r
easOjlmby3zKDNdyH9GMLvrzRGk/13zxxE5tcpDZqj4ImeTzJ41vozQvNnqrGvabmjUF6eiuo309
bBX0ZahV2UzyBV4WgakljKIPS2F0FCvtYDlscDujZyV9Zi2CalXvClV+SxaqawByiyz0l7YftYZk
QAoKpqqHbjviVlO1F52qBveDIHhEpIpuun7PYqYRX9J0qrK9HdmlNvF0a6vEi9lpk1ubdJ+9bCpp
i31NatS8xLUtJtfrDYVa8yTtwb036M8l2L/Q/++fVWsP2WOtDZV2U0UMfG7HrVBFsWBxc9OXY4Ou
MbS5us1PccHci0Vi19a+lRQ+zg4fxaG5hAEYiclfmSFVVLpJKxMZ6MLp3cupZpJ0Jrt2nTNpkd19
LPM0ay9kZE3VSRvwSv9i6Xqo+86Ws+2HqtAGL5fmpJ0rHXWqW23ohoQYhwy9r8iMy90yFG57nXQ9
RJdC6HK8X3Nwgb6rdwx5EisvkZhpI63/5jpdHd5bU0fwL/E3SMf1Qlux7yZlRdcwP011ZC3kU1hc
+4ac++G4VKWyji1d9umQZ86qP9JVFOIiyZgE+rVeAADYQTzVWzdgba70traOmrZvWtMcfMspUs1j
z105dbfYzBoF8hh73QBa3ewTzWDe45SMeBYvx2LN9ZZmrkXQxlLYx34e1Hqs7VnTSyTdzGlQ9PQi
vNKqQRnpWRht1z2KDlX1FxnZQ3EmsU3kPhfxoD5OE6OZII/cNIKdCCDtJinL3LkMo7zMPk4uD+Zy
Md2su9AHLHWuRu7VxNF8WcVNOsgiupjTVmUPFHpJOPr6QLbcBGnlFrStbTTaEt0f2My15qP94Sx1
wBxQumqfAQfcJIzlZxQM9c7wlUIAs9gVjIK64UQC1vJge5nW7Q3ndEnjGTAOozRyN7V8tHjskKuU
iLP1gelJOO9HdvJeras8U0Q72qWphYrEztFRrzO3MZ5rHvTUcepDlspGnNe8gqJrmEvVf56SQSFa
kQ1Ih+z7qJ6X2DMmR0hmnCagK73p3NF3aGx0X4oRyfqbCtmFztxvUq8GPY1ZYO7utqsaU18V05QF
S9FujnJ951yLNrTLkw25fDo2ZT1YQTQudXk2O3RqaJHqzFurpZXDPqGJb3haZxjanhllnwS5GynK
zrrpajIkq0isr7PERf4yXKN0vkOSwe7pvcdhu363SmFFz3VW6flJt6A6nnS6vs0V9PK2v8+RpCa3
KYU9nw1b65bXpRFpfV6WSOto8M2m66+KdMSjvzwwW0m6DrBf09tXg150k98vGIeeWm4hDYbVNDMf
bLzDzNy2N4zq6O4V8ODrfMQZ+EGfsqi7avvVKC8ktnfr9rZlCNdB9QvO8J2002fafJoVpMLV6g6x
VuoZvytZ7cWOzDrjgCSQbmX+1NbTB6W1o+Uvmma0bBa3aaFL1GJ7gqqmXUUm0Qr1oZNjrsFLT2Ty
fdjOx+9ygGePvIGITk2lFsPTiXf5R6ttzZ69F4mi6b3a7SD602LCKErGeqIHlik04DVW1ITXZiz7
aU8YRQtxzMtkfOnTuZ7P1SoL8amdB8emeGnS4WJZ5Dp/cmVRjx82DUfr2BVD6BWI3TQe2Wi0Ncvr
eeTMZYB54y6LkhddDNPgmkFJgQYDufFKa6vJ6FoJjCtt0X+FuNq4HsQic9rNTp3RtWub+A6YhEFG
NGLKfJeCbORcxGMD7UY1uqF6lLWugGuXOvOs8VCGbVP1XgLfz/YqFxyB5TP7bocXGkkRzVsaNnr/
lW7Fmmie05O+pp4gyvb0EPMKtoeHSD11536GHoo5UDnbTvwZhvUytN4wYWLTHIqxF0nqTw364eSh
ujMLI2itGChH8B9d2yPPqwn3wKTK6n0dRFDnaW7fhD5CydaDxW9rl+MUR/VJxVvvN6L8nustZtrh
h8rs2h3dgnUAqayF2uk/wmHW56Wz8yNC3fMc6E5aDd66xOIDA6tyCJwQ8vdfQzC9VxZyFrssqrLL
d7p6Su17Z/xrCPX3gkIit0bGNVzXSu5cmhaJ+IsUGuMdCLtCrVGFiZR7jkmdJpIa9auOaN39hMNr
bAirf4f0eYfspBVm9iDSmExo7L8mrpL+spi0Cg3Erq1pOJljii2AVI15M3e0bimwUk33K23mPf05
hGpDFf27e3gHLIsY0cyJ1sp9hZtpHiQwQ64ADzY++RrjR2Zx7k+UBv4ITPUOZ9Y2HUsNTPEeQYBG
fuyXKhyCOiLPDSZOJtRJUSTJyUrnpfzJE/4DCOd7daIUfBiniSn2josnR4/szK6h1/yTL/RHV3+H
Pqtx9OtkrATIkeI5a43Hya3Dn8DF/+ja20P8J7YiaXpT1FEo9gu2H17cLqdkyK2/ePF3CLPeMPqy
Ghyxpwe9Y5CaeKFB5/HPF9Qf3fk7eGg4j0kvVOLsI13rONPH0DNiTv+/dvXtU//puZhZbYEO4rmY
a4E2b69wmVyrj39+8T9Yobr148Wd1iimek5ZLrFU5veOntLk685i4ivkmkXt1QNo7CNMIVH/JXs+
672eTexGk0RGSOyxQxWf7KbtrlOD9uqff6G34Ppvdvd7NRuZLhZtocjeF66K6UCrcpkYrvCfl8Xo
nUebzJu/KW2jdA5Jnd6na3JvsNLEMeySIaZWieId7ozf59HCutnrJSnZb3f3n9/m/xW9VDe/3Uf3
j//iz9+qmmI/ivt3f/zHfVXw3//afuf//syPv/GPw0t1/bV46d7/0A+/w3V//9zga//1hz/syMv7
5XZ4aZe7l27I+7frc4fbT/6//uMvL29XuV/ql7//+vV7kZQBRU+bfOt//f2fTt///isjX8PYSDv/
+c+f8fsPbF/i77/+7/L71+Jr+cvX8vsv18m36vlr+wtYHf7Y/dsrvXzt+r//qqy/KZIGBSdPt6QB
huHXX6aXt38x/2bqjuVIWwENFHJzZipxQ43//qth/Y2/QfrXYa4odTDqv/7SVcP2T87fqHGY9rvS
EKbOTxi//vcd//De/uc9/lIOxU2VlH3HhX/cONJ1dEPq3JnBnemgK98dJoyVGKMlM4ZCU0FbVBTP
Ze1mO0vKziPFrvfVmr/2TlKTKWfPlQG+W1Wa4Tej7i1JBbDTLel2zJNgCJw8jiAA/X96yL/f8g+3
+ONZ+3aLrqV0xEMkT0S8V6iyRhjmRobfiVuEs0eJa+44jpjcxOo8Ns1XIFXXTjcEXQT9L3OanxnC
vzvs//sGbJS3eFRSvWfPmplRuxNNXgS4uAFrnUcfIJxFVzXcxU1t+kMYhh789IshbgYvNX5KQ9wi
8P8Eg9/uwHE36VehOyA53lGPOzsx27zIaYZhngiKVN5j73ydNOXP2DDbhf71g7BZh8qslPmejOSs
YdcD82iQch2rYx8BpJJ9/VQ1Bdj+hbEPal6V32wt9HGalC9DvTxrs3krSqM805rVdkxvw6806KZd
O5v6HdzJ0d/2xYEZX3saympBG9DOdhoVvJdl4EqEQ9Xagm6DIxat+3AwbxoNoFgc8iCXxvnchd0J
IJ4b2EkTXkSl5jL0rJdDJ1YG+eHDSjYCkGO9rwxX0O2a5uu5y14NoHK7bsyfy7eSH0341VUvY1zc
Wav89OerdMscfnxwbAlGKbrh2Lr9L8Z2ci31PEoapFKt0N2REH0G50nru+390DQB+8SRogs1qp/k
0Oa2QX/8YFvAVZKutMy3MMK//9PxWtRK1p1Cv83t4nzn9nl6kuDMjib9uyCymLglcqXV25risljY
0GUHKlG6JS80By2dx9F+ALvoM1pmSRtmFjCdcZH0mpYDKLHed5VpU8uC69r9+TN7I1i8u3fQ6hIA
r84MT75P9nRaEExA0OFShlkGDV3hyyjO4NuO4AsZmuwy2TN5gOZ7Xc/uabQAhGbRxUBH2AsL5/Rb
ALLnfSXODlgwDxwRxbHGl5ZACTzgd4lPk/Tbn9/3v75rm3a66QiTgCSwg/3xkfdmQnth5LaxY0O9
BHtKz0UJ47cH3Tq18puhV75m5+bP9ue/vmzgs6ZymKMZOmDVHz95MIuQbhcSiSGFqT8OyvVU0v//
2exu0cZ2LNNQ0JA3r9v3nkQl8CNLa/Kctr4sD7Jtsos2jJ9/8hDfmJ/v3z7esibwBIOx/HsuWFW0
UtK1zQ+Vmb+GmMJtqDFVehGjNMajbHKlTZwtI+i00lizi0Lkr0Zkr7f1CmiS+QbnzqIwkByVX1BI
7xhl6secQmwPPtf0W/oHvlW695qjMSB35LU5Ly1iS4MbZPOQeqORq73GGGGX5Fhl4zd00GfimzCQ
QgNcDYok4cfw1DHOuuTW0iHX2R78PoMeupKrNnvmyv9r5lk7phFsgNpMAJ/iXgSCoLb3ptk9zr3L
ULiewG30AM7X5Fmk1m1Rr+FFWKegE630tTWH6tgNsaJZUx61WdFFxGt7n1fJaxuFzEQqYm5jSXp2
I44BrsH6LqPO9Mc6f3ZG1iBY84dmrVeAdeo+ZnGA6My4b+u2TJR2nOLR3Flm/2SU7PZpi97LknWf
6ll0+OTRqJ3n0kTGiQ/DKtr+augLYRlwWZBPyXMXzeDKmsb0Iydv/MQUX8qWNm00FOYd4EaSh2Tl
IF4dbSfz9JUKovPGqHeDAhNUL+r7O6SpXpyM0xOjlXME9p0RAYF7GhimZRwgQUpp6xet9iRBUQV2
2CpfxcDZhGuF/mB38Z5YBvZNJM+WzetgFJD4WscJnC+MNAq7OIu8/pga6p7JXcE2bPsgC934QPJj
cbDgjpFbvJqya+8c7NG9oh4+kGAcgAQ8tzrw0m4AAaPJvNupjdtRLATLtkkd30V4umny15L+J+rm
42XTj5drkb3m+MUcZirlIELk1esmINCTdQUZEbGtcnQDU5fX6JdDSGSSQ6fazgKTwUYQ1qzzajsy
l4r8CrZiDYIme9UijRXLm8UM5FVAq/MzvRGP4wYjL6PNABuYbDCH0WtFBxlwMdGatqcbaHF1nmWX
euBogM6uxbNVFfkHmuLMDUbN/dgho7Om8bNj6dUxXvT20gnlvd7nfEfS07OTDuRW24shM7junBZY
qMHh8bZ2l4llo9cKiFKY0z+Mk2c3JGcUkXVrubk69Ev+zMgWEypWuNGzNd4WbruBnsNy3suZqQTA
lQPt9ftakcjEjZ79tgUKVphhWLck7l0AYpUVadfrVTnzsoZkyzY0rlcVG5ItZgXBjgDfqLNdapx1
PdMc4/Oka9rOmMLEr10WbdUnz283zu2SxQzluk81zjSl+N6mGLpPA1CePYKhxOt6ZqvJuL6qgATs
EmhKvlzAr6+NPBnOzD0VUCKSHjQEoLdzNUGnSbMw3c99WHoFAUzDm9xTUvA7fA+WbvbbCy50cWvm
zRPIAddz5vS1cbjrsEmf38LFILPXHmlgzx2JBGUa8QGdA1oJDLtfO0vqAU7v6DbyECkGyIdW8imy
ZOmNwjiCeE/PeeVmQdYQlQhU2c5Z6ydhVue30wmiB14wEU9AGHZ4YTrp66KH4Y0J6KkgSfITB6ks
YP31Hv3HgHj6vcwJJpbJymV803ldlzwgSUXI07juSKzNnIoHMotDK/PnnvxqC2d0Qwl5uXP9FpQG
QXihpnxKZ+4tGZxrs3LWY5OLW+odtKcB3Xl46TzDwUx9F1ckD1/T36uJeEtYnMTSdtux41Ty+u0b
Tkv2um2JJhG321EgHfO2r7mxt3dQm+o6QXfT05kAw1E446EtfKPclk3J+Ck0AUJVRvukp7ZxFm0K
myXKd+3KUsEvZfkt0rk2wQRS+321CCKqs2o7osn0AURYv5s19i/wEXM3aSu/5draMQdFe9Fvb2fW
WHlirc5rBOSQNhx/Va/zxVskTmh4BokT5cEEeIkdTJq1rO69zOtm9fgNhztx5303869uxwsYkqFm
IjKsey0rkutK6VngiprjpyMisIa5/HauYOilMPUlec4ccWu04W6Js+Vg4VrkZQsPclth88pP0gy4
FUSa/cigHKdBFl2rCDyQEDuvGIk+7sirsRQJxfZ2u7R9Skp2OK6Hpk8VVIJ64YLNSFXwFn/zLTqG
TVweysywQBRV1bFJu363nXGt4gOimFUtBjaQXLOz43DXJrMxnz4fpL0tHR6SNN8NE7gyLcyXB8AR
1VEy/fUseKiejgTI21op++I5deNXKAT3oZ4uHBgtU6CRR72dNqEiLmY9WyBE0+ZqlrgrOZqjezif
m57dtxl2LCDmAHc0e2TJQRowqbueAJIEAnka3xYS/EsTH/O64sBb+uaaKNlcJnbcn+yJmUsnaF/N
VjwHMJoY5w2Tu6sqFQYpAyOvYpYNdBXm2rGt1+gZbUSGBBZw7D3Qm9HrIdEfIB+RaszJa9VUT0hT
9Xv8DYtvmP+sH608rS/1MpuDqO4/AguODtQ5ScB4zHjSbQMkU7GUZMRWEgBFCQPLWvUj2PW9WCmT
xiraUoN6rE6tiOWNMQAAmgDm+TauK6yEpjq5WwGX0S72mrW9tozY3kt7Ni5wQXwetHwOUmkCAsgg
F5jT2u3B2KyXa8t2Yiz/7G5lXiXrLABiyP+4DMuEmGJQaRAB6OFnwVymiT9tAi4oq+k+Uxiornlk
k6MA24uLjJN34YmNZvuCdoS260cQvEZT5tCB6n5nSvsE3g02WCE9sCerx/R1YgSL8m/m4nZeG23q
J6kd8vEpF+u5mG0MXHstgUMaxrBvB3GRV+OXCNTJS9a38bFo3DCY5pDptul8wwtll0bLt2EmedaM
mKCl6Z1fIf7uaU2f+6wG6DQZLVbHAJgAUMzUqeESxzMT66hhiOFbHeijMbIDkucbbcp8HNJIE/Vh
H9FL27kR7zSKr7SpvWSmWbEIpwdDny5avC48N6EtqZT2UjssPjmZ2c6cDROaj/ZV9ETdtDEsMEH2
bZSlsD1a/dxqVhaUESETDV0mlwmipE0S60E3F+zarfJZM5ho+kpYSobk1ZgrtY9j8icjJNJUZbw8
WL3NnFqaK5ZlnEB26YSv6IJWvmm4+WPZMGG1V/1pNAkVmtE9lWjCeEXWtN+ilZESJ/GwWx3ZH7KK
JBg/5HU/ZRshhxou81IN6NxbHLe17GzpnHMRwUE3BFJBYwVnq275ra2iF+B3AmmxTRl/IhGsG7fW
7LZgvJLMbwvWLaxSZiuROtjT9KzGAYpHOd7GLismVAUA/hKbMtBar9t9jq5+a9B9OHSOQVnIae0p
0mzUK5/BmT3p2UCOLPTbDqqVB6SGFQpN+8IwYnwhdclAQ0Y3ZT6d68X4QgHZ7PVRtJedbrYPg5Z9
TjnTwK0dGnA9F1NLUAOwl10BvdV2oIxcWrQ92fUWTte+WK+ygRNvdHuwRsK9t5LsuV6KMwnGfLOi
cEYWaF3VLXmNZqizkSYOdaOb+L05JRB3io+KkSfCUOu+N3O+K7hzKElpfKPDBfuc6Dz7kjR5Z2Ty
lNussDpnNQyaW5Fg8UyLfOI529J9rKyyvYQXPt0XjaZDU2a5mVvzKokWf8qy2F9c4loI0m+XNfGM
04plDlAwtiBdUK1glUXu3fUrX5Yc01wxySkT5POrtjrmkYEr89CdDJW+llr8CoDoqW05h7pSXMP6
04O3E72fKcK2dKfZ1mrEMrkG8ESVR05AcW3uUmvRdvDYXc/ezsxyqeAUbFXLOtMgkvABgyFqn6qC
o2echulDBMASMIrOyy43Bw4AahcLnUlP6fn8IXP67K4ZxsQvdGOnAR70Z0Y++H9Y5u7tlGv7qjwn
+Gz6oH3cIHKVcUbfnaiPcZ83x9b6pbBkDHJ+Vj5di5EOyCAgN0MqGzRWk1rC8Gs+dVylLV71Vdef
i3Aszzmn3tvqp97cAeRILihWX2lC8K1y5w7Q8sFR5m0ZcUx2ISdXWmsvW6NK2GtzHCI1XomGN7Jk
2xkYsT5hTI9+Rw5FUIjq21aVBYeZqmHIaOBy9fh6SQhjNCOzXSHha2Siv9CGNSHi1sBY1nVnN3z8
AqgCfi4JFqjhD3k7wtqwUQfT4skIVMwxzGrniMOh0h9L+/bt7FUz+zS2w/s/L/z/teNsO44uDYlI
N7Km740wBnPQ67hC79reHtNWUtk9X1p2cw+q2r5NItbfn3+k2GZM71sNDsxj3TD5RP29COqYjlB0
0wVl6pI6l2Epg/6+f2pq+pCpXqz7VTMyHhwLCzDmuoc1C4wtqx9F88lt6nvo0RCsYmrrLbMZpK7t
HCnvszG60TF79K0Cig7CUEMQT4CS6mm8cQowJqbbk3P30cNb7/StLJOGCXOniF+duR990Jtw2dcy
mLTeOJsAMS+cei7Os2aQQ45bHiwpu3pro8eApaSkZ2DeaToUuK3uQxLbvRvc76mGGGUJRwRA9ZZ4
xkn1f6g7s924lW3L/kr9ADfYRZB8zSSzU6qXZdkvhFv2fR9ffwflfaosaV8LGygU6j4cYOPIUmYy
yYgVa8055kZyzPZF5IaI+Iz3UuiMt115hhAWswkSkmhEvAYopXmCc46Hcx92HGNdEsZO3UATRGKR
l0UmHiFas9YzOthmA0+4gX7/na/1H/pwrsf8RNo4a9cBxstuGGD8RiRmNuxTp7M3naniAy4+Nj7Z
2JtMA3UVy1Hfjnli+X++oQzz7Q1Fx8BzmX6zRtG+evnSLCbGkGTInbDLjRvkV46fIlu7Sya5+mPq
+vOgp0A4dEU4gkhvKqjb916NQcCajac/v5m3PXub/qhwbMYTOgT/V+/FKnud42Y47LvQcoO8Qfrf
RPwX2J+HuWtHtFLa5JdTmx+SaPx3QY3PzULmBLwBz+WrYJT18koUfEKrL7V+37gUYxkNnS2RAe/R
qP5h0aDLjL9RuPQ934yp2E1NwZQMvS9m0u0A69Vv0/mztnRXyOo/LX2evDd2+oc1w7OEx13kmQZz
n1cfDKZHRFlS9CSzp91F2NMwT3q7PfJ80sqZ3IeY7XNT63TPcCt+LeZ82Y+zUW8Qnw/bfEy+q/zx
z9/0S8XHr2vNHFEKnTuPJvCrQX2NMDfx9JobPks/V0jBfvwqfrOUGi+fm3cm3K9m0OvrCcEijV6Y
hNl1EPnyux1MR5NhmXV7N3GuEG7CG9ZEGVShnWx1quaNMcovdp5+QPB5zHXnQ5tIDS/idDmYGcJ6
VF1KJOo9UOzaX3+5mgvhmUJwq/OcyeeRyG8jD8uFNhc5UbcvAFVsnZziWTY894NesmWa5nGomnNM
k+wjgTP1rqv4irAe0tLVqicD2dQG8Bv+tdo0N4RhLRQZ1tVk9O2mT9NvsjuIXp99vK+3qneOVmfd
mtQ4Q4SsAyZNGmh9FMQOnRoHXcy2L5GTrlPHTOqY7vU83doF+MTOWs/WOhSQPCwLcvO0gktDK2sd
2z3vMilMruOf7xDz7bVZJ8mCBr70PFe+nud6xjjD0yXemzyoGQ9lE22dPsJAMRX0xZym3y6xhQ8U
LvWmH0f9+WPSWkWq31QUhA6t2pBtR+H0OtX6QOAQOslgXOtmuEFq16GyvKQlAd7HpRMaFe/u1sbb
kZYjoKOQYyIkQ+nXog56GSy6LcUmRWmH3R0sIj01NA9O+zSYmBEA65xdD5Wqga51o+XJrp3094IH
3s5cHeF53F4mk3vdeY3FLFKFytCJmj36iJM5cWFM7oSkHOU725j5dqVhdGi4nsOE1zGd1ysNU5AQ
GyS8p7CkK5hShBhLpnaN05c/c9XR4YCduQWQwqloJUOWWcubGYh3Dosx8qc6/mpyhE8m5k24W+kF
cgTk+mZQJvidksM7/e1zazGbt3LacKhxtHdmef/0pTHAYwAqHFaNN5PjkpOraaiYGOauMHwzt2Ee
lXO9LTqqzrmY8dhPw/f1vLRktJ+GJv4J9uudFevtAukgi2CeaJmApN9sE7k5dA68i3oPpeWHhZVm
y2XgxfLW3E7Le69mvq2BHJyLjrda6AzMGK933gqsCQYQ/LNUN7usrhZ/HUuqzoQPYESCBi4FteoZ
cpiuHV0Dw3iq5iq7lAXFva0jXXaN5TK3G3UYOXhvMrhXGygVOu6lbrxMrekdQN/bfZR3LNZBsSNZ
0V8LCVrsZUU382g52pLsq67ufS2jAzHonJ9oZev+qOfvDC3/ofrm1bgjdI9yUYjXTxKaTHeqYBPt
w5TGZlNZNgfx2TynuJkOcdHTT40QwhvZcOxoT114Fo3KtWdIv10LCrPSfdJlPeIQOZD08GhohFrG
idaKsWsoLWuLI2YsOXZbon8yFaeJ555IaXBwQjzv7jDIsZolgn7tOn6xzSG5zThRbYvKig+2cux9
lGF/SELrQ97AEDA0hnq1Id2NYuiwi6EEbu0Q9IxYJ5RIzW7niT7J82yjym19w8zt23oSlknPy80w
TYzws6XNcFLqbtop9a5C7B+XDQlQ1+Di2jqajZe7c+2qJG5tlo1o6eObrGCMaXCW2JnC7jc0liv2
QA65iWd+pW1ON1vwRZdT4/q4BvOglO2EUJ0e0fNaX5gTo9ElAT5ld3gt+t789DzatGu86R7T2lPB
uPsqTvkS/rxpvS1gXdZXilcUJ7qJWevlB2kjmxFs63T70mEzHkDo+YWzPhJ2PF5ErYet3VXFJxuz
J3rvMXtnz3xmwL+sJ1xMjcJC84Icynit7/HcOfOmmXxDPWeKVpntfGNk9PvdnE641Xj2Y1mLYpug
6j6S/qb7mc0OOWv0sUm94hCXgaQcdKfAvMxtyt7FRMlhAISC+rNuDKdsqZ60jubr8/yB1oah0ecL
Qf/E0BafRL1OAwRN9pSm5F4v1h4f5nsGaXVy2zaT/ajnwkfcfm5HIA5CKlSmq+aliLyf/I+hR67p
P+wuzfekAS97XDjmO/XwP1QWOOxdwzU8z2ZXlusu9lvVBZkmK9MprvYNQ4rnAUFhryNhg4lQnfAY
qj6fNlGmjrOe6c9+hG2YPDI8qI/PYxilDwinWg8V/qTf5uv61sgHG/0ic/H6U8lE348WZhEOtsD9
n2+xt+uea0oqCp57nTPj6zPSACGsK2i87DXX3hMsxNyEpSJbOKI+d6Owiryz6r0pnh3uKepTDmU2
lYz+OsAoNsCrtBl9Dlrb9Wape2eTrJP751lM9/z1DgyFRtYXlByIRoZ1DDj2+B6sah6CtmmzQCBm
AeTEmvPn6/F6o3x+c4K6ludtVQ2tP//ty5SLm6ZaRrpSEjewI1reA85ZpgCMy0hbeQ+j/w8vtz7i
KJUsg8PEm20HG03HIDLbT2K9a53iDD2AFanj3uHs+F6/5zlp7Pcn2mGNY0VB0YmQzeDk+PLjxe3I
tLFN4n0cx/jPk9FmLWyJUbC9HaMmL95MJGgGCcHivkUZesB1GB7wIJVXdmU7Hye78G7ScThIa7hG
Tz8HeLbkxp7GJph4Rn1aHd1F7tbl3psWuan7MjmXVuqhVimYbqq+3HUJfxzyuVxn17dALNIj6Q0G
EIwOc3JlFj721PrAGcaOtzgIJt+ORLrVrXg8zuG0oyPZBG3U2PvCjKwTWg6NiUp23WFM2XJsswBG
YMO1jTY5y0ZLIfVl0XXJOXmnRm30ofu6/hDzg9jUvhqr2s6YmuF2oVDbFXmY+k7MSQ0f8EjbUJh0
BOEGbhLm1H6JG/OEQFWgA8u81JdFU5IEaCenAbjghNKizGhZhdbechr34CW8Bxh8q9P4vu7t6ygG
mqjRHb5wpQZxS1PG5wET9B4XuXjnQXsVg4jwzXQpwkxEtKxKOuf1l1+2FzWtp+Xs8igo3MPzucfK
UY2UHViElloqNQv9um4aApXrCcu7WuzArNcvsMps32178D/pQF3vtE7qJ3n8LTdTrO1IDzfsDJL+
zmgHgM5S32WB9O2yLXcMEezt2pXYuZbSHpZqss/e+ufTqr/uY/NBOKhNplmiJBGDFQxtUR6wPLvv
dH9eHx6Q/fFA8QRTx7DQ6K9udVZOQ1g4q3Zxq/ZtvGxoEb2zWLxePJ9fwuFCC0+Xhnid6cwpTNAI
ANpdzGntVyO90LEdOWbUCjFIbzVcG+29U9HrooAXZe20KW44T7BsvFqhIg1WvYxxuTSV0wQMvzC/
KWJoxigzEAww0tMgiR4rOF1bu/+3Dp9VTsk+h86PAp7mJh2Xl3fV0hT5mBaAigdZa8zlCa3FwK78
NF1fEJfVsfZ6d89q90DbIdvnthw//HmRflbAvVjG1vdAv9rkLIPodxWI/75K89i0jtlqcgegimiA
pekOhW21HMT1Tm3aEQhOUujdl1lX4RUX0r6qZlSnYFzcey1z1Mr1aDF02uluIPzvSe9MLmXTUd3F
9a7I4vYORl53FK3Dx+lj59wQsX126ql5NCNUCZu5NJL95PU3lhNhahm1/J3iS6xttBefkQKWgYC0
QM3TbHstplxIuLEbttDdwFN1BmI27/Q6wh07VuPp+UN4Q5zf6FPknLuYHzB4DLee0pWfG2hHFCWY
b9GLgCIYRgcvil3fATTEc613x1mZP2u0GAds2EjI4I36SWTdZmZhYU9OxpNScXfIG9miAFDuXs7O
yFS7CzSRAqpSsglyiR+QQ8g6Yy+1XVGbyif0bBPV8bzL8EhdzfzmrgZSsonjaIUbYP0Np/wGwvKj
alOLRWg4iWngzdp6vomaeARj5vRPWlV+//Mt85zn8Ppy0hFHU+nQCn4T5lF7+N8U56YdwCF6JwMJ
AU46npNougcYHm6twTZ2qjfsTSKXcAvYEMGRqEkjh/e70RK6V8CrjG3u8Zil8CEumizSv5A85DBe
9tQFf0WexxE3G/DpEhAjjBsuutxj6v2m0hqeQRrqW71Hsif6zt41JmxizNHtVpPV45Avww5s4kNB
Q9rPVPuvK5v1QGRg3ffWh+dNZbPMScygjQsw5uInknn3Zv3CW0Ct28mIxnd6kc85i6+uN8FGyKxo
R0IMeK3ILXCEm/rQs0ygCfJThqlPqKPii1qVxlZXxbyz9DC9imUfX5jYpTeMSHFwTYbygT1ShuLk
3jKf+jh64XmK5GWoRLczkKrM8rREaeU3CzfnmKLb5N9uawobX/O4uFhZQ9+cuCWpPX9WXaNuTSBG
O6NR4w+y2bvDYPFFgmwoz2mnywBvbrSL0XV/mMa8vWNqTQQjiJZb+NFqa5uIDVbmcWBJ1QQ4pMdL
FEnekbHibY/J4+BlC7e/8obLQpYOWMMKbIfO2tLV5Ix269thBpev1eT4QeCx9ruRtVKLiX3bCtNJ
d+AguZV6Lb0y9Qp7LXyAz1bo5Og8CP45x3Gl7TxCtrfdGIEK4EJuYseQQUxDgzKKJtl7WW5vClMb
Q45DQ2EVVa9L/csVtpMyzwBAyp3boixJgSTu2lqwwlZ25TuiejcF581eaht0hNhPLOGyvbx2qKb4
nSSfQ+yMkdLSxUHz2YTWuWJhWaC6wTWJ4nL7fT/N2s4i4QOZWBODvezdwwLPBzZIOGyKvCo+JNEq
PkrYFDJwx5D+BEAxE5TEic0aTBDSTV9vWcGWns8BLSvdDrprBEs77LH7w2417ftptJ5sDfwQtuz7
ME6+cxIfNjWjzIui1xxw0cBZiI5xb+BImEGcu00A3YNmURnXJNXN/V7SudrbDKR3jM1ZhkdecvZy
650O49uvihEfinRKLA7q4vUpHfI4ymCF7w4mEQVIzeshm/OOaI7cQ6xE887rGW8LS45tkIs58SJT
dxzvVQniIm9rzAgrHjomi5grlKGGAaGD9Lx+Xyo9vpg9OwmiTu7qamjBYfCFyKyxgqrg8jpTyShg
cmDqcnLeegMblY5P3dcru0WUYPT7uuGjJLJq74qO5VqU6+YuwpadJ8lvRFl9WdYvKipFiOKa55XQ
ji/oF5sglahC0yohe47e5EMF1eOopHuZj3G2Y8rwE+d/5QO4+Zk5+Rcz5r1rOjBWcK5AVCW3mTHM
NFaq9qFTLBOA6dNfW2udUWq1bhQ/oSizAo8sm1sDkS8aERYiz2OXjHl6LwCD6BdTb/f7Sq67aZEh
Bq+pS7KEfWYoBnK/12WO8I4UWc+wfC0Vd1A2skQo8Fl+1rbdAVU8e0/Gjd1ldfOYJJkGP4Y9M295
Q7XjVD4dF+V7WswUAAzI3z/NWSrgw2ggVjRO8xXKEH8wp2Y7M+cHvMBfSGOzO9oQSVhnWGkTY6Ie
6GeYuMbcHeNedy+Nhmn6APH76PWRe+gcFrcSRrCvA2v1y9Dr/a5C/I3mu9+3UQdPxUBFVPYhkJ71
Y2piTRvXlPLr0eiCYakwZTahdzSBRgRejvU/V/KDXJxvBXrdbZbb5pGFbTzjqbECFn/uYrG4+7HJ
KVngoG2eV0pPcvlQmvIKGs9Z7VHpxAXXP/asnkM7X8dz4fB/29F5mXxrq6762f8PsHQaqD3WE8Rv
FdTqG33h6fT/t6MTXdzvLs7/88u/bJyO+Rczbv5fKgvOmc+d8182Tkf/i8MCmwfdBodqfTV4/m3j
NPW/+AnnU8kDtc5QeS9/2zj5EbGtlCiCQytOTuKt/oWN83nK/lsZsp4PgOtLToKGjcfttWsYPRld
wtKwmYglPwH6Xzmt2NfSe0jDOkM1aAT5QsNl1MKHJDIx0MhPThvtB+8zQPGcdnd0EcYKJKPc0ybf
GSjp0zN9YaTNgqUqD6JwvETb8tiY1j7ro12txD5V7UGvt1UcBnZeXxjtVg6kpU38LiPOPG0PdpMD
DrZuZSuuhLT2U2Pf2qFBk2WzzsznKN4ttUejtbmHiHKvZiQT0sIsV22zQgfL/VXl90vEcgcOTswr
wnu6dGr3OETFmZbGVWnPj7XFQbwvbxibB2Qe7HN0uinGD1JZHhTKJ98N7YdORod2Sq8LwDQImr1i
A7vooIAXb9Iov+0j52CBFdsmYvzctx6KnxbmBZcs0m3E1PLYaFmAGuCb1lt+UxdnG9nyb3feza9v
64XR9dXc89eX6GAksriZuGteHeXh55hdrGuwHJvGZ297bpRFU3MtluXaaekExjH4MeUEGnq0kW/m
z2/AflWcUDNj9qJDKukm2FQorzY8HE9u5cEYC1AnomFJzu7QAj/Jjc24CBEQG3NtQ1ncD6G6SRv1
OJaJBW5JaMdCMlR2Nj+gnLQ7iNISGbGV7BwjLEiiUWegnAdY49kWrIMG1BLeMoNNzlzEoezLacEX
0zKBQjEQTMztUA1L0M8hnnbPumhmZswxVtNg6MxvyxQum2lWt4NOlEzH3sWz99FqzIvQmS/ddLgo
m7g5VU0dXfz7NfK/XQBf2OD/23/1/6HznTWNqfN6cPnvre8PbVIP7ZdXC+Tfv/a3z938y8ITudZo
z7qoNe/+b5+78RdNI5qwLIKSs9naoPvPAmn/JeBTU2TRvHIxHfKj/yyQLLimR7nH6cpcjbXuv1kg
qaxf9RlWpz0WbjoJEPmQFaw//63jXZeZBvfeGA5AUZftkPXmRpvWXIOC5c+bn+i/QPKf43wrOvwT
qup/zKYJ1N19Apau34UAmALRTN972M9YDUie7Wc5+NCZNOQUTXmf1Xp3seoMgQ0tpa8oCCh00lv6
RzRLcSgdytUjFEX1FSp6OmcJoTFLJZ4qr252cljuKlv/UdT5jbHQXs0jgZQKIx7abg34uXUFbtzc
iEprPnOKI2kAAOABt7ak8rdCXjUaPyddfqBIPlM8jfGmh6y+KWR0E0EG87HsaXC9lmhjWGl5xiRl
XfSprU61VstzXPL4bGoyEtZp0vIYetGDnmRfJgZUGRYxUun6BeUH+yPw6jn0e0reLcEyGN5Ne7jD
KbfP2sw+15RXRzMTw06FS+VH2CjhHRocyTfOsMwTkAFj+GkM3lW3RAB2W8u5XRubW6+OsdN32R5E
Z8FYoCkvnbTCxTh34VeLivEg6eGf4s6sfY41Jph5zzmybtQnvNfyay+Xz+3sxagxVbNqMLut6WFV
rOFPfR2kp12GyAGP3lRD8+6n1CfX3L5UWTvsRFH9SI1+2mte41y3esqYIOJQNqQGZGO9crcZMikW
QFwGk9e0p6aYzTu3U99rAIJb2IbN9UQS1pNVLU+AIWP01QucEy/FYtjpZ7vJhqAGvk8Jq7GEj/nP
pHSzg1N5n70e5wTIDwwefQ4UcjIckoEL/VQ5yOj4V5gjyO+6SJz8IZHywem79AQgFvx4NCcPXYhj
LnMY7cLXihipRfnd1APhNwoCt1TmWcGUxN0WSuQHB9hX4ECuvRzS5iP3q/djho0X6BpwS2VWrV/0
cRGMdfcQUinEyxzIakaNrbrHlCwjxAGjt+9Ka7UD2J9yIEtggbs7Q9RzkPUO7LnU6qDfV/2jHo0Y
NKV7R2TiA9L7m9LSuGd53rdjbMtNNxYWc+URMMBMLkyI2MFs2n2BWuJYhgkNELwU9Y0NDStgh9H8
uM3yaw8LY1DZ0XQsEqPeSe7B66gn8SeM7ITDKv3vPI5ZzjwysvoajluK78PNW+uC01R616U2MK7a
XACzdo9G1M33BVkHp4n67mD0hIH1tsSrkYL8S8biEQpjsuWrIt5DLGO/ydIee8GghZ/aqh6DMDOb
Mwbs6KSWSUKWHhHTbQwBCnAI2x8VBEQ/wn2B8U95V5KB6W00w2OsZ4TH8zRY276TJ8z91rXehuga
QkHZ703J7UTSEkNDd7jWU0WLTZPqW794h6RXzUZOTnVw9ZRttFbGbZj1mJK0JAKJMVc7DI0YL4hQ
Bo4dxX7WTy4y4tpNDiapEHlQ5EWJnV+XZP1qw8el8+SHIRqcQ+Mu4UdkfBw6dLo1YtTTfWITGYbK
arloHJF8wC/WnKOqkdYmxnd0lytDu8KSodDi5elHWZof9bjtdxXkxqiLykPdzTd1P5o/xprgCOSx
k6+B2VMb2gQMROdKndwYGrbX1V8JZpt+jFZXXDu1NZ28RU6HvneBRAML3mpOnu0MFX10KTav8CsD
FS1M3yFuKcLCiTRe35ImU5Ee31zMIPl4cldwHynSIaez2Lmw8yK9mVRYn0OjT69jYHHbSh+IdUjG
fQFV8GOpDwMg3qK96ptl2MYkTvlDgr6w6BYuZ6rSD+QYZDtCadQdBfPtLErC5Qh38qtlSo51Otyy
D2koEEOMWbqIvrYYFw5Grj1Ec6MHyirxI5plf00KuGCcpBLQru7gl2Zynt0Y60JkV7ci1ekIJfaA
+9MhhgLNGIErtA5wfy60aYGkHGkzD36vNcIPE7fY623WIhvvqw12LAc8AgaM0bFYhRPxA7NL6XsS
KKvtebdFK78lpot8LMW2bXvg82e95oA/phMN4k4F4xCyvIRMx6oyfERMxa64vgcaV1YQJXg7q94z
P7ojT3MuTMnxgDgOLCUYws1RMOMFyDl91TCHp5uUTu+DWbs/RZdeFtPA6otxdYpJWjHd65GZALk3
YJqZh8bTnTnFNIjdTNsILb1zZqO+dKDcPdaoHYPGBCsCivuxAH4ktCn34Ya35VZq3ickNmjmvPp7
NXNDyS5/IN6LCKx5Qfyc61dqVJeF1yxbdrv0A0ZjdKKa5m3b9Zt2syXcWWMEUr1g6em98ntpKpT+
1efRMcHzasqKg9x04sChIwDCskxOWLBvmJ+3l64eoXxAtZQYnF4WwJArWtn03QFdeqvKEmuLAxhx
zNoHmrC9rzp0hbLvi4M1V19gyd0TyYJhmABr2YuvZDUdJlt8L4YSrE5vEARmiV+Tgv9nB/4X9e7/
INCTQfH3p1IXylPcfvlfN+2X7z+6+EXF+/ybv6pd1/4L5xF2bg/ZuY0NgML173YAgCYaBJY0OMYh
KFoPUf+hOnl/GXQCHDoFVMFrgfx3rWuYf9EThu3Mn5M2VKd/U+q+dmZQ4MKGkh46HRe5PJL5l5Uu
d742GkPaY4WMpu4+Hlz3QTlaWfui8uQ1C7rb+ZoBaLfU2S6I2U6DvI+E/9tl+4fjLL2WV2JkBBhs
XZ6H4tBCkEzf9uU70cUoE22h6Yc7q3vM3GWAi+2FxzEqzIchS7zzTF9/lcYVIWh3mqgHQAJ4RdJZ
HPi/kh22nGpfZXHxWcQo08oYlDzBI0niF6D2bvSeqDDsr6ZPLvOANg1TClhSTPg2CNzbuAOcmjRm
eXShMm+1RoMvMUc5B1yUOagFnWWdLJdb0JvTE+1wBxauROGeYpW9kCSkAFsyKaNS/j2HzmE2jm0o
5y8VMJztkNpXdPm0A5NqQU+TSfgX1Mz5pbDyEC15k9PDm/EQz7KnybvMXy2rV9+NrBUPCOG8PdGn
46nPpu4mITmKhTLOsO1EU/W1d9zuOMixvY7tHoNuZZi+JAZ0h6izv4mkhe21NJdATy3MrvUBHiT7
BfFEHxabkhcEOHngNli6J2MIWaylbn6IJ0/bDaBUj2lphRs1WuYZk6W245/o+9kJpV9R7B86Ribn
CCrKkdUdlumS78olWvzGboaLpdcSkN52FDAjrgNnaIDiDpjWdosziSDs7SWIhOwfRKPXvsd4w0dC
Hd8TLCqeHOWGQbvANLVaXac0sBQfrblR2bJwTNGmy4gm8sPA6OPjNBECk4o2PJg28sq2MpOgqegk
W6odvzdF6gasmOWtXbh0HkKpDZdTjUaRYZ/tI+pmYj9d2nFzcEvtwm1i4IYzg3R07NdUwatMImOW
rGghmEXJUVAQqeBkkDwya+lhHsiV27zkB0nbuQxVhguvCAAz3OQDTuAcxTanmQ7fVtEmBwsJj1/3
LXloWdY/JWnEfKDrK4jgEYL7UtO+OqqZsYuWy1UhyHj0OB8Q36K1O3tNS60petb/kt+jtvf2UNaj
j4qcpdUkOi6XEQZ0XrMybvXZMm6GYpyv9VpTcCvG2Z9QCW5wzF8TfEg6Eo33fR31/W2eC7nPc9r3
dh8SkaRQyRYWPPwR4O0N55PyGvVCFFhmIgIyyuQxbkykRXFD8lep45oF/XWoprp+zEvL4ttEbF/m
GUmnXvHTAlrLHNMrHoi7BbAO69jnb1TbIW7kYZw9mj7xbB8rgUqiLCPYM3i/cUMVTrQtNM9D26S7
W06SnOYiKzm0PfThLFr0ec/gDXMJEa9iN1hiJJyBbf4KULP0tXp2YJ4US3EAxmOdFvpCm8Ga5XXS
adbdOIN/LBnJ10rtkRCIS7eyl32al6NPXIJxGbnxtcciE9B+u9aHYpvHZBlGejlcjIaVfFuqNkZS
OQ9bL4feangqPC8kZF0rx2qeIlb9AxlX8tRijr0sJ7s/qnIUOw0F9HXH24Y5I8K7iPCpL5Q8yUmm
vTj00zB8a3FY3LEyu4TmVO1ns0EPYDgpWoYIOTgSyoGgKEEeSnZ0bZqu3PxrVM0wLHuhmmLyCZAj
LqGrm2EXxtm0Q4rs1lflqKOXHdoovRymmiiXlsFYGo2EGFculV0Y4lExCPzpfbPRrXzrDqPV0wKY
pD8m4aMFWPjaJh9YbU3hVSZgl5zv2UvMnlhCwx1uiYZiZGNCx3nsmloBqgmja8mU98TmNwK6iRd0
EAIc2zKUp2kp4k+1UaIqc6OW5xrRSA83wct2qp7KCLu5N1vnuM7ECcVgaAdW7f1YiBSOjnVZoq8b
+vLkkj34ZCckPaq0wqqCJQT/B+rOfUlTVpEJ7NU/kypb6iBUbf/T6VBjh6Pqnwryqg+1rK7LWPvY
zFN3KFe3pGeQw+uCB1UMNw3av4v0ep5/xTHWyaS3kXFUPdlFmxO+ufAC+uQcIRq6BI4U5TE2Q4rN
X8nS0Jtp0cTTaOzBcdnzUabL6J3rgkTNH+QtdsOdkRb2fVRX1rzr6a586XgUvoShWT5WeaxdEibN
mTCs2KDpf/BqhaemD3VKmjCbVGg/RuP4lBWedrG4Yg4vdJuIR0ncl0RSAV/+V0i1XO9/Igesu19J
1WlZEkiQLPKnsZjijq2wc4+Tk+bpbd911bF3jOR+QLByHzP7kyh3KaevRmrin1FBxlkQJ478WDaz
RY/VXY54p8R+SUZ5IdEM/oDJgGokNPX0oLmGOIepPccgE6bmnnOlhNXDVc2y3NmPBv5Lu9MaeZeF
svnEaLu5s1mt75eiaQ4E1o87DodAfsmgceWG5KL50lKhdbBFElFgU7tMduhgUJqcR1riuXvdIdpN
T2N2p4H6viD6ciUEZVGgZ1UITsTTG/1j5bXJp0mkg7lp6wTSdpFHPYPbahCfJWCR8jqlH1cFfVIq
cA1khQZ455m7KtMzYAhYlPlMQm7jSUxPeVsbHyxtsu6r3ihOntFBsKVavw5zLfrA4JlQO4OZ5Qay
UttRa9FQwnCP7nJOJpKbzf6CWRJhDNiXyFPB/WA0A/2cSVUkcczIBpGFroFI4fihnY0y9TOmJuNG
ggC5WrLC7AMFvgOowMpK30ZFNR9SgynnFEXHsKtmECPYOqt2iT9GZtFdOlZUILZgXFwiEtuOXOAt
MeUHs0jJu/Xg58XFrK6HnjDZtuG8vbWIWKMWc2nAEBTMopoVRFqAqurnizosNZtMeqwCB6cjoOzE
sSc+Uc6QHG8SXPJA2YB6G2QZmZs1+/veSx3jJmvQaCCJ5VZQFf2rtLXaO35rJ1IMJy3ifqLJRelL
+gwXU9QtQVwtUYFYs+2e6lCqTZiKhTQ+s9+FhKiyHVnw1BqhbSrDAXxXqeh6VIvY9Tb3qB237lmS
D73BNk7orL2p7R+xfpzb8okchC+hcDaplZ1M5wndqgUobEQ+QXREh2W/oleytq4AKizjRy1emhsM
lmlgZSEtOQR97tUa36H2iz7IlAG1t3e1jPjEzMv3aUgUBQgnzqF64jKklmNzRSIv3SYijDbwV+pg
DnVjuelm3axOVaUEMVLFeBOLWGshm+TpBRbi7OH5sG3iFNyLscuPKankN2McWwRx4Cj6MZoFSTpR
NaUf3ZV3ggWTODYv7Rxrm5IwUW8ngqNgGxWuSTQwqtc03IgRg+OvvHe3m5NtmtQTQdZhER3EPNlH
VQHJkw2Ku5K4oiv4Do1JfZs9zlVsmacxGjmO04kMD14YNvkhBbdy5rhOAoWhxIGPPIEUAzwxWqPx
degi68aeTGRzLfLke1abmCDUmMAKQCFJ6Ld9CHshHE/Ais4tYlWLyNKAomf1KZbReUJyh6Mt176o
Key7Palu2gmJ+pfG0jziJB1O9Isy8x9D6UTXGasiu39fENsOkh9/1xIumDJ0GsZ5QvWmjfpjTfbm
DRtcc1Hpk30BcIV8EZsAeps8DSK1q/CnIF0YwJnlXM/4yCmgnYFe7uSgMUxq7ZGWG2vIgqJypjdd
6vsMXAlsO9HcqUnaIV1/07oCj4MK01PzF0Eg+u3CKr43I3gb/8XdmSxHjmRZ9ocaJVAooAC2gM1m
JI0z6RsInU7HPE8KfH0dC5Gq7K5FieS2JXfh4ZHuNANU3333nguRkGuZqIpwLPqf7lY4RNVZi6sI
wVo5ccSlcxXQh+b7qONSkM7yLPmEtnAK3O2kzPq1Yb29VRw0ZFXbbFumkXtHOXryJsbuvrXUsKMB
p98XtdUDnmO4uXROnJ8pH3Z5kVjFeKCbkYtbnFhH03aWR6pvUNOKCudz8aqs8seIvIdh8uogF6wW
W52buzSp5qORkh/v8LzWNxCwEsP6wFKy/J4wDz3U3L4C+h3iS0Ik9MBKjyCR+E3WgRbKwd7lMocM
r5eDNOyEWWqdN0uylDvBgcSOJV5A6FBdfaDCEA3KmoM6OerUOSWLwlUWn+HHqTsCvuJcebB4cmJw
KNmN0+D4nKj11eUfb25jgYY8vzQ8TDubaAerxQXds83hIwHzeYwXbrQR4aKzN4ysnUXpnSYT0XYQ
+PRd2Er7iKf9PLIYhzZVd4IraAVLbiwc4G98NQzdFZva0YeIqkuWG+mJCug9RZgbcUMKuhPfaUgq
lVNsuHWkJ7qZcLpYmT534Ek2i+JsIj9Wj0fhlgL6XAYQy3a6Lizzzt5QWn0AaHvA/aqPq41ohJJG
s4rKimO0lrz/pomPOmpqA+8HARt8hcY5YaHyYTqNTdx/Ee+02Nqhj+h/avQ6boQh4rvCcCiHn/3p
sE6Z9QuztHxX7to8cQPOjkOUTm95FdVHWTXGk5hG5ylf25x3pUONKeb25ALOKLlLynbdmlzavkFn
M0KLho2IPdR/ZNI6gWEPF91m576MnA1Iud+m5uyTS7gauROOqfFCOwidNAu++mb2ceAuhXvUxFbv
EIH9Z2qlB5hGbUYoigvsdPMa9RJ3veM2FzPBPSnSeqNMeunxuW7IBD1lk865J1TdF7x1e1MCGg5t
RvxjL60DxVLGyZRpua3EPNwPUMxOZLCeHHqxHI9lumV397X13pr6bqTneJXezhrUZ57MD9VsikOe
6GfaDnexQUFZ2R2iXNyOJRXDFKIrjavhexf7H9AsN9aUfnUIG2HR5WzqvYpmEj2WB39QvNhnWV3s
fLb4Hnf10ffys+ckJSXo9npWXQIe0/GKQ5ljmltyjA6UgB3AKKfHeSjivZzGZ1NCn2KHCHmRkkg2
iVRn8uWo1dF0GK4g2uffEoIfXVEulUzpXKlNRtSDS7pxSOpMbpyhMPexX0a7Onejsy6A39H9iIlT
MOkHVZu5eIKtKPC0ixrpTceuyIt9Cu1wxG1YWodVUvbbiNR5bRp3uGDJk6+Qt6g7h/Hjbx1r4WDM
yxKzRR4tHhJqNjo79vHNmzH7xcaTjCirwrSAZbQ50982PVO/fM0dM8gWh3+fYiz04tNQtj+Vdrq7
En9pGcSeSXeV55xM4EMtfP8dElNzzDy66VupQRjl3XK3WrSRKtcyvyV/PxqWWeiGLgUtH5CQ2uPE
2vaqUU93kTmJDX0cQR8XzXZqtblT0xCO8gYJFPWHVIb5NNGNzYSj/eURXCM6t2eobjc49CfNJE+D
eTb50VPgFLrT7EP/M6jxazrnUlLTslGNmi/uEnkXQGV3cWoS8RI/eLMTig7ck+8/E4ijpkNel7Q4
lmAp53j8WeKOJYqJn3fD4ksX7Mri9tCLrt5xbBrh7NyAbJZhbmujnO/HfBJM2UZ64OQ65MI5CLff
zPa0mU0vZylZHjyv5oFyyy2n7Y+arXujctjWuevBMcTZwfsecNfatdP0iVMuxoIoZX5sOQ6eO1iv
9zJKPkcJH6yrjTeZ+s5Dmenhy3Bkc+DXiZ1zbXEZII6yZRrjimI8a1/e1bLdNBmRV7dmj9xaXcSK
18I9yA9J3cilUpIIN2gZ3HiLeCtJJm8yhWF/7ZIdd+iwa/KQTqqfkXxCMHE0w9Gk3B2QVhcspcLB
aB1Vkh7LXIfJXL5AfeV6SZVa2k6UsHCA70pgqogb+6JaPozGs3l68Oukc0RzYkGp4DNDdr8jlH6X
RVNKXnu4wkPhqkdx4DXp5SuLZmrZtaTxrwBKagkUI1eAw5J9utNtCiEwtQqkPGHfa0I9G6+YKiyM
WbRxgDdavblVXV3j3BTTyc4vhm+emzlNeRyr5zGDtzRVp8jv2eD1I5RcX3ebfhz9zViL8iVua/3h
V8OJQsgc25Mog7LRB9UWej80qVVtC73URzaNIzhIxfJHJNYh78V0xe0d/yITQ4DBlV+M/C+yK8L5
ajXAgdo/LjrXC8VW9VFw9T0mKEPbCoKpoQhrVtRP70ztegfbwm1ZzeNDXCK3jGPdvEmRrYc8W8YY
aJQnt6KBMEfMn87mZmkuFg4zKmaTiC6VVT2vyQzmy1z1Xb3aWCQzS7VHBVB20xk63VS+vhgue0d/
zjQflBnvGytKt+AQ8P60jUxfJ0fb93zPtta4XMDM9xdKWtegzkxUryO9296W39t/9L1tHEnMpNta
mgTuzdX9BqXcH2hmfvaj7JmsRrInAtLs6W7M34wK5bt1uutIhyKQYjO9OVmJD0XGuI0557knU5Ga
JTZ9T0XzpMxpClbuCQux8Dgw8SEc1wYqeTvPn049QdXgLX5UaWzfQY3OqTZL2OlnABzaAPmG2/Ks
pXchMAOqAl2ocaGB8u9FEhEqqRIUqtb54yJ1UWC4WNdKZfoxYyMkoFKjh/smiMIIr25uWfF7vjr5
pffq6lTJ2y68T7OIWtGor/IgWnS2n6kN/NVldGEOuXR2NTdNLlT5uGHbTGMzjBEYsgAkoKlC6BV3
9BtM8WVSy5nObuMtssAsZg2jx7Y3hHjxHUfQ9efleR/gMs8uuudK5kaNOEyzMGmDJatPu2i5JoFe
YGrjgExpz+tbbLy93JpWOlyY5a23FPvrUQyq/dsnDVfHyO4vc8fAVBnSfLQqJ34gESKhfHQZoWJQ
yaFQrWC/OHLyTk3pXMxp2HRc/sD9WkAZUSkufudYzzCn4xM5VeuFF3/1MCqZ7Ke4HarA7Np2b2Wl
bDGulZYTFLB9Kd5qG44+dw0Xu735EtoRJaxerOTLU7wvAvKf+aslvLvRh03nLnOFwa1WodD2T+Sb
8jcm6zph0yujP1GRli9cQz4zH9d9m3ePYCdeLD+fNtNN8BopvRtWukbxjPRnrU2+rg7Cl6eq6aCN
tfpqnNQ9eI2NwTnG1TbV4Ixi5EHiz/l6JSatQ/YIA6Z810M2yy1KBEwbgU6NjBRk0uo0a+69XI5h
02p3PyTD67Tg3DCt7j0VVEHR+g4n23LU/TrEKZmkvv1lx56RBGbkznvpjHYbjrZMgsZhsIkxe1CG
fPT823UHxIjyxrOm1ZcXns5Oi+X+Tbn+BzIrAWojQfEm0M4tt+z5L6KgrT7sV9ClI7vKCyUS19Fd
rypW/mPiejoUU0GRyGB9V2A7g85J5Z0uuRt3MFbOfbYYX7cyboyCNzeM8A6qSeifJ0ABDxuDIFWT
jcGKiGoDirjFgVOX0dg6pdyaXrNCOPeW4OtXuQbdANozDgx21MZ12DpvPCLNYmoH+eYiuKj33jDt
5YoquZ2stT/mfWXcTwukPz6PlwRgxy38ynqlowwuMdSEqzxDwu/4y5P3H4R8MNbWvAjXXAPsGtlJ
eCTjRJ77KEMqPw+VfhIWvFn4rm7gzrM4WZH/TDWXfU6q6hlPvBmYzrzrJtffUvn7UhfZ/ULRNQgL
2OOasnWB5Uu4buiMIF5VhZ/C4obDuxBp1N4OEDHjYHbz+gxid0hQATqbLzMQDR4gXsjC75rXxTfU
n9pxUS3puQ65WKx8vLfEJF/DzeI1Nf4SqKE7ilGzuyHpo2u3rutpGUgReJiSQoiir06sHlWPHWq0
/S+ViXOh44uH2r23nZ6r4CIffe5F55RS+q5NN2nZvS1j9uFMNUIr5eIh8U26aB/BmWB+YsHy3Dmy
DC2jLp6gkHfntq8pNI5V8gbKWh3ybuZKo/t6M0Dqi1fhbtqksbcuPdP7Eg9ZPD5qdk138Zxkp4xn
7avUURqFhdtw7Sa8IoLR4QkgM3ERo8VerIVFu/Wa4RRPNrBo0R3JP9Ts5AlZ7L2FleAIvoAIsLvc
+C3QmkIM4CaSo4KGTPMJH6NXWm9mS4acCxCVkJ4uqt8CrYHnZwS1zX80O9E//4pbZY9AaO3weDh3
/lJkbmgQd/tecy5mnIfzYzqv0zHGj5gEPgXPH07aGS/M/ZJ+TuG86aqALYHGjnNnTPoH3gt9y9/a
Ln4p7U/fFDMy1yEa+BNLoTx31jPAzTRHvbXHN2fo04fJ0DzGS86HwI5pTu4jOmcX7GUp18yikf5L
IRQJCMw3vK46c/qcTdd5HRNcIvvCRaeqYqeuUDJtu+Y2aBUPMY2VdNkV2u+gVZfzyo8ktRtSY276
OhagQ1hHcY2rRivdMVHbB3csU7xMNXHJwLVKYJv5PH1kbvWd0C4RDsvwzVhuTEGb1tnGbK3vggsf
C7cVwSoA3ufB4je982QNKW+Kmv9toDf3d4uqE66UpvNRZTnPEr9s9neGVP1vWRCrDElN1LtmnJw/
GRdywvC2OnoR0Tq2rPqeLA+17BM74U7Nw65JQZKP2A9vDuOYL0rr8umNiZIHA6Yi+yda6zMiQjel
C1ZwL6cffjrjrhrAwLnY7Q+m7p6UtllDFhFWjcwm/5lFWXE3GEo/o6wlZJjLcF0nSh0wJ5VDgIla
pTx+GfgmV+lkg1Ha+V2Tj5uw0pvtqTeK8tUafEhKqLIHVxfyoZiNvKdxx5tZRVsylMTTx8kmZkgf
OwefTndsFPftzBc4Xr2vKjHjnUen+5UvfrtdDX881lZtPZhT8uX3N4Byyp02GOfp025oBu1tnPaw
Ta4jve0bqynJxph0T0aJtYQKti1ZxI8m3eS92QbSqu/ZCNb8/la8xk1LPjnv9n7qrW/ERs0N9Qnd
dszGmV4JgSGp6E7Utd6CT8QGmAKTXS+N6GlsgCy7o/qloyFZtlmFzdb0p+4u8xC/NBLYk51HeYGN
yLFfWDZB50yy6HGu5nQHXFZ/YpD5KVZEh9yP7Ieq68o38mq8EXPPxFjmp4/jDT0wOaoow85vEwgq
HAxrmK2Rf06RJZk68ix7SUZzeHItFj5b4jvxFBLtTM+Ov9xwtZ4tqNPhTHYwFUWr1M96yQXgiHHa
29pnQKNrlA3ikTpjVqdycre3k9pl8Ni6fgkUFEMASKHWfNNj0wV67BfUlKm4LWapvkjnaVs7zQuT
GbeUwabuqm4k5N1s2pVLkW6W3PrF/i06cxGB+c9tMixbBpolLdXZaXjVThmZhIXd312RJc67a6zb
MjbnXZbK5dAPg3vIm6YjmipS8OW9+ZTgSt6zZEDmHJq5QbtZ6LAcqjl6TiYN9pjHkv8qS0G3rewz
q2lx5adKekPZS3MnImIIbNdulrbVtbBRwCS6QGh3/y5LVRZ7ti/MgGzdNOBk8Deejd0tR0t9iVd7
fJBjczXidVOh5t21elBH+uLhxZNPqM9xFSPGtaZDtoq1yrjLQMaT+67/trMS8OsVKxW3luMf8h7G
bjCK6CCBfseg2OFsCi4KZ9vUh6Jchq98wsZDbtGY3SB2qvSNz/fXYrXZXiMicHSxVwdlJxjbcDar
rIe4niX7hPRYGswicbrgFlJH3GF/Z25sWxq0rspRbedcsVLsxHReVk1LSFuNn8Mil2u2cD42rQvq
KmEw6GR9diun74NGORw27My5/7dLkj5BfGmRi7NePsiYN/RQm1d2DTsqPfjHzvIqCif/sxolZl+/
c/+wgfMvzggAa8xkEzBvwwTywDdVvAtFEXYazKHBQvahFm1HqLAi85kJY2Pmsvk1+9lAviKacKDr
VCEFc2f4RgNl8rBa+RBbptxiDMpqPrjygcW/PtZJ5TdBr23zHJc0BetsYMFkELmsBuMz6nT3y6f/
XYUE28wz6jOnzZQ52XeEWMmYYM9qL2eRAedwcNnXY/uOMPSZJutvaCoFx7jqXqVF03jaOvQmc5ym
H4L5831YTNY6o2kuh7njns6sQTlBRoo+95hZNjFsl22e6+rRW8o1jCpPPQxl6cL3KObDWuXTGqL0
DTvRx7UNwoT+dbx6WTQziQ5GuNDQ+c+AkyNL7Fa3e2TjJYIurQUqBvbgg2dYPqsMw9sbrQaAb5vT
xTXYvA68j54weRgA3px0w6VdXwsntg/WMMQfCUzj1zYfcrwOuFbY9piYOQx72sNwQR838k7cZ9aM
7mR2pcfCa+hD0DSbOnUwE7kxJ0FaLQjtU5qXkFtivJ7CuphjgUe5olEkqFbQc5vag1miWlVtPbf/
m+Gzx5kfUUPXZ9gZ8EyvWyCaLy7afpiawt8r3qZb9rvlxSisqzPRi0IFoBNYzure009eM+9r/Xsq
JMz+3pu9R5vlNyByBwuzmYryiSWt/2wZtr6ywFa/LS+pzsai2KtV5nTKOndZwzguqJquE+/ZXtgy
kgv66NGhoUaO3XonU42Jdky7PUcpfheSnA+UW2EkV/lFc+c6ZH4vN/bsvbVll2z6DNx92Ho6e23x
61znSTvA8Ec7ewMHwY7A8FbMTenUhI1c7zq+EGGVR5OkwMc99km+T8o5OTllihwZed4pc5z7JsrL
zShL70AnXXVEywB7mTYlT4SeT6TL1kcScOibneuWYeQt5kdUdbg+QFm8G0o+eV30CiR7viZdXG3c
iCkO6EK8KWcnwXacPSbsCVPcUAe4VDw/vr+cacxAeS10dZ/XUxdWXX6UXGcfKzdFN2CIuvhLCU+f
4UneNa5fH9D9vr2+ebHN5RzHLIw8wzlVbcnSxvTi8QBTz/xIOjqJ+6K80cfs8lVQ+pEGAztp4tHV
SdRqJK+b4wmxHb3B0Ny+FTk/KI9i1IAxGeZUx6LaZPnQ317pRhu2ai52MdSig2Wk2Dpu9PPSbKHa
5wMCgB4Xi16ImL1sAtTikdf0VNxW8nrLyVHv2Ema59GafppOoPX0MVGudEbaK1hF3vPeAo7Yy+WE
n8BmOx3rl2mI9b1XRfPBH731CYtlsV3TCEnKF9VTy+WCXMNy634sm88FOEsSJKOezhoCCrFY4f1V
WkZvU59r6iAYSlGkoxbLeL+2D6yX/PcqLZZNk9aoBpAGNnlFaMKpHPzts1Mfy8S1HkWq0ntZ9Qjl
a1IQd57lcEUbAAk0s0+GjlQBEEKIxO4g1Blamf0h8lnzPlt7VEPtnMd1IUC95LrAt5Xe4r22/00k
2D5xUYm/EQm5Q2Q3KQoM+WPKEF4yCNBa4Q0fNyno3YxwZUHcM4fPNVLWG+pG+ok/bX1A28B+7Uew
1jo/+0kMWzwtWrE5iOriBe5GsmUtwHhfGUsg/cZ9Jilq7pOxdUJCqsnTFLM+Dxt7LE5DkuV/ayGn
54rjlcXMEj20fus4eCeK8gDB1t4adBiexlLKXdtz1jA8V+a1KJb5E5lF3bGyonGw9sacr7zdP7Ax
sJ/LkQHcqJf8Oa+N31nfkQjtOD/HIjolMTzXRDpkNlotvpxqQlbMb6CSqh7gDrqpgTGoK8OhXS1Y
kJkRIM9MTyslPejz89hBtXKb3dohZNCcBg7Dt8RfC/TEGYdOA47ZGDvm2mhMrorLwY5lXHQqa57D
uWtLvraM+ozOqAVso6ynue6jp8z3622MEeCF3Mkzpyt3HodZmuNXHrrSpaByTvJznxf6Vc3JelgG
SqNtAzpgYHGt3XBHzt/9rCFZ1RpR8jHZLpobeYgZ2QF9e8VXwysqNfKda0r73Ftq/aqaVO29hO1d
P5SSQh+HPR6hypDtzvKMGjYcYCDc3H037b2BpfUXc80SenXsPK+tWI/TMhYhnxvtUFbqn5p8Vmga
bGJ4VNtgsGlCXqi7RldYlCEo2wLFTuHb1i31PY3Pj+UKgSArhmk3+pG3w03GnTNOjX3F6ua5n3TD
xNw7B9NuLaYqT8wOQ+Xi/V0N5XBSrNVrnvAzUHYvd2mh6iMp/Oi+y8jk2FGfnxLBnz9eMQoGuWvD
ryjEDy8c426KFkqCVGF4uPyLgnfQ/8ErlmWZVSy7hGAr/Bmv/nHaOtpqJyo+i2G5wdSwDL+qgv2H
g/vqOlVR9iv3++nekSxd0Gkxw+YgingjZdXjv5/9fKn/f2o8FqwqWA6b/2vwM0ySr2FI+/ir+3+9
8P/6zf9tiLdN04bN7kkWcjBO/ssQ75n/YTmQlJULis/kBOdX/hX/FKYFuJ92X/ZqhEP/ZYl3/4Ov
BGeOgt+noG/If8cT7/5TEvx/B+SVdwPkIxPTM4nT/n8yzGDw0GvEAnnn2nVi7bTou3DuM8boxa/A
mMlm7bMtzJTKw6EQ0bvmunSHb3CLaCMY1ADLzVfWpZpFzgW25l0zRmV7IRZTPOfpbLw4SDbHWNe3
6ocqOfPiYPzuHLfc9/BFt64kiN9XffJnkt6ahGhDXgKHC/5spFXxBm2LIyuC2neORcVeL7EUgjhh
50el6xJL2/ocj//s15lpeMsGFr6wLXeo7px4eNg1WABrt9TjmIeRxgAMGX0x5n0FFeM+rRe8oGOx
ms+RkxYfUuv4GTEAI5Zp0c3iLfHdUsA8Ixg2rb/j2nd+aVpkMHSQC54ZLgAa50f2GNS3d0CkwzoT
OcBS1LKr7vvioVnzbFvh1w8qS59jcyC2VyZgq2Vn7QQBzdAeoXxgChO/PTrQSt75Y0Q9uZfm+NBV
/ntWuGiCnK66P3GNx46uOom46TLVBymqDPO3xc5tcEwyQDK3A7b9OoCXbZ2Yng0yvbUdDirjSlCj
QqYVKDTX0nRVrX2lwyKrTBzZuq22ib3m8lbe5N6Nas6+0souf0wLJ8++mxa0Zox4RNRMf+kvK84/
RHLMxUFZrlCs/NtFJVRVPAS45DnMLTXHd8Du/ZP2q+YTJbWnxRLQlUnsL62RSm7NLB0y7AfRO1ZK
QDmTg+z5/xHLbSeE5unRqhcTIobYjgOGVsjO58IGy+vAvDn+IUc4JzskF33AWeHv3dFdONJjxbaM
AsQyoGwlb1gSiv51sKV1zVnVXyLFXoKFU/0VQ5XMAjVUrX8GdSBvBcC6+W6ZLj97H2P5ho1Emgd+
1jW/BCpzE6wYZvN9llXdM1Uu/tWG8BNtcIP4lwzT0bVM2rZlREyEFWIu7B5Zb+g3dnNlR/jMNH4g
bjkk3IToPmw3L38zo9R7Ty/8em3580tfVdx84qGk8e7mN2HCI15FfYDBODFkGCvhmZPIHTTyZzLP
b76amydnqNejxKvJc5u3B5fwIN6MRo2kVIVvbtrY0S3bEiv/HfNw3X5rBL/A7oqiPZgpnXZbXDDe
cXJSdcUog+PAsgttvsct93sEWkmqoq0xj0clH6A31vypJX6EwJMtfP/e7GaBHOLFh7VPcOtE6icq
rPVzjvVW0B0ry1l+15NPpZOZZ91vzvASz5Ww9aeeMlqOb4ZJ6FrzC/nP5pKwUUINs60TggmCrhMP
/DLDwLZddP++9i7RgrgfIFYC0ca3NtQnVg9qCOSC9a9ammqXL4ifrDmiA7SgPX/udVvfSvamWWPn
pstnP+L0w+XqRm8+u7Gwok/Gh1Tkq9AQMBWCZeiaNpzjst3QpAaeG6HGFGE5s6bZWuQAUeyTNv3J
xiZ5Xd0kOZu5wH3bDhIB0bCt+cPgQQHHbUnwUXnbjp8lMYuOR4SxFSQQZqdgLZ322qBXLRTkZgRe
yhXzpTCaIRhIWjHnj2q8b9tbHGSpahzL+FE/+lsglXXWn5z2JoKSHe/pqSjUOfHzW4ZwNGCXrn77
ag5WBrIM/nfg0xH6bkdxd8HUkHyKCRd0UDnlumUjQKwelcczwtItzTRsWxbIfYX0HIP3MNubrE1v
a33iKHHyMM6K9o9txGQcjG7kflYN83yHWZ9kh+/Ei7PpRYZRzoDdlYB7ymoP0aZV7mH0i4R2sCwW
cpObfv+z2Ow6wlm7yGUNp4xNGUtXdu0pUmQxSn5SJgMGWwmu0wVOM/oG+uRQA0jf2akazEO5Vj6W
2ljGKZ1PymnxSMgCJQrsQb/hq9n+xV/rncyhtjai7/sx8FbNy8nH48HWFejJmqaaPt+2/UzdHgQb
sUqPFs3OeltcnNSBanNEhqS2Xn1AdR+s0T2MmEVM3tdFzw68JpYPDTy4BwVT4rVdCM3w2lB8fVyq
1skBIdOVmz6d7hZ3QGS1tR2/+WI0y42uXfHXbE3hnfkTJpLUu0M7Y+It3uegPZPyjsLq73hunfIQ
2RYjfjc76oV3U3fBp57dM+dYO4JmkHwjTOcwuNlZBQVX64S+20LsjLZOL9kSue9LZs4ssHX5kOMO
DwurpXVvrtMrwQ+UylUINrzEVVBT27cxNvPXhjXjRizjZ2O68mVoJvvKhZskNwbEQ+uU5ktr1sYP
visdBVZs0Rwna3kkqktEl+1L9FKasXt16/Slrk3jGtULhThL5dJTybB1NTILlJfd1CNdBJUzEPSG
PrlNzQrqORjXWyGbm2G6jgpP374JhWy+UiZiWiLH2MFnkaPRr/V8SITvHoeYq8NUzOt3QSHjhq1k
hp4w1skDcY3+UjYo0M2s0l/p0H2WTbzu9ejrfZSOVeiqMv2KxoV8rzfnT7Q3VchbDk6hKal2LWAM
pEwPy8A/uPhlTBCbrb63ujvXKctfKCVrQQW1pb2tWeSChFhn2scibni5IPPYxzFJh5d2nWvSF11y
5+dmtx16MtSkf7I0yGtgxmZvyz3sOQYW9kMvDkfLI1OVjCGWzjm+v5zEL+bd/msV2YxWAeSCIHaf
HKc6ShCnJ+vZtNGQYUlkNGzGjnuBOqCepYOVOyzsXOznXlr7zNPe/bKa8UBF1s0R5JtJcacywGgN
dZSf45LnT4Mr/L9dW0iXU5mrBFijhrCzQMOb+Sed0YROPFbFNaXGmDZRyUcciBJsdNcP+M4Hu17e
rRWeWEMq5Zo3cK0JQbhtioVIyC/F9kdthixO3hiYkm43A9sxYIeCdrDjbN30IKijvUxwyWDXHpf5
6MMpryF8ZOp9Ahj9WpXp9EScDok+L8XDbCVWGw5OP5CAMng9KMzRe1UWwyc+gvqxA8GIVzEe09PY
EkNUSc6zyvYuw60mlwsMDZqeDaTsRy6wcxu0/pR8JPTgxPj+J0AHdp7IFzPT7TuyQnP1+wxqgerW
e29UMZWcaE1647Qdn2jXpSuhmtL9U9tYnRG9reXemKLq9I91mlouPYUdkivxDld9r6s3CBCt9vKF
eYHNA3R2Y8tSYfrNEJh5O19idUJ38TF6r/Mj5deC9tbb37K1XZYp2Dg+/cl9kRkglxnOHcZOiiXY
JlbN1btxT5K2fHXy4qlIynSji7i/+GVi88zSXgTocmLOJYoXh8ZCCUYlLT74iHTqe8OmnNhUM8fQ
imwWBawvPfmWqai9+HA1n/y6Vk9TqZo7hpfi0sdL8WHcrAChwuD8TelusgfZclt1wW2+157CUNQX
g/7lpYu5nGpcZsshp6qHEbmyYC9iflgOg3Sc76iIO2pgTFxJlUGTKpRZtwGW1Xn+PZWwkAQ4uX6o
vVQ/cRx143bKcrIs+AS8Dko3nzW7TZlae6v2sVSBy9ixac8+VsNAUsMPKnfTUvucbcn0JgChP7mL
VRAiG9frmsrhR/5z+HYYIgN+8GQF5zh6wr3d/9Z4y+5czFQvrOjPdJnHirAhBVBJnZJtnG0vwf0T
wUjFpwIVZlot+eDl7ryB3Rsj1hHd5XMuHH+ko9nO88M4ZpQFQEHlpcGGlAro0XI+zFi01B+3Q99R
a97N7IDM5ts22oGSzS69A/lRP6bl3L53aHR/ehB+h4L+4bcJoWQN9aLjIw6JHs0fvZHIYzXER8O3
V+OYV615YGOt2VHIRQTOkgy/EobkItDdMF7waJJIyJU3UMUi+uzCSJAeVDdbh4YMC/b2KPOhkSTc
QxfM2QiQVdNsZHMDzhAIWdnFshvAV1f3p7LMIqClmrvcrcS3vpLLXg9ktm63Gzlm5Eb6jALvCovC
jLT/FPPNPMyYDn579Vr+uk3ZA/8Psiw2iITGszl247UsRPcObmb5T/bObDdyJM3S79L3TJBmpBl5
0Rfj+6LdpZAUN4QUCnHfdz79fFTmVEdmV1VPDTDADNA3hSpERUhyudPs/8853zkSXMDwQ8JtWoP/
mdclCSX+pDe5YhDZo8AUl17hBSR7aK4o/HWRFvFbVqR1iEQRBbeiyPgRkgTmD5+HOL7viHXWrVSS
j0vGwiyN74w6WrAiaYcPYHaccxCOFmVS0EMegaV6D7hVqJh0Z9ZYgH2xv8RVz4WkgOJxaiIMtBvq
xe2FBaJKJMiKNj7kN4PRNIyXQxmU5qFuG341XOPNjAV57wz1qeVEeosShaKWR35D1IL0OVtCEkD2
Jmxbv0euwCE3U7yNCaJR+IXqmF5nYr1qC5smZMmGW71G//nIXAtpZxwpluUaSSxHd2HtrjHrREeP
/dHPMUjw7dZfSCjw8fcV5p6nzFlmitbFM4T3eMIT4lrstShcvMpUS6zK7PNDn+jmmHdTWMEizcZv
IPqEuc+IwR6NqvchyblRtQZMkV7nHmu0o6xrCCa6G1sugHpAAv6/sqb6h3yy/2+pDr+zHgEQ/GOI
2Tp8yz+i/7TJ+tvf/H2RpdVvLuVjno0zwDVttdDK/oPsYMEiM5UroUsv/IY/9ljS/I2NE2ss8EUw
Hd2lYeYPtAN/tOAY2GPBMbGUCcf+X+A8WnzxX2npbOvYiWHG8fguTJuF1p+JCvhSmFmyeNor9tlP
Geaql0oT+XCFH7ZUpdXjK1PEO9mF+qdby/z7gM2ApFYYdlu7GYqt7nFlaMfwXtCsi1PPxZA0S5R+
OGnQPf/3mzFvo3Z6nMqf//5vbx9ZlG8iSDHRj/ZPoBBElQX08c/ejP+j7vK3H+Fb+ndJI3/7B35/
T3r6NxtGKFtLKRzLcyS/9t/fk571G/IR0B7Hsv5givyv3ar3mw1Xj/+3gCUBueI/dqtC/QYL06Un
jYYFcEQUzv0L70mYAH9+UyKDwPhwFK4HIVizflXD/YLWq4KMoR6Q+HE5LOJDh4f9VjdO126k3y1m
g7FL40OW5mW30qDM2hVTTVdtCk0ujUKeeKtwTB7nMCdGbJnJyOVhjPhP5t/oFUnWY43D5qjeslwC
tVUoEqFOLcxtPeB9uikchN2Dwe3xlVgppKPCinJ8arnFFSUh2+xuBT/Bt2aA5Wy1emCvg7/bnAZM
xTiF3suZCWDrVzZrFJj8bbrJReAixQzecM/sismLlSJWAjGakzhUY1zva/qo5crosS3fEeDo/ZVd
llm2nhw+jjkyzz0I79JnF9JzvjLAoHhWRtUwDriZ+RlGZjHT04rTEjuJYT/koW+ny9YpeCGSIbq9
6/rTD+Ip7V3JlnWpes+XkE05kEmo7f4tjJvxCP8lQ9IuVfRqGzRX1r4NbH0oTPN+HFQNnkKoo2Vh
jJZEVRjf41yolWSt/NgqMb3gK3BbnAQCDQYmO4gwV8MlALKRUHczxWyYS4Km1yKzhmugm8aZ64je
V7MdzTeErTrrIupC4piwpyrY2V4pveeePeNxqsIG6qxnUoY6g3+o9tNocRddkcmuo2PVNI556y6v
S4IDSjbeLk4h0zw24YS7owXHDtWjLF9YgoC2m/rlxQqPXRsu9ody2PLP2GfJoXpwEzebbq1xxGOd
6bC3bgPtMp4Yuh3W+KeqjeXnWPM7c3zAuvwZcw/d5gnb6wGr4LEwqKWivIYNe2WJnb88MPvJn29g
ggPBkhGq12y3uygBy4h7iKwoMvlgb6TX6QuNTsehNCw2qjAWT0baZVs79i/g8AOAjf2zKCWVCiq/
wpfPYslzPqwsO+Z9fRzGgKk7NbO903hiPQIy30qag64DIfOT4m3zkGF8PiroWOtYckklgukCKsvA
GRTlqVO0nAaGTfDRTlaz716jvzTX2LMoh+7RJkBbaH6rdvhhEyzes/fInqPWyW96mTiHrsfYHHgF
KDwv7BgbGpK1bqm3bJSKB13bxU2dj2BksJhuZ6r9llpp038K0vGStFiaphZkw9ThBa20rk+lCuk2
9QqW7qM0VnYRvxdWLC9VYSXcjrDTaQJnO+Wn9tbOyYpa1BqvevA0kdV21xXFlPAuQipelnjYYxqW
d31Z73vKTQYsvZi/6jhsb/0wbcCjs7Fc4yPfOIwNhSPgZ9frYOofaIfAUaMNVO3yZ9fBORmsduWA
ZoBxhCaSx42+BbwVvOCGp66bP6FUM8lfkKFKHkby0e55/+NZWTmZ/5Fa4d7qcu8OxLf5k0GXd3pR
nkulOzw5bGFNzyi4Zo6fOm/PHc2NxEQMfvMlJmcjI5NIejBYzWmHWuA7zHYyNVYyojBingoiLqGh
V3nDhpjUyrgetMZFOjnzi8H3vYtjfwa5b1d7KZcNSJiIxUE6XBKnuHAJjU/k+jTacdrvkGj01mXb
tk0kdqi6iZot12U8aBjUSAEknb2ZMrhKoeXLFTJp32F0ExIIL+nZDeIPXlzTF9O3KAYiN0kfi7GH
qKDwd2+9kOG0rerPsoIEY3ZudRoVw2QIAYZALX3AKumzO7ySipV+I04YVpN3VLJ8Z5Iy4YcfnPzO
bs1gk/YmLU3C50nIVaXZOlPlPg+eCD7KpB+i3y/E3FODn8XfoVAp5y8QKtd0uCvZ0jE1PTqwlbmb
/Qp+JZNVhXFohkdXNMRJfGvI2MMgiN02eSafhoLdetkUyESDrNhh4IbIH/PKmLZ1mFofaOlefEW9
k2WBuGRFZghFdrBefvvrwrU4pgZYIeUaEA3WVZolAVfnrhUenS5zh9vRTmsUj2QevjVKJg+TNnOJ
fc1j+XmGUuFez9gH7kI35BGFvbNZAXWS7boVbfNuSMHO1QnVc9JMDOM5q36ESQOXhokDaIAPo4Zr
z0+a4zDoad/xfD/PgTHu0pDN6iwhxDoAJ2Ep0trlCjIEMi2o6fL89psXG+VGDYyfdUeDF0MbhheA
CHATQQzs9Mi51WLvWBX2XK7V4M3TwVXoWHjSrKFP9+TjcDGzuO0PtTk52ZW2iY17NeZzs+uNn1RL
Tye2hstmsGBzXtum8ZAkCjBC0ZIunBp518gwuFTDRB63priA9ffKyucuxj9oFbewOR2ANYZ7S5G8
85wbpdwgn7L1Itazw2OHAGPS1FiaYbuTgXsJifquG+d7HjNJeu1b0Vr7LiS4RkDPvinj976vHzzD
cq8KC1KGQ8PSBs5A8xCaiQcxhxeO+wZrVJNC52KwjQNIyOiNngAYkCkVap0G2WXkD5hRopvQzzDx
w2AANBAeNK1QR44Vwu8tgi6ZKyIujSOr44y/GWW1bPotgR9j5WV1/hKj72xMUb6PA5vsura9FQ67
HAppVNxWGEcuUeD80HSkPrCirgEudd1Nw7ov2Blu2Bhrl6YIMh2dZQenvAdj9pFOdvkCt4JyHhYv
nr337B6fG2E2OJmj44zPKKxWt/Eys3ybKAh+bX3qHS6Ov6CmphLM5xoMcvVqySC8ITIhb6ABqPch
BsZCEQg1ZoEjjXc6JhoWK6of1rnVOnvPMKONDjV5ZWbfi5RG+wMvPlBv4WUXkY8d2ESaIfdO6vbr
FETStR7D+rorOq+nJDIPvjuZGzyYdmvjXeZ5U1UD53yH61HZY7RVynAfq8RGyIukeuNWiwmbTtPA
OgxmlZ6ioTIEv00rNNm0GcnDkJPWY4VNsHALGRNmTpIupdw2F45my8MO4nIyjiUGUmQ0tj9zV60J
1Ac3WRt4vJwi5tjX87ylurJ6mIo4e+ZosX+iB3YHrl5sHWGN4gUDzAA9IRZ4i9wO3unkzTz9FoUb
kpGVf1NOnFwnUyJvCjvrHwLcRi9dgyMzymw6bmo/eCAxz5VHmnV+4dtIHq155rdbRRxNs52aJ+Wy
cAsr2ylIsjf6KkzIni5Odmer/KLZilq8ogNGp1BbQ7wypyTGMRPpl8kfPvuyM8y1ZfU9Id58J6aI
owtIjrNPkmn8zh4Mw5Q/0seMO8HN3hoz7C9Wmdov/kh2kd9ojywUNMIFr8KG5UCbj/w+J5W54VAy
XlUbxQ+R5XtvZVONj+ic1A0pksV0hwnCrNzCnYMdmxjd8QlibLOKpNtFclY/iF3EBxxbLZ1DFHWN
W6dL4K9aUFQGdKN2+s5W07gZzDID+eXH8IJF7idnw46ra7tbNouz6D9M8LOIrW3jPlMVUi9jsDDk
uUgEEn0kzOBFdMPkk3wZo2xdGjWVjC2HxSudP9nFGdwE/5xP6wBux7XbdDbFRbafe2u2w/B3Brao
Jx56Tbcxp36ECOFXcLjAqIjvII+n5IC/OXyfsMn7a0Jq/XUZz+2qEj5Kd8qCaD673LFNq0yC8zTy
eNnJodUfQdhaV36kulMYkxfba6LX39o6FBgnWqs5OADrnvLGCe9albvvxWi1l95ihAIWZCzDEw5D
3gQBH8KsQDBYQbmr7DVWVHU196V1jEhNMv+M2RCssCTj7WBxEdy1jjc/tmZk3E5gFrH2m9jciayn
xieBHHyJTQY2GwSe6dzMHsRpjgzZX1czzvY5lPId8Xpqdrzlq59TGyRHizRtsmYJHLzkI9bgXUKS
5tgxb3yKqMfIQsFStSX3DiW3ivS49Y0+WfZ1SfXNomZ9WBv5mG1psMXSusRbth6oSOjlBsaZDZ3z
7bmpY+8Wl5/3wOuT3wytxa1TNeha1YAETBYi31AEKErILVX5mrVFW60yuB/12jeg21nBMB5rGzcM
UfR42OBMANUR64L3Y1wCdUKziG67SASHypCNuxrsAO9fHqEVpxoGA8lH1oOLykchDYE8DyQeVmho
7PoJ5sb0zhwDPioeI1LEVT4pKEd+VN/U0zjR8NN6491UDy8sly7g0KrHrK+qaNtROnzbQf4p7vpk
RM2bhfOmZkPzR1Pa3kBoGI8V9tNtOYrmpatk8zkGpptt0AbcS2GO2WW24+DbNKScREkPqzmryTau
Z4wRRCisPNlxETauMfSA24IrAMqMahvYGjJ8qnslTlMu2/qURCmwZ8DWPaN27Q43uRfWt5hEWPaG
1fxA4n5c4bBqjlr17qu2zPFSc91Cvh8N/8iopIKdNcr0mHPfhJ1QTdlm7nh3roWYCn1bWeyHNyaL
j/Xs9tPerAb51pOrPKJNFTemhWsXnDt+d7u2B495suQGFkKFwgpbGSOb6CFbEdYafmgIuh9BmeJx
7WI3q/EF9suNlefEG+Nsv+oY4fWa8CuZpNyA9T06g+ZaFE/fgoG86IqXGLeB54FrxvgVDs0GVvoS
ReODPa2DfpYbQ4ORiOeufaSjIrY2tj/SRmamMg/2gUECizaY6trFBL+nPVCuOrcbXwC++QlCfkb8
FPmc52YZmQB4eJ7Lc9WObXZX4nYlesokHO3Hyp64X2iikqnHrWgqQ1FsJagm3sypR4CyaoMfc72E
ZF0XZolbjdgo4JUnmMxrtyY7mxIdkZjEptOQ9kZwdLVXh1sfMfJ76XFtM2EPPI0Ye386yeAeTcPL
nx0nCb95aD6kNIQ57AfTsICZ0eSk1NgdJ1K6UFzy7jOxhomJWCIOLKvzdFxXoEI2k+U3u3Z0DEKg
RbWhF445DibdJhOaMR/xkXqPQDs/bB1gQVBe6TziDqFyHHPtKvDUSVOouptSOsLyxpsv/TiZNynb
mY0wEugPfjNO64gIykMDLvYHbglB/KCuLqk5TpzZGBt2MOYN5sVWRg8zSyl4n2H6bHtGf5Mm9vhY
lDo/Mjo2MbfZwryNNNXe2LP86yY1nVPPB/5xarn610Y6HQINI2uKxvyTOEV+64jaeeRtz004tk9W
1MjjaPntC6EM+5wpaz7r2aK63pEdTTQh+NpW5nuRVKtGOxfu5PX9oMfqDB6M4uFOFodEReoV/S14
92UcQCEz0fMju974s5VclV0e3TUaGhyVhmQMM8hWg2DP0Pgi+HTt8MmnbRw6XrkFUEgBj8b6XDBn
bifM1Fdt2aKFzvm+ShowbKFXA1Wrkg2VFlxPZ/eZnKlHr1U5HJ0m+mFpDDVsKxIwrNis0B25D4ju
JELsZipo07PvxmJDwVu0Dqwx/Q5/Kb+e6fJZeVRQ8E2mzYHm3PZAeaTeGK0b7/h5mp2OAPVQgO4V
HJ6/LEf/zhj3V6gxUxyrdQym2EFtcENqmfJ+2TEaPH7zgQfJEfaO4Nq53NJcWQQ3MCXtYe3wFoLf
obS1KjtJ9H7q9HHIJOiu/+Ib+U8Nm19GVRtHK10nFFq7f4Ea151fjRnO5uNUq33cN+07nVzDfI9f
xGtuXVjw6i4BFkOF2ZwND8itzH/KjVtSWD2f79Duv2HMIo/QT6IOdlnssT+TeF6qN0UGx96ATkTO
bkV6R5snr7yS6YsLu5i1xLKQy4beeod1k+PJYGp8Zv1h7Ma2lRfRD8aPOvS5eHdu8ITZvFt08CB6
aSO0cR5x9rVnRiwF3N58duuAN0oUjveQDmJ3wybWA3phJmc7bOuNnAoiyb0MbpFdi3Xr1u0DQZjp
bIyjvO7SgOMQ9NVOjumLwA1x38Jk0IPlIv+ytNTL+rL82mT2RPtYlRqJCLesXJ2H8mvtCSmHFah2
hPlZfi1GhV3pD+0q0D0OaY85mK1nJU1shlXCLX+VLhf2sXU6sQkC6gyiDke+h4M2Wqdft3vr66YP
FZVb//g1AUR9Mv1wcKdsmVLd2/hrTrDaQmK65URrm8oTdFgv4wTbJPVGd+qS8PTco+GLp8CZumM5
1gGwEF74ZJ7gXsXekmhfZpb+a3xxl0kmW2YatUw37jLn+OHYhlu8V9klLgCcAG5kIlpmI3eZkkJg
KZsawMVeVDU7ymUjuuZpYrynX0PWuMxb8TJ5ecsMJpZpbMKn8FoBspjW7HIY10ovFPNF0Vbz6oi0
fHP0bGKPm1o5Pqeq4kVyitS5aWfmy/1gEyjir1TlS+2XKv8Ax9NF29Dpgs9WdkCY//nHRHwt/X8x
XLusWzSqhHAE+gSy2aJk/fKB7Yiy9DLkOCHPZl2XBtyAYoiqTVMDHaKrwT1Wbk1EAdoEJv+6uHUx
9l+RSQeBbahhPKk2QC4mHBvA0YdevvAphwemHkzLNnvSlzrry34VRLK62NCiV6WIbXaA0bBVerwl
x08lC/6fVTZY/ZXlZi1kQDn6PzDmyJ2KSgVUqEruheeMrPRVfILpfsEueZsL/87DS3sV+AFdmxKi
ghlc+IzLGzObrxnMvLUyCALyxDMJQLGvI+VcV646hAQYsSIpLqicHeahL3V6h6vUvJOFRYl4YTvB
I53X+T7osRIEY0cpSiGLgd0b2YwbHi7VnVs3467hJtNuHHbLA1hL6fVbZ0yTE+yJDHKHVStWhqrM
P6BQ08iZUBQCt669E17f4CUf/E0hY5yxzpxuvGrsiRCm2n8NURVeR2fCYzRkRb0jsxbuo4xyM05d
W6NZwF6N9RQcctfhI2erQS2eZAX1Jov7j8z3sMyknenvmYRzjDWNNy0N8zVsH9313kFRZHLv9174
nlm2v291EG19YKIPI5sRNgWRS+zU6U+YfIY1+WrrhtXizLuSS2cae1gzvND47uXQuvjn2rVluPkD
dmZXsOctcXnCelzjfcOmP7TszFByQsqTOo602enBkFftK9nf6NEIG/GtimldBxFkhuuir3g0jUN8
D6kdwjWQ1LPDUwpuEoU7BVrDdghC/HuhFT/lJgncFfajJVrLK3OKpGlTndIqcNDJbO6VDk0+114s
Af8WF49WIRqHWVBQysRJRKu0fa+MOrgeZswUrHfMjkCpzFv3jmBiJ1flIiJZX3qS1Y4d2dUvnclc
JKearS4RynJRovwmRZXyognvFfUq79aXauWhX4kvJauRjtzB89Lf0i+lKxeG4ayKCDD5KuLpTTBR
JeVrwHYvOkh6s4KbuSwtutQ4xz7sbhjBsY/CJTG0qG3x0qQJ2wxz8orJQEJNIHYFHW6OtwPBnGMl
qpZ7dWUzXHfEsZeyjDiJD7GrcDNMLDCcTR1ZxVnCWIsO1ddOd1zWu4ljvVSkdl2seo+JF71E9fIB
ETHKkI5OlT8vbiBP70qr6Jbvutk5CK3nMUQiaozCOeCsa97++YNqKUP482PK4mLBQ8o2lbSkvWib
vzymTDbzCStRffQC5ybwbsH5XJX9/0F46H/PcvH3I0b/D7bG6WWtKbj7/GO/xb7gd/HzSzA/fvz7
v/3tb/zhs7B/o3KZ/KHFTUpRrksrxx8+C4k8zW+C9bFtUoy5dGv8IWpbzm+uZSsPVBPuYpxIXAP/
MFpYNr4Nem9MpFWLfw7fxr8gav+lbNhevjEyTNx4qEIkqorg/uvbQuih524zDFuu8MWKE3TewasU
7NFCjie4eKdfXpm/c7/9y9vwj6/HF3Qgy/B6/KWHGn81cPuUYMtsM7HMdvDZz2ytp8EY/wtBBAXn
z2/55Ws5HM+066GKaIwAf/7ZOuUIKbmCbAVaO2BpB5AT2qp1jIUorxMffkQ3y3ifipb2qqr2Psjc
9XdkaJJj5tm4ojguKKWYOJu4aDaIj4kX1M82m1vOKkpJbpQKrFNniuZ9GthSrxtIwpRyji5RwGxO
ccAPsgA+y3NQuYn1mHG57HdSR5V1Bn1hUoghGnzA0UzPXKztn60Ki23jAsNgQ5d2n91ohD8DBVo4
yTVDh5/Odx5EXLli8xDsqx4RO+na/j5m1j9XxM/6Q2XDClue6Xwrnfb9Z3xAc7QSDHoafHSqA1wG
oGtWRmDofYkgUUAQj8lCdx7pjlVj16JYSd3XnxnNDSfdqKMOeD+AUBVbQ8NSntTjwuIpYXlL/4QQ
M58j2F9345jShgDS24ZHuQ6i8sXIgODiQ7qngC/f51iXp7Hjie2JcFWVdbWWnlFfLbBfRngEat/k
FABcn4YbQ7mQWxJKTixjTE7G1LxEHopJNtLQNoHTWSnotkRd9U2bx/EubVA2QgB20hrbLdafLbbc
CegXcWfgCo0wHqaqB0T8Rfodw72rHXtDlvwoKqsHAyX58oseb1rBJyI1OkUX818o0dAmDm+srd66
T3UOdq4xWdjzxYXKqJ9yzXt24ORTi5qPTh68BSK5znKinIL218FfhnMw7Bs7N/bRYN4XCWrM8oom
MvQ2vh1eYPUGa3MUH07nX1mJPlZFnK5Ti76rcgTbNgRsqBt570vYkEVmfcQq20mmBQJY7V6a8aeJ
zLFN/PrF4X/0vnvD1vqT0+eKRT/0/IRO5t5fHPrVBSLnnnQI7EjW7X6ybyVxZIjg2xL5bI2JHJRR
xQUtuEKNH8xNTMr1tmqdmwjgRt7HkLglEpEc0rPpjT8VCahNMtZql2T88uqRoJOHTLPqW0TTTpK3
mt180czRmjrbvRFTiHLsQ3b3m+cxEArK6rBUadFBp3wgUTK4mmICvbOEPl0Yjb8WrCOnxKfASwXn
wKcsR9XihbQJP4Dvoufy5dIhegdWvoe739KdI/W61QVuFaC2BPqJhQ0ChG7R9psaDzoKeXhPBNlb
+wVrLiOl693P+KAmlWBvbDT9ym/04wC0eJXr7KqnfGBlm+W7FxTF9uup+N8dVY//3EAmPcE95B+f
rKsofKt/PVt//wu/H6yu+5s08YqbWpCtpZsKwfv3g9WVv8HFImxI2ZQjHaK4fztYhf6NOVsrMloe
HlXlcUD9cbAKDmqFm81j/eJINrv/UjsVvse/HD/CJCLMCocVio2N0fnLjaui/72hQEbuS9+yH+PA
njcYaPPTCC1xA/21w8uRvYYJ4znXUpecUpbRlu503FD5D3uf47O8Dgs7eY7DMMK7PuMa83LtH8e5
DSH9iho/S1QrRR5jACcz5Km68hPAyKuEjOUxQfPbM17Nz55Uxedc6PY5nOFarnC4tbc8Pcc70Bqs
uxrTWNtVkeyA7KLq1b146JqhOttNXpwmq4HqAbX1GPTTsglHdYILghf6XLZNfI5TQgyLvyx/TCJ/
No9JZBtn0kKwBRw7RsILVa+Y+zP/aSziap85hnNWXtF/r6IS0lRsuHzyKz1F33xU9iffmQZIfDLg
35bFaMJji+ErB+ksPrzAp6JVhVlxYnoMKG9UCZWecW2v4qaLrjCNasShwsMtVuiME0HJ+t4oC8ac
DP7dvRfZrPEynV/n2IkYR6HPJWSMnQwCRzvR2JpGxgP2FX9cpZE/vJWWgxEpNCAJwZ6fqptwTOjL
qpAnyp2vsaOtgxAOezNP01FB2Nh1E7Rd2NOgSWDFy11Jvd6VdBrnGFsWHKiMTupdBgHqIDoHguIo
P8N2KaNRIR4Sqofs+hAbCWybwsOCsh5bk99u2HlieZJCdGqIWcHfyvV2as1y12hLX+jk0bteyvpj
atMo4tXwu30Hiv0Hz/7h1Wp7dYLQE5ydsCnuYciLp8HO62vO19gBnYCXaOeUZmxsRxC+cIfRW6Cw
xco5Ab+ZDjDlPMAcebmldgwHmoPMe5r6XF+hpQ0np23N+9kp9RmxdNhaii4SBJr0MSMBdrExZw2H
QsC4jWaDcgUih6ZYxQ5AMZPt7W1JbwkBlMRtr53apWy7goVsWouo4fuA5SlrRHnGTcWYWitIcZbh
ARUJuoEHttePVz4NcJk5+9+9OueukNj2q4Zpc9bGROAR5ZiXqbC8m7rjhULhyenRKfsKqTlv3JLD
B5cI9aUFGOmdRVt6vqL1Vh4b3GIgRlQjttGEpcIoIAm7U7w1h8jYMKd/xwzp0/ZWZBugdsa3yq5H
1MriZLLy2OnOLzbOZN+2xLhH7M67zIOl6Nf2sx9G26wTza4oNEItYdMr23QHKF/VD8paqptM1Zeq
Lj+9iPOPcx+PIeaqsqTidraH24z2Ku2U9tqKVQ+lTgFLVV126xNcY22jAV3tBiESkrgYQ1mtjITv
ioZ0nElgkaJGSCwko9Y4S4nj2hkxRW9usytodGrLx7B/wsmfXxtEyDAByWKf2m3X3bMY8Lk/sh93
V7NphPRBGqP7HYGKO2frtsQbxjYIfyQ5z8QNTxPk7sKcW7bY8xiGe9nx4sA8TfHuwEPjm+QvOSa7
oYB414j5w6AlA3kYLIlOPiKZI4FYsbFzVezwtmjHvZVxyJu9bW5Rsq2jVbND6AdqRbKAfqdVMPv+
k+alXXMvRuEsnWTngoivkVgH1hxE9OF5xW23m+J4vm6dyLy4cT1/dxF45UpEdX/OhKA2QPvJnS9c
f2fGRfRZQtluQXyyhAQxaU67AfbNll68gcQviW7WCH33yiaY6FZCVJ5gUBIdJj+q0HAS2rKzRovr
mlb6leRedqDMgMQ4a2LeDhOwaX9gR14W7Ta18/5CGX39gssyOemsmqqNiGGRNl0FUxEG8V0c4zzC
lGF37wEkza0U3mEOnDOUmemqNZP0pRZBA0eJID0ZrUtX9gl9eC6+LPTrW9WY8y0aVLZ3SaffVbRk
R+0x6/vpzmwpHaQCsX/yPNnvGnQH8Aejxt2TlMaN2eRmeeb6N90OZZ1i7OMJzwjiWSd7SF9Zm7Wv
2kiSb1XUFde8zMk97kD7O3ZMlcC5N0eGMAjdt0EI/jrsJ0LYIpibTdxRYTTQ/IKtyRWUMsz5vBl8
lre2151TrKmEWXuiwHAbzrXRY9PwUn5185CkmJmy+eLPLdgCjMXJs0v1FjLj2N4ShZMnnWYzs1CK
TtioOP6okpCuih7bzSoznOiS2gHvsuVr6yiSd20eiR0VfdNBWKX6YQ0hOQQ/4NHnZhAiZZ5Sjw08
qyU5CILoSsNcw9QWpPt+4LhnqtlZMVkcsLPDQ+g1Dr4EIwAKgLh5xF0W7Lnyl+vI99Nn5Mf5iYof
cTWDS8AsSkHNqbQBm63zUFrHwJQfVM0kG9MakncndKtkO8P8fiKfhL5hc/Wg8baq9dVYuvG1cJuJ
LDbPVqoY3mRD2wIVNPFNbNfBrYREBfZ49kk5Z4OXfCd+GjE/hqY0tlOQF/egSqz2OFTR/Ai7gGZh
iBzdyWxq9Y3W7f5pjK2PuqPiZ09aiTbjAFwnlcbBT921wS5XONVWkxjlampsDAII3ONWpVJ8A5Y2
PKLTDG+4bSIeuqKPNeYtAnIrHTvlk57i9GcqU1oWYU1ssjCKV2XWWq+YRoQ61DHIvrbCDz3yEB0D
KvTcAijxDBzvxfMDbuUNK1nlniu6LbaZICKFTHzIsZfhqyXaFRfDaar8G5jJFdZD+jhcLL1gw8pJ
XJKaD8mh8yLnjD1ZXTAgUlvTdGRqc6+lVTPm0gGxr3kn+XtD1wy/KEStoygNZ1/RoilWVW3EmzSK
8dQzzdxTFNxw3zM5Wun/ZtXnD0/FVKQ0OyMyIZ7Vd6m2x6eknI2FUOCskjRX67LBNawLx3iksGI7
2hOJU1O490PjZDc1fQpk3KL42ZomcezrrNti4iw/cjwm+yFp8m3Adesw6tx7URKzuG+p4qNvxLgD
uYZlalBqutRLGQu9qVxMRHOwAzO8CouObjtmQxbS+HhGQGqfejasdek7t6Woo3NmcNznDMqU9k5f
vF2iOOuxx9e4mnojOqcZ1eTcJLEI+745XM0AOlmbZ4a6mVTNg4SQ4nvW12I7GA3sF99o90M2RHdq
4h5lkUfb6RYH9Rxr6sx9j9hqlGdry8fNXzXjR6bm5i4qq5vOlS0Wr7JBnze4DrTMl5oOmiuw6MkK
n/YVl85o8z/ZO7PttpFs234RcqBH4PGSYCdSoqhefsGQLQttAIG++fozkVV1ylbmsW+910uOzLQl
ECQRsWPvteZK/cI+571J5ohiWcfFbIOAzna6l5ymNv7q29O7Mvwz6Q3NVpZtOfAEJ95dqRQRC5XS
jW1caUfWRFLJserGD7JiXV2V01igwho6Iu8dv2JE7rbDljBN7U6ggdBfBzUL76pntr9DV+bz2Ze5
/UGRVXY7B1nOE5tUtRvR9nz3nCGqrmaJCnJVi8x/7zs4ItsZ89yXxu6Hez93vMCeu/lab7TrzEiZ
KYJEuaIfH68sevenpk58qrkleUHINJnWZWTgIxxqx3rAsR7tZdNiKMwJ1Bra9Gg5yr1hRaA/gp3l
5EKaqdEwWMmL4idOpqTLsqbOnG/qVoDnU3rlveZU1ve0NuoTz6vTUXu107aupv6SaVUyoB8EpY3B
HbQZI7fZ3CC21BlmYc4CQ13k9zBWTEJWiG18BQctTzQBwYCTvuLcWCUVSsaZO8L1nIL/iSO3vM3M
1nHxSje0sDirJ4QxVnU0b6IZMgE5LCp+1oFiHGulWoDGuq1dRah/BdGihxIF5A1zejcP2kZem73r
XUSk2xYFmAU2mUkJuUpTYnyNVCeIKsu8V5DQ3UEIH9opwGJM8TKKwRSERdiN5EgJyw8KREwgxgHb
ksQ44N9AT9iiiK+nzYgAeOW1pdjaFSLRjFQYt1QwLjVwfespDesdq9YbLLKWmN2uJLfJjne5IClr
TNpdbEa3ZuV80ISK9mFRagfmouTTgZPUVYwaIrkBhuCvelfJIGeIeq8PNcgCiKG70MEyk+mo+sAA
7LTliMHses8bMeOO2RYltSGv5Iqw3w+dDIggibS96YJd4IOgJ+iy5SREEQd+GSOfGEjUiKOHNgaY
beTRo0bZgWi0h+KetmdO5wVyDHFtmU0VwL7ZI/AftxxGvmqhdcqcNEBJhqbGT9gb9OgLeA4ISRzN
nKZGaNF5bjAP1QQWIW4PsHLg9jKzXDluOBPuLkEVgYNbZ2D7gqQn5NEFZLEe8norczPQ8/ENORlp
IvG+hW4clHZxnjsvux0s6C1urM9E4872Due7H7D1GKthmGokS75pXaVFE92FSmQ7O8ShFNE53VR0
HCHUJgu0ThHtO8sGGZnQpn43Gg4ZZyGsq7XIEaODbuwYHXl5W58wfacJYWe8v6LGJJSNeBtoVfV7
W4M80xlm99KkBTTUOM45sKQtwREjUAioUGbfX1CgyXjjRgpxnS3HN+DB4bFx8fZjawJINGTOSzQo
MjNbzfEJT5054FzplpHcuSpCQci4YF6M2uOKjUN/joomv8dxoBZyi+3qOy3LmytQYy01qGhqlrxe
Pdt2e29NfBX1Vjy0beYcWWDQLyVK7Me8eiNc11pVjEE37ZhCfGn8DdOz/rsJFcOkOtXFDVguseeM
VWDX1lX+OgnhrkdzWiTkddh/4clK1omjEjSJMt5JbM27cWKrdhKOcGbsR+S+mOO+FXQJVgK6xyYx
a3U0ItZ8ViF9eIogGbyWuZ/sErftio2EovAoKFxsvEgyH0lNZKz+3+7b/499k6bZL5l4/69p3uSP
3bd//MA/rZruH7rBqUIwhvp5rCX8PzjI8rsxShI0+OfA619eTe8PGHc4O0mONyxDLJqjf3ffDBQI
+IcNz1nab8Z/NNb65NVknqXreDWXLp/v2VxrGUT9MO8sY9yPsdagf4lZPFc6cxRj02EJSnc66LgC
vuSc34oEbNKagw5uCvL6WtAYELnkOm69nk42vccakltrsCros7OypNOVRJt0YbIrJ0wTAvUj4yX0
8pPRkhWlgbe9QkjZAbQA8r+2/T45gFDbpE7R3NpJYV78xgA4TqrYWppacRpNPzk0UUhYm2nfC5vj
Pe8gulHF5lmSrnqNkWtLi4Iu/JBuHJfTDO5LT3VdMNfDvCaztliZC6lzrkW59ZjaBzbCmY3lkDpY
Vv51GGnGTa810c6e4y+FkSRHWBgiSMn8JBkYR2LpWO8QRp310DffkJ+IXabQL7SNM6+6MZwOBHS2
l5nhPwJaPX73Kxd7A33BK2wRb96osSx4er0Fm2UHg881RQIurPeMm5bh+9yRmIaiEZlFqt24FVyo
dP7KEn7QIitoZfg8VtYRbPzJhvFMD+5K2sYuiXXCg71K+2YD79mGo/We52rXYLhbZTSkAM+Va3Ow
HiIfKgJJMfPGof8YSPrzq8pIn/PYGTet570gSzmltSFWwguGBsRf0o1oSaJKLIobGB8DCA5KW1AW
5bSbEntHhDqUrry9zWoFJWYeG9yOEWlxg7IZ9WkcUDjIX2ZGx+epc4hbre3ui2xMBPNsudE3M3QB
+0Axu4VcRSlrDPa3uu60Xd5V4ozukT7Z6E4ftd+i48XsUa1K0mePRG8OpzrOzsjokw+7Zv+DsmOt
jAj9jGwofqAatjjIgB9CFb0zKv+K+R91cmRQnM5abZ2hWENIy8VtVkI/G9z5TsTlJfPYGKLBu51l
gj4SlcQxqVoXuHIWmrdEiFdB4kzfcicdt0LLv0ir668bzz1oJjRFBLRNhiyuIz0eJ8hx1NEfVy4B
pxh1Cdqy5jXb8XRsM+9saLZz1yJeNU4oMFOfVKLCqFBsaQnZZXYmu20rgWKvNaSwcHL85USW9txs
kCscnKvUZRC5Rrcl8VLMQPZ2HFNdbhiy1F1NmUbL2JINMUS0hwiwdWddX3d9hehW6ajYNo0H5xE1
cpy4a88oQy8I83AgBSs1YNsjsoqZ6UQ18VCanch23+GJbNexmTVylWZ2op6Jv8XkzfMs2jnIJHQM
CpoSXU0PMu3GiWHL70VB8XcMqzgftoLAUWMVEcog7iXFXHnIaHGVHwoiHPKnlAilrd7Eub+OTC1F
aoRUyIas6Qu0rUyUJGps3Sl3seVyliydatmHUQ3F21BqonkvzT6W69IQPsFtnCOX9jLoSt2Mpmf0
ot2V36YE2yBpn4I0NNiB3WmMyz2pozlRn72GEArmMjNtxHKRE8AZ5s3yMm1Vo9bqeBmPWarzhCB/
pAVG5lWWFhJ3b9R+H8KqtMn1G4aKEMfEyG5dbELpdsZFIZAK0SK9iTPgXkcbZTeCr5EBMDA94tk4
kKMxh8+k0p3ssO0c3Kpu828clrtk63sZeY+mFJgB7d6AFex7zAFwUd3BKtU3HNW5YKeyoDVIIH0u
VOwh2w5HemYVXoW8nK9czTS/oDqOF/BI+zYA27SR8o8VpquGoPlYzOlBjoCIBXEl9L7BabrNQ9p6
D3E7vogiHYOmqKZX4QwVEVRxfrFSg2UviVzcvAW9a88rt33fiFfM3XiIrNaevxj6/D64HYm/elc8
hVodKJ/jQQOfS9Z9e3T5vahhW91wKEDHoZentu4zC2FYyDtKvOySkjvgqc1JSjlPdW5stHikZU/l
15qL66VGuFAU+XBk1X7qW3v0tuj42vtUerl1F+ZY8be555H00zUuGJgFZzgRtDPeOXniz3vstFHQ
gy2L73PPiN9JwjNQQCeyiQOAVMlDjX2g/wIpG18EMm8a33GfNJy2gRgZCd2vbBi/jnHKfBWEMWZr
EbkwjyK1dMgbEmDHpr9t2yk52xoDgR7W6rWwusuEBfcQxm4KKlPvoLXPxaM26x6hE/n42oyOuihN
95NVP/n+QzPnE5V2LfPbHuLU14KR377DRnoImdJoq6HDrOWGiXHRSIWAUdX6ZwwGPVMyIxVfI0DQ
z3mS4X6vkSQAsbc6XDro5cWHyOfqpOgIfITAlrs1pm0vfyCvHcozcwEU3pYb49gr9TT/QM9BCjdD
AP0m63v3riwN91niGt0lKLG9Lf0CNz8ZxMazKkzxRiv8+qGMKoV8IxuK76Ynyo/e04aXoTLJg65s
RvuuIxFXkHnAMSAZ4bNjh7Cuo7zR5DU5evYD85lKngpm/NmemE5a71Gi9ekGcpsASoj8b5020OxS
BRHwyjUy+73U6v7iZqZ40MsiPxUJYRhEloTeY14bzpe5YwdJJlbVFSLm6MXtNULoRoOpXz7lxBZO
ZD8KnIX7cPDhvkWOQdau2R5622QcFtko6ZwOqwRrRIlVdTGPgfbRJtvEQD83j2NsaDcEBBAHMkYN
QyqXwRzKYI0if6GuFcgd+yqfaFxB6+30ecrxdoPzbJD/mdvZshrnUqd9/iKbiC9dGUXWkjDchxb8
KN9Lr/yitjB8wtQICWg2tXoPkJn9D4qEW1yIONGmM2fG2Lxo+oQYj6EiqhqOoDCNG8vDOaEY7EfB
MOQRJxws5ogPBPj6XVSDsjwlhYZvqS+G/mIQzhhd2Wp29NPAOADSlE9OHn24hX82Kg52qTZ1d2HF
ueYJcfR6JNUdHDCGAgDMOnwFHnmfULn1YLj9dQa8ZDe0lf+A7tq9AMkcgDWErPvuWC3sjtna+44Y
A2Um5p79TJ6tGQw9mRZi19sxPga6a2SZpc18aoBcAK0gPuiYWA2fgsLPiYy66etv0Nag6BKWSflg
6TfNhNI6qcM7nQd+jSk+3LQuZssGofWLMLrqSHMoekybivN1M2hEsyk3wvMTxdGG6qbgEy5Jn5xE
pU6g+zknW7bNhJIsLsHHqlrHWoc0+1HeEuF+xp5pkb8cW4/2ALh2x8x0gLyFOX7EJOLS6ldpKuEM
hNbjZPQJH/M0edHGn7rufsTkrw7GJODCmXP0zjbHYhnCwBwRu8ZWtKexH24Mzh9MX6V/nHBU3s52
eQsDaNw1SUdQuK+YSxWzcyLhXdCdcY7VDMewMNsH9FKZsYKLfByIHn9jw0jvI8/M3xVjEMwjlVFt
B0vD0dfWSEo4ylTvUQQ6oyyd8BAhT9vndP2SrRpj1D52UqfGRm8se1tZnr60YNkIdoS3ReG1E7dk
z5YDJuBhHOdzZgPcrtqp/KaaCZKARhhFaySM5ErddBgFWUsrjtSGNP2N4G3x9/9b4fnXE88i9fvh
xGMRA6yXZTse7DJnTMS8ub4qci19+EGB8TcKvr+7jECHDRKQISJj2p8v08+yKMNQGw7eWDM4RDeY
rhlQ2d5vbmdR5/18O8vna9goOTgRcp77+TqGr5mt8J3uMHdF95YuO7zbzpwIokkgFhu1LPme94QI
rOxWmuI3Vzd/FkYu7yagIcvybJ/m3aLf/PnyCK4yTdVWe7BrjKzxUgiYQrpbeykO+qHJL6IiexMU
9/SaTSX8f6qJXvcfZqoL+88yw4ABsRQehUvdP4+3owfq17Uq8gZ0GJ1qhX2Wvoc2JPm5qWuWqtKb
w5VK45I0I//068/trzfESVjHXMudCdN1Pqkh6U/FXl526jAnDXo0xAkRaDb00yikYXayx0f0Of/R
Wvm/qRR/+RCthd9lGILK1PX0T9/Jmlml3YOe46LRfLJQMGayJVQjukq8qfqPJM7LR8bFFjoZvQWP
1emT4CbyLbPIsT8chjnRNnCT3sdM20p9bH9zV399BBDrUoZgt6PJYTnLn//wpJmyMVQJgPOQdBId
jW0oOH2YUGmN//ozA5r2+SGwHNSrrkmZaGLI+vShRShpUmd28kNrk8ISd4tasBvj6ET3w+qCzKQT
u/PJ3fDZ8obmnA2dZd8Kg4y4peTr/qz+FH3loMXPNe+hP1If1n/Wir9+qX95TwzD5Kvl09jhbcEu
9vN7Ap4Hc08pkkMWx7p3UKJrb8dy5LD0H18HwJzj/Bm04MA9+vk6LrQliJxdfChCDgNBTRxbEiya
oH8Ilf8ryfuNJA+jAYhJm+Xu/5blBd/zOPmxMfjvH/qn5t1DgIcpynGp8P8pwPun5h3qIGs6FDI6
c5YwBYLzfzUHBcJ2j++7a9A9RJT+gzRP/GGjkOfJxrtg8Bv/I5DbovH7YWvh5ihvEYXzyFg2O8tn
Z2NSOEry8qpdUi+Djmqo2oeuj4aXuG/7szUOD51Wa3fYQuA6oExWFCDEuTnKQNHr4Kx+lVndvxEh
lhzCzO826O6c9TwDfMVcDEErT5zL6PKk8evBTVDt3EY0M76nLowRTmuE3fjapuJYwKCIskb5cMoY
gRFJRo7OM7wNScI5RRT6J5C6YZbdTqVzl5V5T2iXBaDKcocnK3X1jU64I+x/H9hJ1pb3Zem/jBr+
MGNAz19kAGtdDRwA2YVEMZpmEjQNoYzdVN3r0ooxno9IvVXr3yl21KCDUXFvA+zYNFEqN9EAMx/J
urNPwgwas+4Pz+YEWwmeWP7hE0R0wnkTfxWuxKA0YRHt0FU9pJ0pd0QqMXuyXUZndo/iPUjlqMGg
ckPjS4amGuaw0210xvWnwVjgruZMwMOaAnX8goMwUZR4DsCGyu711xInBCJfxQhbRAZHqrp3rp2W
7D2Gj5l4omHVQA4xqGMJHcEtN/tlN/yjJvjvkvCbJWExtLCR/GpF2HXpW/3W/rgm/O9P/a8NhokA
6zWWF7ayP+GK/1gSXPEH8Eb2bvOfPhiW9H8tCfYfmGNY5UE3imU54UX8a16g/7EUaAIWjUmDnRXj
P5kX/Lx7sSJwBTDDBGf4Bn4c71O1h/utdxvsGpvW4XlfzUg5n2PGpL/ZvH7ezpfLQMpm7XEZgJjc
16fLNAhU0gFuycZFefql1zWxZb4SEbfZZv0ukpxOfvgU/qZY/ytHlSu68CqEvlQEhvhUgPlyxjGZ
hUSzGqMvUdTo1M6dFssBUbtVBBJA/r3ovHTfhuKOY79PKAw/9aWYLAN4hZ9eAR22royqNzc8oRzO
p3y4ltE8n4wxU9e/eb1/WZp5vYsfatngF2ftp+2dhIFsGkaErVlYynf6ZBmtGoN/Zn7hM7GgFzVE
sMA4z5fvNcLC924Uw9MUpWrHbMb+iBjpPhblSAr2SIbqr1+e+dfvCS9v0ZYv5xK+k59KTM+vdOLY
JpdJkrKvkxmaBwPP0gq8ZojJPKTEB96symOOO3mja3q0b2GbYLj0xD4ebY/lM5JnWrNHw1AHJlQX
2E4OUQgoP5CfVn32yryNVkBoIxAiuOhrR2N/J6dK3f36Xmz/8y7IW83Zhk3Ysmw23k8Vm0jmQW87
C/Bll8cnvK+CyI7RjAKEZDE5tgkjBkn89EYrm+G9cAcoX7ksfIKPJDvC6PrapRvH9tVlfSciwChO
MtOclxERT9NAvqoTM2AeBg8x1yICVrv+QBpGvKmj9FU5cJiS0HnxHYzfrYbarZjOqDJ6yFKuPNA8
dm9YzquTrYUzvZYYrh6NaSPcxrLAYsV4e9NNwkaaM1jXNWC096WBN68MsAhHkCgoO1OJ3C1mNTrW
UsfjkZoaFNJyHtOXX7+Xf7Ga8WAjXnNs5paYK3ER/FyVKg/lgNNMDsk4ljyXelZsy3TQTxRA8I6M
Dy0dxnMHeKNZS8xhct/V+fDhVnn91VZVe11FdIgZQZnAHMo8DzyNAcCqKDxjTVtL3ZLj2OzpQUck
Tik5vfvdYKDpDMsjLVXtxbCy6KRm8PrrHBLLaor08SSyLt22nav/5ovDyvqpfFpuloOkhW0QY92f
f/7D8UcJXfXe8hA0WdXfMBVbHL+mZh8Uy/otAan+tuK0ABAyny81CUJHSzmElNhgyvbGbItHpPDT
d9Rs+rdffw5/s76KZZFdfByuLtxPQ988mmQPOcdBR8owE1/bR9xPB7vNxsAb+99YGf/mbeDMuRx6
dJJYWNJ//sxJV3MHMbXOZpoa70VnKLM8xen517f0NwviT1f59JTmIk3cxqqBMlhJ8l0vm/I0dfAB
6XoU0/bX1/qbFQHqNns0O6rAmPrp7eMrmSrF8GpTcBo9Wpqc32fSrE52bel35tiw7BYIkSgYdb24
9YuwDn79Av7mLfVtWi4e9lAK80We8OPButQGFPWx44Aw9YhtGCpE8yFpvb++ykKE/qn+d4RB4cD5
nSUcl4732fTKkiumPCVF0qnvVGPSodWnXZr0l5FgRD85j8RucQx4X8rSLs61MzGriNPnkqG5NUyB
33Wo8GMbHwX66B0hxqBXx7vGVEzIpljfKGyWK51TqiJXb4koBb9IksN3JJG/4bR8/n6QQ0j6CHsl
3NalrlpcSD88jDMJbxWp0t6mYtsBMsHYHkUAw0+X5Ndfv29/eds4fi0bH2I9/FN0P36+VDyHZu51
2Cq93I2uwgnFLAld/TGqC+go2E3oYhv+by5KKfj5qXZpfODmggZuIX2gPPv5ugNaQBMsc0ga1vCA
6xR0VESEpx+Ow4tFnoa7MsbmTouSQx0Nr55fwPSE5/RGYJ6xavX4SO3DMUF4Kyt0bxulIPqZ1nL6
U7u8BbjRhMlraDavZY/qAKfnCp12Ax4OVHLF4GLlDePByXqbgORGv/WJZ1svCYKwCrD5asx5V9Cv
9G1thM61KEN6gbV+UqaWwxYd6OiHJihcJS+wB33mtvTdeJ44tyC3YKezxT104u48u2/MId4LWE7n
YpYOOmInemHk3521KjW3Q0rkcjinxkpWQq7qxsO6TLA52elVnr5OyHUZBSYFehYGc+9m7tc7O7Z9
jAetZb+OiUnajC4flOpva7HruM+EzK5vIcSpjRPCtUi0iDgOx0nmVZs79dapoIUXia8QiDkkozG0
vLErEp4MmLiIYtOq3QCOYs+tO/M7/GpxTSR5s00QI6Dny5gI+EYfbuYBmj9AWiv7gkZ52CRYrOkc
T8wz3HvkYmXQVhYoqKLr7Hw9V/F0rK3YvjC1I20rQWDJoIVpzJ589nln5oh6XA7siH1HG7mI6X9M
A/LDoXtA1fc9pbp8SkzMbNZcyI0v+mcy/K4aOTbbBkvIdYjUA2BGapG2U0NpmFQp+V05FjN/9mE/
VRfpz09jhDq0J9B1T2xYjf0qIvEkE6MLqoM2QQ2ibGfMuXOLy0S+I5tuzl0tiBoLY1hWPWMBnCjN
nhOuumD+NV6KSuXPQ2LtcEWUdAmwid+WpVQX9HpYokeE2A6ioGoKGCNPj3k0txcrnLpH0BH+utLq
CdZHqHaq1LIbTVUk8420KTIKrZsurYiQ1E09MCrpcWVX3YQ4rTbMcGnwIut/00KjPpDy59yguSP/
jk9vP6eyvcRd/rXuPdh+yx0OOrwz1Hy3emTv5vKBPrmxFmjJq3C6DjWv2REENoBRy8pvYWjED0xP
OdZbXUIBLsg6qvDMa14+B21btcHsk6BVjpFz8aohvsmIHAx0BSuwnOriQ+gQYKA1TVeSOORz4Yjv
ceW8FjqG3lVjlHDlazMZn1EBlijVBxg0E4PN2MJi0DUxQ8KBXJSujp5r1TzTRsEe3jpG/TUvjfYp
Epm7l34ldz6Qp40KcbJw8mlOtayBdwDw3ZMDmW9rDRWGQ1DOGlZC8WTXhXbNFJYMJebcpzor7lhh
YecAYWRkZLkb/la0M73hFDb9d8uJjuSvIVROfbdYgcQfybWK+QtaFIN888WmH3ttm1lCnMMGxodR
auLe6qavjXDKu7we3DN8IoX9GMuLbSX9IZfO7ax069LFks8EzXARxM3QXdlGM/BQtfE29gG/dr6F
ALNUJy9dIm4sVEvRhOEeYG782JKGw/9T81HXK26wrJr15LA6OnYzsUFUiEGMOH1DJtGd+sgZbsAQ
5BcHBjSuKE1uGIC0QZyT4GMnr1Usm23kkuxoaznDdx0/VY8aZYQScYOIG8+HNprfrAHW4CCqNKj8
WA+SLKpuTU3SPgs52rlbS9pPVlg5rIERGZUxKQaGl50JvOruiKM9IvTAAcLAIEsf6HsV3LHKLpY+
EpVM+MK7DmbmTvUplb4YEPumDYN3MmOLNMCBfq5N1w7QicyQjqx7AyyaUzC4BpvTw5PudsWsOpCF
5teir46x4QTIpr8WCR6DpOjt3aBcc1dr+n0J26AhXPG6cPrwNHTYVlcOnoOXdpZGoKD2hignTKav
sJE9nGRTy+l6ro+t0UZIWiyGqll0Q0SEgHA9GOt4sGZz7ZVjRoBz3a27xC8QczWFvXV9sOLlEF5R
dpS7Mk2zY2lp/a2GjGe7pOZhzwCD77jMpG23usQA+ldoZLU3wHrl21zr2c4IPcyzOFpR79rJKQlr
64VXDUuiyxyswwmRC6OYd7Gr4jff0NKrSjDJ9Fx2zhoFL8+F8vc9cY9rFPUcB/NJBNia5EFZTsLS
71TEt2b6dY4wGeoli3ea1Jfa+ACCahUrF9/Ag2hJLGuMWN2iOpru3CgTRzxiExRBLz2iwJ82dt6G
z8XsTy8d+gecBrlxNy5Jb4VjsxfGQHLsuk2+YO4h6cluqi00I+9FRbp+SGJslakVsd3G+NTcLA7G
zIpu6ey0GwwZ5WkgpvKIHsk5hRZKtTjs9QcTY+klT1rrUDeDONHIpevop9F1LwX/1vj9TeWl70pW
6QMWZX2d4IjZ8xXdVF3zVUgn3hY59eLKq5fVhVE/0b858/DN7LnTobGtjQUkQ3VnR8fR2bgFOC70
VxGaDqhOyg03Wie8a4sQxrt2Tpx3J6nkC3MLB0Gb/TSFthOUMZGrBQbSnTP0tb9q5xadqg3UQLNd
edVmlcsaZtdb29OsINHJ4fTwiN5rDjbIhWnrw+hSTnxgQK22+oT3KjeqMphtyRc/bEn1C8bCtQ8p
0M8DYtZnYbfereDnUSdp2qXw0/x6Tqp3nK7MuokNowLOATUXdXezyGi9xv4oRH0F9S26BRznBuPU
Z0E0xOmht3ifIy8h+MOahhXtqOsmUhvipdcUauG2DuWgaBCgmuk1LDeD4XdkEzTRI0dMlxCHPDHQ
12AfW5GtWd8wPwifvNoz7qRs9WuzHdSVhZXxehzH5r3BsAmZvYrjh6HgxWi67Xy3Rt3/JoB4I1BN
0o0Z83MG2adB7RY1WgCKvi3JdRaixdGa3kwfvLTsm0nDyloWm9r3ijtVgNKMq7T/nuNL7dAYaoog
MNEz31eWWnlGYjxiAycCLYacF5QO+3VP+wd8Cqj8nY04lK2yq8IHWxkdH36OC70ZZLSbKgsFYRNW
MLgrNA+rpDHzp9LxxxfcqzmULuAi9UrF0Cw2aWfFqLDK1L/J4ozEg0wbAovD0MhiozmvUcUW5Kkw
f3XNztv5jgYhNiOQFb+D9K99RCK8eEYpknomtTb9Qh0kU0ObzyNRk5RMdaPOaoqb67RP7zBWfUV3
+9xJu9vG8WRe1fDgCK2bX7oZw0eDP2k9xVm976yZlFy5eKOX7UY3l+AQv56rpUU0BoUERKty0Z0I
x8U9FXbx1rPS8ErCjIlWtQzHQx+j5MXokcrcX1Rk5Lti3iCvdSpSgIuJeipQwXbh+2x7d2IwH2rR
vxkohRF0fnGy5iWGcLWXkSYv1ZKv0OiFt7Z16Z3yXmRtkJeJDErdQNBbMpC5AQBfY5NGDidzrTNo
RZnUSYTRXftO3d5rTZahpxTwC2xldjdZkWBia1zHeRuHgmhjXkJ3W4VOdMn98R5Nj7VH51q8jrM+
M4XAPL2ntTR879OwvZ/lgoUdS7w5Snn7QpsisXLY9t67DrksQydGNTbC4LCw1I4neQH81yXupHTY
97qBOwqt+ao2OrFxy4gsb+CfKFwVci8aLivDhyvYN4k6eE4xPOl1wqYjRI94GIQ+0QXlzJlVJ9gJ
ZambfPAzxSZHqIUabdKQbFPGxDaDqka7ApKbbqj/m7OH2yImLHrKNjUY+xMqJMBqiVt6W1xv3o5U
2ZYl1y4taMoQOCHZintt9BYQHk3DR2ZcJRh2Tz/Soih3tTB9Hu7OR22MZssO5wsk6nXvk2zc0nTc
jlarv/EMm5sJoO8+68R8q/V6tyG/IacMJvbwgJJLu9ZjglBR7tfZNWzm8FxTfGwclKboYPNy14UC
yROQrKOMxCOk2SsG8+XXuYuSHfjI+N4mTPQeTRCJ6aqdiFJkOW2k715839S/xE7u33WZaV6bng5l
BrvTt2Up/IJ+PL7vBllBlzMypHUp8HCVav6jN7ftg5dh8Aq6NvnGwpLfICwcHwd9StIgQTC3Naqm
+ELsbcU9xNk+Jl7pBKM+ujHmqLr09Vhe4d61Dirq4F4bsoRvY0bPiepCjJZo70jDNY+DK7BcUrA9
Sx+E/IrginxHzQO7r+qZzgk5+vuq93p460TQnukM9k+ZTWdw1CZ5VQJH9IEZDM0F0bFHO2WuITBT
rx3dvHW/DwZ0O5RtRXKx+KpeKpECQ0aJYpoHx+N8HOecJvdZvST2FsmQb/G4Fvu4GNLnppH1a5Xa
urGxdAYHKxIvdGZ8EKcfO8MhiFVMxsaWWt0gQJQcbEQkdZLv+/hGc/ViYzil2vdhTXCRZSCCmeL6
lm0y3SL6y+EFAjYARyGmJ80oEI4mWo4FSzhBpWY8DlXR3mTeeIGf7vHl77Nur7gFbaWEKj74T9td
DxC66k02CTBdvlYx6xgj4dxpMYZUr06pQkIzs9cVnuFHEPQ0THUMwTgPk+pbrsJx08+9eTZ6Qrjg
Ag2cpPCbvzlxmL4WjlbUm9Bg9rguAfImdxDGWtDYFsWuNk8I7UrSr1d1NN1xo7TQVT0iYmXYumNT
n3ZkDch9Zmm69STDsPkggAFsoknnsLgybenaaw4GznD0p8Ql2CQ0vCnIJ8TAAZW0pp3xNbbiaKBF
XazQzksnR7nHcWrd5bPl7xMtwV8n+7IFz+AS2cDT7iix4Zw54J8eKpaCee7wUWWJH29lAWm2LRHT
QlUVkLmbejJPtPdCfe0mDoMqgVVjhTQaUyKq9uvsf6g7s93YkSzL/lAzQdJIGgk0+sHps8s1ueYX
QrrS5WQcjfPX1/LIzMrM6CpUNdD90EgggEBEKq4kp9HOPnuvLQL9nA50wOIh9FZjw15WG/70e4HC
jXnedsYjTsLiy7XqKzyADEZIfwTHvzkONErKYnnFfaJ/J+hAZzI1xjffevPeR6Omej6quyOvQo4B
fjdOuZmplmlvXT+eb3Xl+XBD+kVtB3cwb1DDYs7zoVDjehAqJaJW1Xcp7cO3FVU8H4yWjItybPyv
LGtz1HUO7tcGn1K+8cV4yrrEJ1w4Gvj+gtGr33UTVNcAQvTGSonnalBUanhpdSmhad1ErRvnFJKI
L3Vll4+aDvTOYXmCnrnLhuWY5yM4eqK/3GdguT5iwVVPEwWYW2HW8alOfOsO1oqB8NH2rVwBWdHb
uVy6w1w09qY20rYjt161r+z1h33G6+sF/jnICd/HS813QtymXbL8s+K6BKOy6vY8qjGB9966r3Vm
0HoGPBogmm1ERthNXVSG0zRHeu3SWRI607CcAdAwGDANf9lu4x9QV+OTPUw/2hp+Wm08m4wAK4XJ
/yAsUD8+VcNbB69kWLll/9LWcXz0gzq4ychK/wyyiNPVUqXzLcoWb4aCi/XKN2zZs7YHvVm3qQ6X
qTZ+NA4HStel+K1td9S/rv8JnJXeiPNgSpyEhg97MMHbDCmjvcc6c16ZYqa33RporIj45mgZZwRf
XtwWI32YL+NXSmozDwcfzMMUyfsh6dxzxxns8m1Fa6KpGkUnF/1p6Jrl0I4ONRk4/WkUWryVbQB/
YzDJd143TxTj0ry3bmcwID06XLwLiitBhmIjEtDiTfOtH3FkkPO9gpDYcVUb1CXxwtspdAzQeqss
mt1bAytDyF2GqL3K/XVjLeekLJpTQAQeU3pTf+PBRm4rsARGNbOuMYFTE83YwXgp6Q2v/J7nwLDc
g+ZKS6sVL6tx1U28krvcnsCeLcauMvUfCSRI/XFv17eg7eifclp5qKQdmytOOutSA8r5hZSRkQGi
GdwMjQyDr6Ufi6hN7i0bXTAwNC5xrxfnKOrDLuNzSKMDvUm+X817fuMUyy22w9LVp2EN99mpGoK3
0RDyJVk875jPbR3m/mIhzRY0ZPPuPfaZJ87+0Htrn+vK22B52amASRNyOag39kSNRzo0cNlIk50n
SkkoXzKpQAgExt8VdQzJg5yZikmnDqdWBumvuF14AauoDYXLGg3jYvlceG7+hA9seTSMWL6wr68Y
idKooJ6wb8TGj80qVF5mCaB73dUgktI8Uyv70s1A2+05JdjrdLiQF63hAuCzb8c2w36Sw6tySj4q
gTMV6W7kLglxpiLtn0qTCo/cjZJ1kDgx1615+OAYxWzrUSQVbANswAt8DVAqbKHpVZx1Uxdbncr+
sbN8c6+43lecpn5D09tk0zgcuKPxkKo5u22qKjr6TUEevGoV3nXXu6GBvdmPuVVu/WbJ1lTXMQNp
5a3pra4paKdruRDima5s2rzsj7TyPgNcM2R8vInwkjc0xKJJNa/L1gu7mS74PnL3lFSbjzWZv7Ap
hX8sKNU4pzp/KqEAk/oeEpLotnWRreM8URAfHWCiLBt6fi+kiXIOaW98hNxg7nvl5rcTb9KyL8qr
YwifvLHEF28pip3uAALaBSozgq44Q68Hf+DV3bbXFUUCI2e+35onM1bGboqKw6BauevJQ69pv/uN
cXr5htEO4saYwn6m4GSCGQ/To17laV0cTLtSmwbW007SvxiqiPw9n3ARU7C1JE9d328X9rECYNXh
isPdkBT45ehiOcXjKO6wJ7Yu6X3HxIDLSVqiP5EMJ65S5SZ9C2RwKNN07xq3YRTr8ppSd5c2howU
N40trJZrvEvq5BMIWmpjE2S0DaZG/15QfNj7RrzrjcmiYgLaU+cr76E327DS3o29dHujZr6rutg5
Udl2h/ZbsTsodlWSPVSGa34l9TJyNDEO22MxIecP8wkB7DmnNCGuTRmyeAjtlHxaPGDoFeA54hLP
V9dO6lt0URrmov1YlvgGMx2tfHFa4Syz7JjuptqHly4Nd1u7jECLmx6kPesa0lhT0JFQssni6iFP
LshNqrAZkD01E9gUbrnxabFBpGScIOI7fZRYfuFj5DREVh5Dez9tMUHrtUkF1gAKxf2qitK5eE1c
Er1L7KRdjZTKbanb7PZqnmFXMVUkR9egAftaWOO+t4NlxJ9U2eQ8nm3tMfcG1pNwJBiUcUBty+dh
k/Pc1iGz9Gbx/TnYsqBAymhhu0WGE12aWmDR7wMKGqRvH2iZXcd+Yx+pNoNVUQ5AAfaDXNLPSEa8
FSXtcKsryDl7MtIlY+VoAeX8jNOIgxhbrgzNBvjbyUuZT8I494CpBZCgHwKaP8SBdTagTjKg1wMu
zW6US33qkk90HDY2mii1Uas+5n3omawQOE8Dr1nlbfqYjUN+6TuH05Zzo9yJjB6A1RiVLj6Q1JPv
dan6z7my3W+KCXOKYoK+WI0EjlegyKlEqCa1XUAe0aA1W92emvIyVCa/aobBgWkRSIbx4BvtG0Jx
u8nssWWF2cmj9Fw0fJAFEAFgTy3q1jMrSEZ1cycy+6CL+jMxqb9gz3Xn8n6Pq/JOGDEdLJ1xcaxx
NgGllPGDy4XkzCcueY+arGEiblajjs0bOcMIcqd+Hc92TZCC/h83mkECZMFuKIKPIR4e3WZ6Ayo6
wemMuGZkC+VxExmp2I+7HVS66jbAYBp6LR/0IkVsjF37arKx+kfe3SVvyByVLFN1sWEMYFLtKKiJ
V2oZih8gUfRFOYL2TGqCSihKq05GzEwYCXGZeGyl6kCPF9o7uue4r4kxEb+9t5Xb3GYYGPBMn4nc
kD+ZpLW2qKCDHUvk4Y15oTBJpciGaBQBpaES3UdqZRrsOWnL09JpkxgcPD0uvilr4abjpVv0MUde
Qosd1T1ZHOxnk2Y6eNyCIta8oBJIle6lAVfBRQv9NDXB7oA2etfEtnfUGSIYz5z7aeW25KOm5W2W
TG1FyCoLZcPjw3LntcXbOFrigSaJKN7qTtCKY6b5vud2fHaCznubmwXSRsNajyvR4oZVNgfmeVKG
CdVC8mPAD0bWjUhWdCeQhn4xmzKFLFl0mw5kY+jFwOYDxyqR1gYuhnpmhMNN2ra7fKZhtrDME600
7Av0kD8XXbNv+3rcusX40hFd4icYP7NA3tWWL/eKXdKmX1odmjMYlbXbumjcmXEnYlaKnCvpc0dU
D8dIzWQy8EGD52q2v8slva0beWV2zDtpt+tyVJA/iN8BaXFyGpdSFPik3iQ2ITeN06ZfOXYdb4O5
sJnxccN4a3gqX3ZvuzWmxnrcF8yfbyZhvq3jOc3Bpe7rGzYKBZ6TzQdkJFSVroomGC7KtWyagayO
qB52WMS1Rd5Q5Vs82xMdXfQvMmCHpgPhsRwh+gylFz8kTX7bSSjNeqhTanOhxiu7UDjxA1Vc06NX
clgxLo/LlJak6Mmir+3Et/ewsWBOEWdlnQCo7i3jVPy1WK1FFaFlXzwyB+jEU52e3MXhCHMlYcyc
tdlgRwxylW2cVGrXjEykdw+tPTgkgKnYuh25xxwp/r1y7TW4ulWSTLOmurXiYe9MmwR/x488NOz+
JdckgX1/8TepNxB5oseYa5198GTNa5A+x52ruUFBcOnsMxNctUpatorDummWB8BUOkuNnwpASthK
wH759cY7LnZKPWBd3VL20AMzVtl9tizenkdJ3INZWV6cxKbjNTDcNfDSknnPpbV50TQf5pTH0tLE
uVXa+Q0+J4dr2cDdOWrGEyfuRAxV+NueU3pHCyl7/6q9bsaayHpVyA3HiC3QuqZ7AVSN8B57WDVw
lSr3F9AKGa1Q9Xh55Nkk1r1D5UVCADRUCbUXaEhibcIJWtW5QSlHmrgXi8/nQ1JbfJRiqkxHZ6ke
Xaxa4FBsD4aKAGvHIYtANTgHE3wUako+p2s/d4tLWtT5DjN499pEnHWVKVjojyXOttVsZnzHhdHT
cKZK6tfqWHaaoGryy8FH++5Cv7ubbSA8rBMNmseupRGZoEJU0jNJE6DHT0pVYVaK+ZQYRAU5xQd+
O2PV+J/GaLyX/vwTD2T43EDc84FCrUdNCgvVZfeJYRX9us/ooluPTlJMt8HC6hquzqj7XcXhmYRJ
q4c9H+uG66NAMh0LPzlY14ihbEyKpXkRDSYdSWqeQOdIiWVgCW7KwYr2rizaX3Y8QhgvHyMpurvG
KOZDaU4yzHNjoJt1zLDPJF0aPcSIRRc+XelrXtbW22gL2Erw9jax4cbbqIqWO6+sFPDYnvkyoj57
3SnLfMN12T3ni40w5dNZQ9TK8g9JazchtrH4J4gXf11HJoW/3jJfqA2rb0q4UFveFopalRayxWTW
zKPmYLN+sf6YkvtwEmVzIpup1nZM5MSdY+tgdAGELd4hIlyUP2+1Myy3CC0dRe+58ZnHsfciNBft
kiFpr41Eo8PKZDelWbq1Om+j7Kn/NqC6H9LRjiwiziOlJ4mV3gCamu75RCqu1E77XnlD9ksEYP/a
JF4upPMG4FvMOzUR+/rqYFijGkOryPhrjkryNINV60OWG/4UmkOnL9ZU6Fsnrxr31oRkcOxmC5qP
a4z9xmXW2jdpwgZ9yc37WSQ+k6RXWPvAStSm9jo8KhaoVBlk8ikahH2b1BUXEUsi2ih75Hnm0atj
zRLTX9Rz0hZYSAwsVIuuzkZlPMvS+BFYO5+KmrJRkvrRltRper3VAul20vTFJNwMUSOWT2LKh0dQ
TNU6yx5GpNat7WT9W155+t61xPRmREm3yTCinESV+iGk+/6NY+XNy5U4z8b1fjAW+a3IHftUKm3u
VJwU9zG4uDByh/ybwLHeNiNN020xpIwqJqcDBqs9s2Eah01tdwkxKsc9KKmb3dD6y3sRNy0Y1Xmx
fxXC4D6ma9NYKe7Jpyx143VJpwP8/bJYa++PZhMopOD4sUaUcHzJStSHovbQfbxu1wrZH+sxqkAU
W9abGyioDj5/KnoH0sJ6QGxNT8Ny7fDhqeSrymlb1WZ+iHsl7mvZ6E1BgQSQsdI/9RaSRlb+HtFr
vIl3hiIntuMaTWR+Fg4FclRDh6T2yz3sFgZWP373k+Qbl9KPj9pKPYLcUsS6neixof3Oy3Z1U/3k
3rWmzruy+Fq1Kq5AuHx21kkx3MRtfDPK6mXqOXamRa4nylpXVESa7I2TDY9sSGMviA6gD2qoL7O2
9jiGQmkOyX7OShW6sAiu5ePcAseJRZYPuaEutLkCkbFfzOaohAOncL5xGtTv2fLYCPEl99qfsq3T
xfiR6yVlmOz77EPWc7s1ZJydfZnmF0jD3pNbMjFWCyB/r6is3f9YKpN7I6v7DQC8+NNIEufMCGxu
F8qsdiVN4s9/OOb+bydGdj/V7Wfxo//n9Qv/qviTppSi/q9//Vv917+nDXz92X3+y99s/qA9PfQ/
7fz4o8HS/L0Q5Ppv/nf/4d8aTP6LLAjeqQCL4X+eDbv7TnVCcPMffSh/+7/8NQbiy79AIDMdh2AY
1Lx/hrZbZLz4H1U310gWD8o/YiD2X4gU/pH4I0sKMgOH4N9iIJYkT2ZbZEwDi6Ak6bH/kxiI9K5e
wn+kjiXWesyhcKlMgQGWNOmfDP7EQBrfqbplW6uqQfUsXFXSaGCY50TSN4kBEDA5tqBNgDGg2NhQ
L28sD/9jpOhBzDOC4tFkQoQeBGMpMxijn21zAUQ2GWW7Y+vfnicrTeQqIKu9wTnqc6NLR7Lawdy8
4Q9Q6x5t45AKlewLMDRc4oduM1yxd1QylHcpijO1u3Q0BmtXOCgjRQ4dBn3UIfJkO21bHmxfOad0
osBr1eOi2ERAiM4jMngD7odPH9LfZPxEum/ZobCO/0oD7P+mCduP0SM9UvhmJivAvdWN7wrvVROp
mzaWmWheLDUkHCbmduCmKnoYI1mZvWSdeh8XMz2nbfoUtcsSunExcJ322k/PW5KTYzfJY9R23vVd
ps5mmtk7bFF6A5CTKAD7p8MwGwYgGPPQGa3aMncum4AfHYyKLAlxzXA9K5PxsSXjTx7Ex2s5qRPl
x9Q36vzbjulU770qfYx8NzsQw1C804b5A9+ud5O4bGyvxGoOnhRMAQghX4hjfuVGhdoUFKTovoYL
RJecfzI6uksAK4AHWillWQhC0whis0ik/wzC3bz3mMkeg0Gp4OCDC7622cfNXS6mmYVXYevPSiZj
c0C06E/48u12ZWLxuat8TiLGCc75VdGCvTuNtaUEruE6oZBFgj5ET4qDez3QyRx6HdGebTk75VFP
IFeiWoHINCO/IfTaF2m69RwNNmME8RsH2mZWM7IPg56WbaQRFcqM9yvf0qAemzjwn+H1uxu386cb
UEfDXWcRCV+1bAvnlTP511v22A4X30KKggwo7NfeHb0XoJe099W8hB8guHl3nu0MBUNbVO17V6o9
ZTlYYsceRA/zQ/zVuGn2oNPk6oxJgG2DJZ15WfAtDdteWdXGnVUbhSWozcdE9v6+k7m59/J42l6V
YhVG+VDtm1pWZ2WrbhsPF5s4Ci8MXC5G8lKNDSUoSEG3CCrNwcIJ+w6gur93uexTOZAQRmzLu26y
bsU8W+u8n5aHvOFakDUGPzIDAi+CW4NVAiDrTjFe8FQTytmNbXvlmVIgAh2ptdsFNBJo8NCoJxff
mzn+yCx673DG3GSNKM9jE0yHmFhixg1TQtXVhXMDIbY6lji/aFixregu09poEZ6i8tSnBn4Y/GBw
SFszlQ9lqvSLlYMSDel1lWcdWO3bZF9vEFZbd5Bt/co7uTVv8wOhBt0f8A97LKYG4c8fGB9ScdHI
yWvtltW3gpfpxaHVeF4NyB2+Truymj61XrEiTtMhyaRrgWwY/GbDZic3fwlw7tzLaVFFXqa2gF/F
tSlh7KVfHFODLx+aFmZU7oIWWJiueGUGhgScUIONVzrPs3DpqMnZwuTAbc0RzZ1aur16TdNp3PVB
a7iMxN5L3wTjjUWi9tYYzRJUDfZ8WFgew7yvJvNbygy++RSpc3u17g5IbtsBphUpmHkRd5U1zV+l
jqx3heQUyvaaQOIp4oRlvKd0tH4aU9uixZqdIjMH8KPqO6Yu+WHBcPGTGRqckeyX73acBiAhJl/Y
AioUb5RYnGk3xfAynlKDnhEkQe3H2Psrf3pEwZfDRmoNqF42/KuHOBMWnbFthI+ZWwwYHXvKoc7h
GFDnspC1fSh60Rebq9xIIDiPFwKxDu0FWJo7germOcla+w4lPFQmxdeipyA/Ty62kVbGYltbCRep
hZvOyibhs5uDagnNACYEFoU7pQt101JpGqJ4TbCIkBvgyfMBxNhaH3svYxzv0e4wokzFOea+84zh
LL7pqgBBeUEO+ehbvp2whbqLJ2mcanBg7ExOsWH4y7aR8KoZBGsygXlcjkUImXX+ZWL8pkY5n4Ov
pGFAxBGRgv+oZbKgcjYIKDtuvAKdnWrpmbu862BKSir1qKWkPYEpXyanyKPEdO31fRzwBqvK9A74
Unsai2SsaKGuncNYs0I+K6ca98L1eAq0UZyqmU6/EVhaQC0p0mrGSMRCOeke5dR3EKZa87Pplkdn
kL5gtR31F5O9REk3gTZMmrXa62xbDlIjI+TeJ9t5U63zevJe297tg9DxaMbY590yJJu+8bhLazTQ
hTM769CoRoZlsqPPrtWNly6IyW1Xw9xdPGEGp4ZneDUZtvNo6cZ5hVJVkBcvnaN2wXu5Ga2qSM7n
JVAOmwwvGVe+m9/giz7aHQ8sNme1fBeqAt/VC2eer0oH1WIpfluDdqfAIxTeFC2DZcuyeofQJX4T
tJr7bW3gy34Q+Maf3UQM169u+qfcKrx4l4pKPGdTxnkHlqOrj00VdO2mLZruzpA9cRZjsIPXWgV0
abA8wCnsmI3YuwaOfcrkI2IMXsJ9DZRrm7trjRQERQntpbjTE6vWjT9o9d5EuXnXZgCh6Q+FIxK2
w1xyhwjwFZhS9e8NU/VdbwM5r0CiizCOXX3RKFaftOcATnR7fW2Bj2MOGhNYf5gou2lCGzLuHd91
c4wSwwTtXpvjBKm+1z9aJSYV3DEV6KvIDxy5r+br2rvthURmhUitw8RMOLC9xTJ0mHXFeJZM8yAK
y44MU4w34RtGipuHshzgUiWNqENnbH6xdlb7ulnkr54hHvfXhIUQ/y5lWSFvpmUD9iPj5pCZ8bsb
xe0NXVvDK6vFpVyxX8rOg1U9+yObhpXSaWxtSCmi/rQ622TFkPUMTuU3zNSIV1nUvi0lQJi2yfmd
sy/tWaXVUNESs6DkAdGMMyWDdak8P5+3Zd4391m60IsOQY4gvRIZC5Wsafp3kpptv4rJNltbhPLx
bU4KSipyeOHxhrbj+GQ4AP76yUt+mB4Ej/RwFU6rvlqsMF2u5LgpLpr10pEM4FTuif03GieNJJID
csTOinDAQ/0ysHHD65+0uxbFb1U3qkbhnpcNnIMdF9I9hdAe4NQsK1nzeHUINtXrVvkE/kv47AJH
NkKYbiVHYFrkmjgEdgzQIVPIe5/zBP3HPsa+iMjNqvqmgsrw1FCZGuIbLtbCcqZ34KNKhbo1m6+4
LfDoLUkifk0FZo5o2FANtrwnkfcz4IFGviCBS7n4ALxu9hbsaLPvroKeGMQuigpWGXmaLLt5Tux5
Y3St+WY5vI1ek6YyCoQU4d6LwfOvzBwcRaJVqtlD7gH1OAY9Fqo+KPOvOnYnCGkcEMhlFaKA5yfU
oHgVwRmyrvCfeAccplTVj4TLxpcIYBZLYBSTnQYjRhq7PA0UiJC8xno97w1d+BNsqxIDZ2kH45NP
NQBEIAzEO9DtxRfw3PbNTnOMw6zfjJ/WMShBJRXJ15789oETyKT9xBSo53le6XuzHgPaZYCIXps9
gnvYju3FtNih7yLkknp1Nax9eCmTM4pGVlprLmggEf2p/oUWw9MhO3iTJx48LoZEjKrPwOv1k4s5
46Z3hH1fTJaG0+zn9UbUcBxw93sz71kM2VhkjWDnsK/a8+kZMR0lZv/tdDNy03U4P3kCHwlHrayv
3pjRR0OfRTmsM43v0DbtZE/rtYMVS8v47ZquD4mg49qBsssvsGML02G5MKzPwNf90aJ65TzaRaVW
8Km5gg1dzH2gWOgGUaaIxIo7IXJ3MOubOcJOsWqGGf/YYkdmsEtKp/jhkMg+s3GUZ+WbGfzKqSk3
/MywFCC8IjF3VpKv0esjSF5R9YJaMpx4WNlnpqMRDrWwjpZIp5WP+LRK3H7ccKqS4JCGbWETpGd3
hS1CJGFMGcgzYmfwHQc1j3abePkXikp209Yu23iZ+hNeZ91aXwRs8HCbSRymRm5v65m5kQKnelPZ
06kljbdqyExcbRSKPd5S3lfSy+yQEgyUaI3Hc1VX2WFswZO5HJIYBUzEEdwmH2meLF8gwIm01dhs
zzMJuq/aJnJC1iK+9IWVv9lQWC9AsZj/JO+Q26Guo3FnW6XuQuANXR7yYJn2tjOh43Vp255Yu7ib
qRgxogGKJyk7s3y7zHj8roz/ZX4AEeMDja3Z1PQykCcKSHDCYZhSLzoRyX5auFzg31ZLEralTr49
gSBLvs7fNGjIuyskkP6vokxOcRf0954VJQfFL+ApgG574bxobmLBt8HNCMv+kCcod7QO0907D0/2
aBzZezJRWepdZpy2U+DEF+JJf9WAUGqQYv4DBMOfU5Ne4BGpdamcg8AgvT83nvqCH6you2WXt1b2
UI9Ld+sg+K2X0pLHdIEfb5VT8l+kJq+p4H+RMUB9CQgF/hWnYFt/ToWSk6+WSObTDpq/uuGW0d3H
0VitKYpMnuql7beMZN5Bj2RS/0nt+Q++3f8trMl/GdkESI90ZBBcQUL/nEetXXekbYeaKWJvgquO
dAb4jJ5xailNWWC6ROX3/xOR7b/XS/z/kRRnCfeK8/jPpbj9Zzt/lv+ixf3t//PvlCaX35bJHYSu
4X8uUJQOKh0iGFKbT9QXIezftThh/oUFHx9j4H9A1oQkBfx3JIv8C4AX+GvXX39w/Sd/1yH/9rlB
wvxPHxu2C3/6DLPFhFjCk4MQ51OC/CcpLrdsgMx5UuKuNPw7EsKj3FIKxY5mYR0as454d/1aHUqs
sLS6N6R13Yk0jgmVYN9yuT1k5NcugcPXWA+07b1UvS/e7LGUt8tiOs+pG2neFKbAgSmyryo1xC1R
wulQ8te9V7g0kPpwaufrztf5zqfF7le6wbdNg7H9hHOEmA8zcvkbLwvNXr6nnsgzjWxITfvIJsm6
140AqgShfd0lUC3i2o9XbG6zF4jSuDnBY75Q8ZGduVXzRNKf4hss8DAM0owwEOXOso6iWUnM2M19
OxTMnodK0eXuxm7Dyp6UwC0G8XKXalK0zpSrtWj6fCN4bVzSDpvpMGXdbY/rdR1E4M4Tgnc4i80b
x3HqM95l4zgp0+EYTYZbhyXxdsBschk6szvjUFo2mfTK28Z2NFxMzYVWN8OjKhNwsV2AEUQRIst7
9zYCaAHZfQKvOfXBu4X/AqIoC6ZY2s7GsJv8TinR7t1r8Qu3zJm3d7d8YrLElpdm9baCTcji+7pd
WaTaIBRSTwcU7DnK69/QFxlSy65t0nAq8vHd7Kb4pbsiu2Y6ZJ+CqI9+IEsg9zv+Av4p/QMFNZNQ
SQ+e2ZNcTDFoX81ZCHrOH3Qpf5HTRzY3o7PNIye9L32CfinG+lMAiHnT1ryyqN7BUrBGDQ3WIJpn
XvCGMHxGb4WDse6X8ganY/HbujKxosGycZJXFjUeWNxuSDoaiMFuc8G/rdZOQ7YMK+DvecrKhyXh
RmxMnjjnKo7XhVF2r1PmgS73g/5VDln6QmNRvNaN8Wh7WX3KhtH+TUDGXRVmZk+rrG/6Cilnnh5s
O/tOEv/DdWV0rtsFnNAkoxM5aXfdj+W1fSyrCPHCRKbuREqcXwOgikcEDm4ji56PEyPPHQHAHcli
+L6lxW5fxsPN0NjlZ6v7ZT8zle/j1E9u2rnOkXXVxo6naE85LyZVAQj/YQz86m7sxpntljcdoUi7
74loPX+TL4PxRjwsfYlrlR/KfBw/yGGYn1zYyTRRkLWutO+fRtHodRpgdffch3SymkeG2iIMejV8
ZqJpXtxJJLu26sV7PdQxZNBBzKy3IjzXFSbFs1NQvAmioalvY41SuXIEww8xWJzZsq3v3CmlQ8qv
69cI+7leJYXZ76GusOM32cZvs0jB8DBnhNbCsR5jo7BipNlC3FE0S28JRHX+vCacf1wW1vgCPEke
SVnOuPWM6owHEe56l9l36eLrc1321qZLuvaoB9kygVB0loZeXXvnnKwBs4qiAwpOuvXje3P3Q2F5
c2abOrVr0idMZq49qM1QlqS1S61bLGWeOT4DrSubnYVHWoW0MeVyHcxgF4o5Y80fiQwQrgiox+lL
GGl2iX5eKXZcPaD6cl1Jbmjr2il9/1qAXG86IVl+LhRp37KJwMZMFE68S8dGEI8mb6acyb2inmdK
vtlqKLoZ0f5Zo+BFH5ObDhPqG2jRuKDnKO4fJmMov3FZehN25tj+cFp3cldlrZP3iZiVw/CYk1aT
2BzI7yvya++YfbuRflWBsg4il4i4Nb41pr2Ux5QaP0IGRjUfUA3dctcVvrBIPafGV1wRfF51bi3f
enKb/iZQPuatmtC+qObroT1GMwcj7Yg0DXTltO3tYe53vm1OtB/ZgfHuJROXUSwlBj4RS4Mv9wAV
mPsU3wxmY9NobkdFsH4D5QicEziJmV2BwR5lN1OlSOGu7VYXnDGs0Ef8XaTTo1Z/me2CDb7vPS85
EZWwu0udmMZJtkux7YsaFUb2Ca2iWVPMFzPOKQoCvc0Y38ZgBGlnKHGP96OTbnKN/y3vDUZoU7tR
voqUlZFYFMQ2bdq9jpTmeQfL6tjKawaO363hla/4STUbeD2rkN0c3Xf51KjHNJfRaz8G+qwC5zd5
sJYQVvCIiMg2Z3Fjh6InVXnb3iyCI6LY9DEzOuHB6gfvw+lNgswxlYgH04vxyaQwQHaxNcjHCKOz
fx/nEcmG2SlYleQkZbdBRqoZQZNwTK6CzsH7P3uM8Ry+z9h0p5OO5vjFpBKFKVo5mqw96ycK6trx
B6t0DzNlnJgtUmgqCfCns5EPWq46AvDtqit692AYYO0Jy3n+W01TwNPceTlKogS2UVglH8AKQMu8
ow102EUQKZ57VmjnvHDh8uaGmaWbEkr/Gysi/swScOyRXYrD0LOw/0f/C/QRFFPz6ntZ4RxSmc2Y
TmUxAhYKhNLo9xroBLrMuyEUYQZkKv6A7hCr78YYoMhNTbbclsbAE9P9G3vnsWM5kmbpVxn0ngXS
qBe9ubxa+XUtNoSHRzhJo5ZG8unnY2Q1qjJRqJ5eTy8TSPfwK2j2i3O+AwvplWlxf+IMNT51o5te
le55h6xYJn6hO0vO3sK0AsWvRrFbjj2DDjnftwNpViv8pugJbVt7rxHan8Tk6c950XHpDaO9C5PC
f4nmEftG5Wf3lgmXfa1Ge1jHDHsuZgapZ1XC1/7FodvdydBCCkiCXPcyDNYEo4Fh4YeWltXBB8gM
G9iszEc7wfm64lTUfmBMnrDbo8DDa+wXmoVfyaNUII82+0xQK1c7bRgYkEia+nQlk7KpdxJBxVuX
NyTHFXrxy40R4rxCcWGi2EzKfZDMr6IF1MI7Oci5x95Qpjc/NlCcdaEj2sCK8EGFXW5iNyWrXXUx
u5nWU4QuADs35Jz94LMirGoevepFtR23wIDc1rKM+YGVyiIVN0smI1G9yFZS8FT3mpuSNCdqTX+p
JNaQgBAL9zzgZkAbjTYMXlvS+P3ZZWM3bdLeibp1GNsdLpCUf125osUNn8bhW+iM2YE1KpvXJONd
xexYvfQM1u87hloYiRI+d0njegP2PV/mUedE1T2rfegNJkHKQ5mD3I6e2WkMjyceQigW98k5Y7g0
68DihuObYU8umPje2Bql0eMUGdJkI2e9o6I1oMUzlpJ3DmFlhI94hficDSQZGk6mnAlDq1+dZuQd
8bO0Bhk88g5VVpXsDcwun2mSmV+wYPmzIl92L74xKt7feIrXtHbRF+Fe2d7Jev8lQVW8i2f24a3W
iWs6m/KSTTYTYs3O5p1U0t5z0yJnyx2DBN5c6pMLyKD1zyHUgdPI3sPHSOJ2mCSTuP3AGwOaIoNs
/51Vfv4r7KV5tEMt+oGemUFB1CIWE6N5jT1TP0xoZafV/zaN/y+ZX6gn+EjNf9s3Xj+jz+xzacP/
IeL4x8/90Tv69t+EoIKCaekK4fwmc6pfbfef/+GbsH+hbID31WnedBOJxX/hPJ2/ESKFusNnQwzP
17L+0TvaQEBJ+vYcMjdsfqX7P2kegfn+uXmE7sX2Hr4h8V98TxmB/HkMQfkl9GEigWBKoE4U7id4
An+VJBCMYmui0M96Ggotfy6r1Fnb3LG7Wh+zz9Gy3Yv0WmM1EsggbYAucaVuoIDjFUXTc2TlPNvU
SCMJMYTVTKREqtQacPbaqPMxvq8BZGSPLdK/QPpNs/di610ObSBa5zK1M3Y+O9nE9I6rbgjve0oP
Bx8ZXStnNGZ5yu/Q2zaDs8R32OfcnJxPNzGIFk79TVsKBwSRP184UnJ0kvi/M8xDq0G2+14jJYsl
O7BE6W3xJeD8yHpqa4wdzPcNd91HDWsYX93XsbXnE/yphEs+dn7OKVSnVjwkuX0iTgHFMelMfSm+
bSMZj0CH8IA23PM7GrTHhPf2Dps9oTizVmFoTZ4ZS2KBUufe5s30u8o8y4mXnJjp1Sq6XQ16iBqw
vhBJ1tJSlzllWfdViWm+hi+tb3Ld1vAA4noB3MTZddK6F8fG+Fr3m8xaT3Vu1YHhFd8da5m1j1fY
YAlLBAbLYfmELv8QV7lYN65CjVJVK1REEW5cuSe6414T9rCJ2OA+98lsHxg2b6pejKBpSiKiQXog
HSAmtQTWU+TNA4u0H8upu4paK9vin/RYN+bWnW027GJsaEYTO+eATCO58zorDNCL2Afhz9MTJIMH
M60t4nPQ5cA4iKnvMlA8q7btql2nyehudC5Ih54ZxHW7WTrFTTUaK6ZhuES6dUdiGGGozmuUTVci
Rqag60fspapBbtce8FYhUI5eVaSa05hsJnviMurba9N032nxiCGp4l7w2eK5FaYUWoJNhxd7HBB/
suutfYycOAiIaRX1dcJEmyKpAI0G0MHztmU9HcZWfw7zF5FVIzSKXFuPzvJvy0ONzrHJKv2ZfHQW
Y9Ngr0b8SS2KWYI6c0REOzIiV4VtfOLWTE6sQ74z6V+WoR8yhaMb1jezQwMJqKdMxUMzx8b70GA0
XiVlsrGIoHoEn7Rlpg4ZVEwuZVbeQN6L2cEYTE2x+RjxDsOa/VVZdX/qmjTpgnaynRvuawAhYYsI
02q8TxtXFU1jwdrL8D2EQE1/yGjtXnGHMV3x+jY540bSkUNEzX5ym+ipddlX8lVtD2apT+9T2pYB
o4HyFjvmcHDdIvtIp9B9nC2iaDNkD7RxBUB+djwndnbOlq2D2naGER16bR4v+WDlTzPN0ZNXEaAt
9Sp/ZoWL3nQQmMqbyoemTD4eBtFl7qL8xYxlVed08NS90Rfm1Tbm/ghkyXg3ZNZvXCrC7cgK/1Rn
TnposE/fzU0Z/yKJHdlkm08NCJsUq3s58K7PvUouEh7W2abJPGUhscJBOQz6jZ2O/qDMob4aoTAg
tpbx88SHdakBYpz5qrhnk17rnKOCa9HAJLRbecWQGiXOlQVjRE0JTEGyhC32/zSd/BejY1P/s/rO
s6BPCkaKC5jWYTRp/AVmmKaoT8x2jg5eFGXXCrrRcJDt0F7R2hTrPtTJzTEoUiaBhcZQJB0q2Gsb
e9SijdX1z87QaluKBSgZrsS204EQW+Nh0knO8tkKW0n03jErGvnORfYNdp48dXp+dUMHH0Htz7fK
WWzJoZddpmjRWdes1kMQ6biv7D17b/agBkb1eLKfmob6q0f2cef0kSfXpLCFT5VSQgPJgt0maF1o
Beu44Bejq4p9AB2oVEFQQUZhEsTsY6eTMyw3wH7Ld82IEXXVQ4Q8ajaKZ5bZ3nsroiNkmHmrCejM
7qLD7QoM9c66Ktis1QCXoAHRiiV5cdYQ4u+n3MDX0Zvw3LtzXDWPYeMSZ1TqHVMhGwMK+6u5COkt
ifhaoWGeA1dhsDLi/MRafjiFTXl2Ex7/JJnsLWCJrULfFsieepgdONGKyom+4sFWCNoZnmmR1PAO
oVgoJ8kSykep7capfKhmJ1qTYptDwVJgasKcr9KMjwEVHgNIVdkuKFPZnhNb8y+9jYoB1404R4lT
X1Pw0A8kcOm3ODWFEfgJoWp81iNZWU5yUXrnXwzH5Pvuqbj96UbQu1akgsS/UFJge2/CcdssT8q0
PDPe8vQAWug32DCRELVef4wJlLxixx/vqzoBM6wX3M+Yl66V4qosnKb9rCfsUOx4rXabLk+wvzzL
+vJUs1spnoblSccJGR2qwVTbejkHwKYQVzQr51RZJd70uli+B7X36C1nSLKcJvNyrhAlXwbWctbY
y6nTLecPI6roCSRLsyeCSj+kHg6Agsi1IRi7Jn9Ff94fZJr7h6pTIOe6PmYT6XifMhPTqQo1YmUw
qN9ikCFd4PN/nyhAnC/H9TAbSKfb4kBybvzf2l2PiCwgR9DaJAmxLfgXgcoGetiweKb2pkJJWQu0
W2AJ7LqF7Uq1xV09QnVDNLOkTZoARXLMIcO1cCXSUbsGcDS7fjuvhU/a9d5QfigXGVxUvQqfpSG/
JiVlEU9K2u3LqCF9kSSpCHlimyypjB2j1A296qR47KCjrXQMcBYxwTFRXj472GiTz/bMfW2j5cTh
5+SkTBWy3Hl1Z2JRHMTFi0aSFzTX2Ga+2W4ayRSvnRuUHubvHMnaibNso9FwKdKsSn8F5y38wYof
BR2xkgzQwDHF2gbfHBXQ0paiNePYfJuzDCnc/DvIkroSHuPYGLVxJiFIPKRdzftS1EBJGBCxnVBI
HJgWdKLYt7anb6XbPXfD2ZnNehOF+oW9XXWxGG2sRKeFATUqFqUGS7ruIh8wwslfVX6EAKSssMlY
YEz0QX7gWlKQ5tSXUdAfeo0ZeP4kbqFeq2vZ8Yw6bfMjcX9AevKPE8FmnDeTWDOoV2ezxNgqiQB1
iQJFS/0gl2zQkZBQY0kLjXPXYbzTgIrEZ3DqnNHZZ2WYs9A2j2hgHsolcNRJDPOscf9v9Ln6ykCT
Lp9RBMKFhNImVjeu8+d5CS61LRUfmBsPYBDK+SRTJnwjxIoXRjsEVBr19O2XBt/BPgKthZij07FZ
+Ykb/W+f90dT9t/o9NnZLZDyf7McTPLPr/gz+z+35vPnrzb+U7P3xw//fUvo/03XEXm7grv577r8
Pzo91/4b4UQeinwyoA1Csv6h2DfNvwkbF47ucroIGkQazr9vCVkgmsQmeb7JWGLpHZ3/Uae3tK5/
WnXTf5L+oNvWEihjCOsvnZ6ANMqqpvN2VI5chm6L1bj1Ud5V2lR/MXlgLKXH/guqLG9Hk4KI2wq7
NZdeeBBOLX4yri32DBcJ3STMqc/9fGflnfzImtTdlrNTCWzTaf1Vd3q18lsgmpmaoquGffnB82Nt
W1JqLomZXfMTJjaIn7h1HyrNTtQm1ivrK8zoH1ZYg+ItOazbye8vibSyEyRzgwWN0x1qSh7E0BZT
6ELfJpV/p/dJvecM6N+cqPZ/pprTm2xKpnDXaGG/NQsI10Ems/FnlFjhR2+H/XFuJd5+Z6SxaMt4
TyNOmLHQi1071rixRXbB2e/dmUThbiYhS3C6iHrrqV84PhZj776dbwqsIjSDMUalThbtLswKmr85
TKrnYS7LX0mdOBeAHSYAyf5pbnX/Fb2idzNdiC8c8eRdC6dEZeMlJVgBqHawqcO4ZYA45XLYoQMZ
g64U6VvbTzqiMJIailR8wQiEzAu875zEGKQS12sfM0ymB3NqXSD4s26votRNfsTETb+KMPJOCP2s
c+S14Y9qZFhGx25r3wPWqkvO6PqtZAJ54QPnddqELId1gYtct66KtW+xdkGvBhMD3k2oe9+jlRZr
5vU9cv9hyI91uqQLMh+Dc4E2CV8figkT3R5feIs3SitIyRFym82hv469Xn8boprBqYM+DPVJSd2T
Gst6td1XAmibwuq68yLabQJ17dWAN69aRcqUcBbCF49VytrGcP1EziF1Wsu0sqPxeR/Zte17Aado
sNz8LskQ0QaNh4TUQdW0aoTK127YblTqijWuwYYKLf4leEuY0BeVfTWMQR762lvxoevnilr3rMrZ
/2lXVvQ8DgbuFGXmL9MosqOHag6iYlEz5B39ms0mqQyq0sU9W2y9wMapWUtcETe5hbf7Z2u1d77V
aIEBuxZTjBTX2ZzyrVTOeGWz0jMTEHxrE93PnjOXvCWayaWUzXnPfGnAy2qK/mPGMHvSPK96WPqM
05xU3nZSOsOQUf6srXblMPHfVZPrviDYRaaas/xo4BHYzUTRbacUNwzAn0F0+ldkxHMX2Nowb/RQ
scas6fGuXalHN3PGjdbFJlftZMwsLQvV6LvWpAG2Qx2T4iTBSRHu+eVRnPm4d7V6r9mNtcX+423g
/NzmvvxqjfHopaEMMAOsBWS8bQMuNx/Mau/VqLIZcj0hkF5HRiEIRFhiq0Xs/Hco9mWI9tdTT+Ci
YrpGgckhvIgn/gn7HqKWV2XLccDSSMQrvL1LV19BO+DrWFRnVjmLKZ8U+LZ4y8aMqKeybpqrNRuJ
uYrCggZ6HgjGzeN+TQufnXzcidz3QkvPxM4WbyXhFNvWhVe9QbRt5ZsOeWS4eB/TB//385z+frbN
mGDMAw2AhZ5oOReUTTUZqMGE39VbWvrxT9fUv+gS3WVK+KfXTiykjw1tyZ6wHC6fv5z4DIcQjKSR
vjPs6BEXPYOy1HwEQvaBv0yuDGqVwHaj+uw2vYtOns946w0jhvW6gfG50iK7MWiyEKez1gwJ1xW2
WjcyG36xEYie4nycDm6t9hYTfjT/mE1E33x4bbctYzYbdtEeRSY83MrJV12PJcWlkd9GeDYHhDE1
vLaMQG6jjY+iznMraFNAPNBzzUMxNKYT6KnebXgfRRBi3FkPzoBB1B/zW+8q/4Ps1eKD4cywxQZc
/BDoqq92NNXXLGrAPquFFNMp940c4PDg5GZ4m/JkeOA/3W0z98mbBGByHAfFpMzvvM0MK2mn4Fzs
SgdMuvDUdIBqirZSWV0IskVEj1iHJbXaHLUBf7ZCaJLG25Q6cdco29mmXLIYJQia5w7qWeu1YfPS
CdtYR6ZfvbDK8dc1q6xvB2QV4K00PfXg6qHN2PLEcm4p9OB+vWidLe782dMezVaJPeZkzAszA8Ff
kOrGF0crnRfbLYtbHNbNDZf8cNThLe/R/cbnsNabPQqVQ954626IvbVbNl1Qey0GUrc3EEIope7H
xfQ7qKIH6JcZyS62UN9kUw9lZKqbxx4ufsBymYVGaQjSV8zwqaT/9oMQx3InFXLd2VYQ8OGefuAJ
VpfZFN15broYrGQ7norIc865l5pbFiTJ2bUnNpI02SYQHzlB+MQKH+jNAJQbd+8d+2L4nYiX6t1o
RFC1cidbkyQDdLbBde0Pc3rrVVxenHFe6BkFS7eIedbouP59vJwi0DIoV9wDAd4Bmd0Y/0n0ZnlU
qyzfadEEEgqHrvRcooG5JoKJo6pdzqzI4fQKl3PMjIz4Pp817RugcfFFBwMyqQE6oBqxsoZkSRnO
7N38+2Dsfx+SnBTWul9OzmY5QwEdcc5AlJg5CGK9C8A8+tdpOXnH5QxuhDUeC1Vy5jJcnN6KcPAw
Ok2c6EZZPwxuXZ5myCcfGMoAAxBczhK2Edv898UglzvCXW4LIwNuvkqXO6Qm/pKICYQASUBAAFeQ
7ldIoXxt6tCIGLX7NOmlfQdl0ArX43KvoY0wmbDD7bR3eBabo8Y4eNsu92TfyHktf9+gRRV5P1QF
YwFMQo8nxxFJdcJaN3CGdnm9L0OyosOY7JVFf8qVPustH+ykEZ1OyPiwxTzmNqu55SNyf1cN01JA
aFQS81JSeL+LixQZcVD0rr2Ol7pDp3wM/bgOnDzuClb5nrcJtX485ZlRrcF5j4fQLnIYTNCzKkqf
NfMOeZB9L5josEZYG4MPa2sswTey0UsvtmjlwSRL4CKjXLzGpWNdMfh5D8Vk4CJv2rjdMrH3f9Vz
JW4j2o2vIeuHW9JOybPWy+4xRDTQriO9dw9dFGtrDdIlbSdreZaKvvIYAsXm1dHMft9odQqEhh/l
3BDOksQu7FuOb/FYQbK7dv2waIwxuf4Ym+FNd6pq7XvaImAwdXubM4LceWxLn9yIFy7pGg5QqcFA
xOAOnzAn4kGsWhKc0UxrN3suzYPrjNZjLkvnBkTfDti38P3Ik/KpgoqSrHAOZQdTS2S3ziE/s6kZ
GMNFRtXTSo6yvTCjjTbOoPw9haX+Y/Tn/sssi4r3eIYiR0GK3Uqp2dZXDqoGIBkGb+OEUmmXSt7x
gPjeBF5Sha6g8bSjXw/wYjAgHaWL0GIJhiZ3tYbykkSa/m6M3m3GyvCEPTAPwABnOyTiyTEGujfy
pnnOPXTl9ENiulvPum4jRW/y7keEZuCj6gF86K6VEXSRhjv+lx866JkNf5G96Yi8QlDt8+XX3C7j
KteTe60Gw1+Y2YIbQfnVIuJ3rFvCywjRqge2IwOvrACNyfmXLjQWTV2ZsHWlANDWlS7LrZd09cY2
hf5WtqkFE6btL7bJmjsyUA0pMCj8sDtDCIshqcBDrjdI/NHG0QOg5HWOvm5958r/geHRhC+PaYyw
k7I4uMRq8LQrivJC1tEDCq9px8lDYY1f6EWOeMDSMn8xrEq8WbXR74c+q16VbcvXsNWbX0xUzLUP
aGM/dGTR+fqL6WSsxCC/OAfbKi94He4kSiWK/hGY/jg6mxSvCUFqWdyW2CNHkhFggDlkf7HyPnhO
x70bpvYR7Ya5n7tKbozGnt5hSOJUwhZ3GpUGGSZ2wi/RJNYucjywxS6GH4T1xUihPDIrHWMLmHMc
7nyr1raOAS2VnWJyqiasDieCmcoHh0HUEz7hlmg4cuh+DYyYZGCmrXcuoNeaqyEy5WNRKQRoswLA
KJnbb11pVUjbkOz5zO0HnkTbgVbLAI/fOiSfWcKAM3Sr5igSUk1YUfLahyw8qN6Tp8JQXeDxQicy
XbRsY9GO3OHEifcFA62N8rN2V4XzSONkmitCydn0MIvfJTb//qhn7ltOJZhswnnyL3CSp61dmeXW
NHr3g7G0sRNDAvrN09J+lWcTT20z6YQ5FLHs8BW0B5m176gwL7Orfy976g2kF+OzGzT3DmUu12P1
1MLSQHoRd+2DiJop36kkmX9KtIM4I72XvCsoqklQWQMdNxjsN2rn6XW7mmKTQTnGxnWCVPUFNwdk
5nDiKK6boeFIGrp1hK3xvnLDnEE10mRtnRVe98R4Yn5yCH0HUql7fUDO+FlPY/ShJa/5lhWluEha
dhxVkXNBKiju2Zt0IKK6xit2vutrj+RUmTfTKNS3lf4ImW4WignoSkRz7NxpzmTtmySlLNKKS46K
Aw8ddMYWqhlUe7lzkr7mFBH0GGOrrXP7J+F2mYQUWTAR06asCBR7kHWF9hTqDetQlZ46MVxtvX/z
0o9yfiBjCBkXyo26EPJb2tE1TXOAkE2l37t2WL/z/eLyQkB4p2aXuXBcVG/6MKD7wnGE+1bjnt35
PNHvs92qZyf3zXfIN/arIx2wXnprHTBJyiM3QXx2MtCxXkyiSx9m+abQiBuRMjp0DQtr302ggI59
fJ/IynmY9HD6sJH/rDQQz4dmZhnKStPCVZfa2d7zGnvmPnXHN+QdToD8xjDBHOHniSw7x6ox1RsL
GQ9CYdjqpMgR4aiVuLEy14JDUsq9Vdo0sjGV7JRBDBsSY9xTQ8KJtYjHRUhk6uENQkN1YCMIfTDr
rU0qjPiZtVWyG0RnB4h56j1mW38PsAfqArBa4gAW0CN/g1jXEa6+gciLN1xAi1J2JEOvSPKHqOAQ
hVqmzdthuXA9J0Z0aaTPmTZVx9SChJTixsdFG8/bnvgV5NeO9eQj+NnMfUVQBWcGqL4pqzZ2Uroi
6DJNOQFBgTyBaaFzYM8wDQOn58niTymDzs/5iaHLsTNBiH+ZCpyMGqLmryoqzH2cckIQL9iu286Z
eFSSfF8I1ExdgTvM8FJJDF/JaYapQwEqtNcTyZ8nHOjhpWCrBVr1h81gRqb6IVrcxHF4gsmfrkQ6
mpu+jFFrefgvXRLh2XNPRyZ8rK8a/4G+PBA+wOlU5OSXOFqYX+IUCEOuWGEyJ5g3yWjHtEmwuFYN
drVT7Nkub0Fo4DgqjZ9zP0AwFm3xHYcKxYMiKNwzJ41UoxAGuBmihi4KCcQhK9N38ligzdSpCB8s
bfAvBYX2jV6lO2Er7g/65DBZQr9rvkjNGoKF1fCeswwKBNSOk9SWABy3kvsKid1eN5NsZw1NfS7M
ot23CSSDkVJylADmhOXPiF+lseMJM5872rUba/oYt77bbJKc2UeMzN3QI9B3Sy6LsI9ju8d7BXWm
8N/bug8QiHoPohh89vSufHH0zDrUaZaxRWPPxBjSPoRK3iLTwQ7+73th8a9aYRuYCqpgHWi9/5d0
QMKPRBhaprfT8LRtbEtC/I0GUoBqG4oe2Qz0v2Y2Rk+RUxQwJNkglOs4rrR7PBPTDxzbVYPCwo43
AOxnNGTLvJKZDs4dCCDkJRgxVt1V8XvCqTs9CDFvZEA4AeM+knxhEZ5Gh6j9EWr3/zE3x3AgBwgm
uv/0AS90nr9LrBb8z3/+xzH+5Lj4q/LqHz/5x0AehI5vM3Xn+vnNyfH40P8YyHuL9Iqp0G8Ozm9n
zn8Jr1BreQTcMSkyPWKY7X+M44XxN59K3UeqxSbKdpz/UY6ya/x1HI/ZzTOF5+n8OsvGRPTnwZSO
OyEKtWne5YY147jsdQx4DPAZQLX9YrXX7dB5bX8b8NvGoVKo2tQbgmhqImPdtqAvYDrAGla68k0S
Jjp7y8mZX7zF6W8snv8St+qqMEpuJjzZrMoWOkBMRNaJPyhfo1xQe+y5jrpMtqfGs7MgBqrftAH7
N3nA/00hWFrBGML0QieQC6gA/Yc9rebf/AJw+LAMxt9cA0gu1Cjlb95BH9nMiNGjcrD4ZEOxOAjl
w9Db9R5JtUuYyFi8geIY/aAPjf4nL84IUgay2cqJzP7JxdqvAqGFGPAVeSA7Ei9d6h5FvC4Vdm5u
bcsZIrIQarfcEtFrlXAsw+SadIauACrUVr6O3Gom7SINTRThqKSR3DKSdPcSRYW+t8h1KDDQWDBG
4EAghKY50j7KPvTZdxKidS7DUn7WeZ+cUclZ+qopSzc5jeRgzGsvw0xP7q/bOAQ+NSiaS/D3b5Eq
+/dMpAohd9+VvzD0m9+x5aJd0rqqglSXMIdQyAWQ5LMkWfVAaqeVXY3p3tCEummzNtxL+p0vM4/x
WxABH2UbNDbaG9SESVvD8wUcZ4Eeu6HYCqu1sCLYS3M7zFEQlkP2VJrZABUea1ITWOxlymCJ1ft2
KoYHAbvi7B11gRlue/SvVIiLphrBH2tbZBCwg6SLD4WyRvNPBnlAW6PCYyyatr5Vk1bd4gGxHs10
/RBLT7/WWG00oC4yV2sAMZhYbMC4etuNV3axCIenGuxpWbnpUWs6sSHRmzirseJ2TjyG+/NUTLsO
Csm2tI1pG0cpKXZTOF30qPDZCqfty1iVyatFud9ioGEh7SEIpw7v5kejHMcbq39SaTrEWymt+J3k
ht9kKQ4SSL3pBRExzBp+187NaOFDA9oPKjMPbGWhr6OWP0nNDTx3oMYXjTXrIgAPj3gFyr3IY39b
mE6xQ3SRvzS0YXDnzWfHtPKV7uAuamFX1cNpQB1srvw8mcAvK+a+A8TjJOaVql731omXtKc6bPR1
2CXTM1UKEpe+H49mRxxc7M5DUOsOfb0zMWsycov3n0s9ujHUnu9NMXhrUPnjHd91c0fIoVutY3IG
vj0Gk/eUg2Ite9t4nCM1v+BwZyXtLrxnJWvKDHOsiheKXfFqlbJ6SYG7fvdxI19c2PkUGP3eAuN5
J/WQG79NO+c2ibx+rwmJuS9w93yiT2AFVAvXfxRJDxo4zhI9kFgLqHQ5U9LVyGBzQ1jCzJjTEZ9q
Rt/Ofd5az0LU0Z01ZClS9CH/MUbSvWMh73zIGKJVnAOHYKzbDg+m54b7qSJPAcFk9tNtQ5/sNtwt
sLY1e7qTboGi0Ndl9c2eyHhZvghP5uzO39Rhqlp7Ss+e51p376d8vLl4FLHTxsjqA0yditcJlh2g
rGe8myYDHADqY0ELmWXhFXtwf5w4Ix7CMYl+5fTwJXujcXpN/YI1U8vRvDedRQ8vscV/p02JuAI1
Jvq7NhUkbPqFAUYA1SRgSzt6aPKo+GSkyNNPWgnIcNyXNx37iwCoTAnaGHClbHhcBr72Jein6sBv
oklhUEKoivBY6swO34GmmeotLRuaJCu0miO7PRCWTdZgiy4M3GaEz9n1ppji/uYZZoaoLeUhqRzc
e4HXifaBZSb4oRI/1mpgbfkoJZRpx4EirRPCeGJYED5EmWW9hxDij0Sqhh+aah8R8YxnbEqKmBlc
Xvd012m+LxXk6aGdBdMDM+oP6Ugi3srQJoG1ZjLPTup1l6xOY8KqHD8mxWP0rwiddcH5oEFOLjNr
vqedj9ReJB1TNT3JnmISFT+E1NRmGCL3BEdaB9ss1TGxfOecCbaMSdrn7Cd6bFhpOvp3eTGBJi+R
aYF90xoesoF5YKarRNt0FP0aE5ualDXl+DUakkk8Oww77tk8giftBuc4IbL6HAky+dQys9/VQNyY
1plm89PoOhf9YCKeBiNhJ2AVAHYpXNF2NtUXeV/q06/knGIuslFpphqpwoRxqGbvUBkS/9RlDJaM
4jtsy4aWgWoDwTFsyqE2tWkt7NY+dAjlzlIxGAcnxTsKTopAN2WX2458hkMcDyn+C0sDPaR7ebVN
xpT71qv8+urHHC+r2rBzYxWrQX1iqUGlB8YkfIi7qf82ByIz7owUxjLfOytlWZG7xSUESLMtetDv
DWLXpeBtm/uidHM/aEvC1wDWu1aQtlx1BTEzXF6Dk17RAuM8ifPyGDP/wOJkSvETZw8tGdBjBSfT
NJMTIj7lb4UY9GfHzZIX7uw0CZqkwhTl+uXwQRaQfcoyr9r5qBmf/ZiQBYOdU8HcDQJrkIp+YTCz
uj4kQ1s8wY4lZ6zuWnnCS6Fbp7iYzFeQng7wAbs5JC3YrhWRkOVxaFV96ugaH0bIe0fLj1OAbjq7
Vg8y7kzO120uWt4Qn0N3mQl2r7ZfE3cOL/lVV6Clsq4uDu3sZcDVveLBD2uLfZgpCLp1Wue1Ew1s
7E6hiF3h/bLDgwS3f0niOLlmYZ2+lr7hIMrjPduxOWeZUrd+dvan3nv3Md3Au3XedCurdpMDO4H0
d77OkcXKiXHbEwav9IDhOWNQbVYt4ge3dZ+RoPXFBuIQSxnwxO9FpKsXwdFJCJRoqhPeH38Td0xG
V5B7x72ALX8kgKc/TBPbDNERghiG2jbpTQhvmpSkZiZq+JjExJAOHIoTZPBR3j2SZZnI9Ka3b1ju
w4DrYzp9Qx9+hXbrb3osQw2F0UavloGy2X4WLJ33DILTVd+l9snovCdMAvCuoX4b7lC9NlbW7Aar
YenuDqwVZjnY+m7U2pKzKYuyx4SvyWs96sgmw2HeQ6EY8g0i9eRBzP4wHnvN9mVQ9lUXbYr/y96Z
LTeOpFn6iVAGOAAHcMtVJCWKpPa4gSlCIeyAA4796edDZE5bV9nUWLdZX43NTVpkhpSSKMKX85/z
HVs474Fup58K80wCojoxCBBCYmrYfoAy3s1ahcBBiI6u6cfw9Jpf80w+qXPJ+XUq/0hqAF+xG0AR
nKiy9vZhiklyjrvsQpMXT2pAW86mgqd4AYj4jM3OuyxGkefERLpeVzbqeucMmGiZu4FRNSvjt3IL
87nNUvsuzbGNpVj0dqClnDXSo/08OIeQl5xcAR9eaPdBFyYuYXNwtkPRoEUGlDJ6ZVwcCotJjTeN
0UX7rdoY0jp7RWKdgS6GTGDN4RrWVXKfzbm1y6j3itdcvbGHDKGgLIq5q7fpw0rscOKkZ2sc8Z/X
xZBtGb64BUTMqH2gcpCzUcN15tWF9k9PVlvFYBChwGCQ5oD4StRB+ht7dKJXcLygeCkDuSlvEOnG
7jgl7qy6zDGFGFDGVy7+xBcwf8F5gAR0gbVN3RAj1wmtdhrno9/09buWlnyhyWNCI/NgTTtlL181
dcpXFjt8ikVtxh88wOaODsySI7QBvodnpnzy5jF6UJkLo4nvU2yCWfmouEb8Hci+YOY3MHvYZJw3
D+DWGGyAk8Kt7HitNu9U0YqdrW2kXOR1u2TVnCxj0xEHBZT7h5U1/+FmtQtCy/lD02IWCVkLPc74
NAxHP5V/yFvtAuFSC46LgH33UXlyogysB9dFPem6ZjyBnf4PyWuCwfnoa5l/6Gzkhhb/Rf0qwf+s
upoOgY0bL2Sw4A8ljAgilQqQOWkJHZUFSYxu2oI4PHix8A9prPfCoCAWylsVoFmtSb7nGAMWDzMz
MShdb1rDsdu3C74smAZIX6mIkpfqD9+s+MM6c9LK+daNE1WAiRcaWmi2uAVNj8aITQ7nLX5s7SVL
mf8hqfnkCNn0Fr4ag8obzwy9pGhneI9i+kvIpRYUBcCJoLnmNBJMfmNZcm+S6R0Kehicyh6+20gQ
IOM0Nb8xGvcMyl8RSVl+03bd/OHDsSTBivtz5/+fFj/+n+OZ2AuD5P8mj7y07Wfzf/Ir/v2Zf8sj
zj9gUQo8ixJKCYFVJJe//YreP9D+hYV1RNg+Z2LxH8k0TImORYjNRzohe+bafNL/pprY/4BSbPKZ
qCfYKqX47/gV/5UGhEnRtRwQOdKEVIWT5Z/lkbZsaQLr3H6v0jZ4GjDVP5ZVCijNDpLmpxHMjBqx
kKi/BLV/S1OxpAOX5Z9dM4GDW8ZCd+UHJ5//L1+506y/o9v3e+l04S5pbFd9Fgzoyd/0Fvc+qMZk
2RI8Ce+5StW8HR2ycTQKcJIEyDqYcm/miguBbuycypcQ0wB2RYpjrCli+IRisTb/7FvZnz1sAA7V
rOvOYm9jOkXGS1X+9NMe6pXdskPvBReUj4LCp6XkJnhFOCrirSn6/jppWpY2XNmSUxJz6OKMGBKS
h6/RvZd0Ae1ci2yzXxTowRUVXRGGsVmu9Vz+TAmpEnruN3NF9EOHFRPvxrpHpOS0DyvhLZhlvbfZ
yiiBV1a5jtFbKI6KZPhCaJvqYDgH1WHyaZLAy/nbq2CkmcgyYU83TitwwA9DfKFYxNv1I1yEEl7q
mqbK1yRZui3UiLA+iKfep2AnCcSNcj9msSmDnrz4M7i3nUdmfxt/rIhR29SMRBzz10NTuzuiDTly
ikmdtqKLrBnFpzLQQKLAOZkuygLmdQ7oDVbXfDc0zLFqdBfi2rA3JWUqmnQaH4QwJqD/Pg5NR+qX
I8dhDpuGySj9VW3V0Y/bOAzD0LawX9OdRV7ZY3pq24vS1O5blzuQMDV9NIntHgiAyoUVWTMv7ToI
+TrZ20MsGPWM87pzS0EbStrtQF2DhS1ocgrcnIj2PCX7mXDbthd0HK20FYHqITv+payedmHHNDYM
0Y0zR6nygEUkuZHzZbUtHRJ/ESd2mgRHEP8LbdFG0PfjIto48KSCDSXGcc/F3NGfk8cgea0w1hvI
XLP3EXWO/+BNifWz7EXx1XoTlkk/UwzbRTzQMV9l9+ZoVDSsAeA9pyKoD+1Un0jfGcfCVopxfVG9
FYyXeK05FONxn9kzto07cBHWGH4ldaGVlOskktWlgK28EJmhCjCUwgQiGNifHb1wbkburvcAWy2c
P7hL9pkR+0+FazT1xigcc1PLchZb17Bak+iE9B/MxsbbqeupvwqQmjsnIvtwjCKFRlCbtfeBwAPo
jfbSmdJyu4rXtWeEt2nwzcOSS6HhhYHWPYW84pCRtVer2PSjOwf06HNFSDBkjOWDxnD9Dpg19Ypc
hC2pAMYVVf8aRDXdU6CYhqdMjmIBwjrNsPVBSNTHaYBVUtWqplalsF4zjuAdOA6LVnAalYIdEEDI
1/ZiFeU4NrnGjfPEsOOmOp8YfZMMEq4gsoC9NAP5Q7Pwc8ckm7KVGjaYMq0dlheiAKS1PFpZ6Dfm
+4PbQxHtY+hMX5TJ/9RFfI+hda9Mw9l1nCYoOhX5XR8H9qN0MOtQtXC/uM9WwB6z+4CqhxUI0GQl
THQ57E+0ZKn6XMpZX+rU/IozSyJ+YtYI2zy642isHkrPy3YCZ9rOm7ijUouQ4EYz2uWwT83CPIpt
O4zUDMum302FIc8ICfTKFlM43Iecl76LIoxIkw2CKyRFPjFvYB/n8FzSZcHY3LV+kqZJjrBPMF16
3uPoFWPJtc+iX8YCqCd/19Vk5cnKI5+z9gkp81waDOe4ObRag8223Bdgdt4Or1h3haFlYnVLoDu1
WJOOczf/Vna9dBlWjrOLGxVuAvKUDxgy165DeH8F+z3i1B4lh6qlEsMwrbBeu3YHghVG+c2jSsle
0k0N2JEpaw80z/a/WpqsznrodLaNK+hHHAwnNK8+Xk8caqFK26PHOwsDEatF9NMnkrwxSte/wzHC
D0ZSnIvEwKsxCsE5uoqhWpugOsaB/8PIGziim4gknF4PUUi1oCjW0PePLUPbByVkDNrY/WZ3Ss4l
YM193tRRihbNTPvAbXNcK26t0RbwvIkHQmO/3eD/b74SY6IYHQwyxWQSgPRKhClOm7gBJEwUu48e
xri/JVOUvUF+QGH1bP/3UvOzJ5Uz1ijoPubMuvf7O0VJsYOa0/tnGgGLVyxt07ofLTKkOVS7rsd+
g9U+/DmBjHeedF2wzLYzsKxN1drL1bCRTboBny8rijIiKoqhNT1ECVjctDN/qhipxF3Yebmw+hOB
9c3YlO/G2KliHY+azDLHUdvDGyFti8hfh87uKN/Hd18n7fOQCaLHoZU6Z67bw0iXJ+6+vB/qy+SX
19CGUot7s6E0qDAuOdnl82gM3Dx0uE58Z2dqCr2s0rE2qJvTNoq4ynkIoEzPT2nNzuTSPWdjnOJH
iB+C3vyqvfHXxPp+GLTHUcEU0yGZA1j9Yy3uDAPGdsIwaCNEfq+gfDMYb9y9T53YOowEHqgFG1TF
o3PC1vCKlTTa1u3AGyAcWJ4jnHxD62jIzcYc34pRTVuGMDtjCJnMSmuHLiTuYzCcm9zAH2EaXvI1
Roylw65HsNOgoAF604w0UmU46VoQ6eZSrzzuPfyGhi1nQbJHRC42/Ti/hDmUWLihaltIXti8LsOH
yu8BxWr1MrgxXMmqbO7awCW9OeMjTmXT4qnF18YK5J9oYI+29IugK3Qi27gEPu6AfAIATYOLpgt+
WxbCeRz5vZtDDjdTND3hbiMD555Ru7JncD6tEOtsHvjEIYnfjfojYaoYr4j7ujtyy/oiSYdsU6vV
dDqXIVWEnpnfPESTE1OQ7FuPGKQMtpwDZsHhLVWUhRJ2rzATu2bF3GTsSuZHZvhtxnN3R8ieeHub
C0XLjhmCcYFOgEfC4hZsBOycWUSvuowWQrpI7c/AYo7em2J8LII2w8GiyiDh9RbyGMFyA0TQp8Ux
Ah/wFAWWezL93npGnQl/5zpE+VWlX+yBlycZC5OF6ASN6hjxUptAXNJgG2HnO/KokN01o6mPaLr1
oYqYAmUcE/zKcR3Ka4qJ8Vos8uirw0hBRZYMvIpfQllcMt83ngXk07sEj/oJAPa8L82pf3fctjh1
NQoBhmMZn6eS+mWh0bhJWZuwFSBoz89ZOk2/u1QWPKYAnm4NfVq43StVr7NExhuOtmQiONqDCmOC
40+VeQ6xHpImtUzCNkvKfp68hbnUyOg9cWpnUxRmfiKiPD73Q+Hc9WXSX43AbjlNyvBi68p/yC3f
OrWl770bzOXXdVQvUK3woIHJARSLzo2fSpzbEU6L2nB7yfvMKTi5xyb9ythqcbDOCRlWquJHj0o+
OuU58AwhYV+PXCrpSo3jCe8f7PkVDbbFOQyooEKdqFeiLzkwFlN7k62B2U/xHZR+ab3YsofRhcfa
fg5DQr/b2RCpdWGLYH8DC9wDyFGW3BQaCHOea42yUQY7aZfzLqBL79xlTrr28uAzTZS1hX2bsc4w
FhN9Knd1reIvDi3EMaVaKjwAwxK2HWF2Fe7QHJgBa/wVgobfgOa32R1LEKp8Ed8wGdh6TMNII9PC
W9jRpUKyPw8a299nZYuxvk5jUudPhkRa2bSKFkNuIlzw1oCg0gHHTDOGQLd6k122aw1/JXGx7F0I
ubfCGaJndIzke4azuw8mSSKbOSyNrhCfrhj9rI+uCpznbhyAbE+NCN67OQpAJSZJ+RQVRvw1DjI9
GtKxP2tHLJphTY4S0oYcbyYH1N+NXc1HRqq2T8vGWN+mxmKtmKHtcWDTFqua29bRvh4zluxG292b
5Nf9yYzXeXGlKZtnv3Bkew5JddrbOR1EubUgB26jAgpTby/2bh8Bq9sERYRRmXKGKTkoizchEBAD
OyJKYoOtdJKAxJn1HOlkBQZYsR+eKosRCuSkGogeOkm8oe9ZPNSGgrbFPxiNVKStDvWC4cthwO1L
VOhXFYjuU3AlQklS9a1xnSuzqk005qC9FrhfO0UUsfI+XJyj5iez9+EH48v0QM988pouiEBLVQxa
ZTA5HzKZxmPfAhPsF6ygmG15jRwffKa1YAcd+IP1AiLkRB3fjwucsF4whd0CLOwXdGFbGfLixKrZ
FQb0ArT0xwXhdWwlCOZuwR+WjuE8BH+YiG7Qmta6Vsw5R79Gk/LyKYSEAkrRWaCKxCV+dFH8hag7
XjtlhiVwLyYOK1uAAtSyD747H5NUTCXLDnM0w79BxK/NwnIcUp6cfOE7pgvpEaae/VBSq3xMYKFd
M1StyKGaSzAsu0GHwJZY9DWnq0T9hqk0s4OSlCh1Jp/nPmiPc2TSQTq3w2tm2YzrjCw+69BNL9Xc
2NupqXW5LSzV3o+hQ6gFKNVBRkV87REANraigxs6+6AuMKbzn4ywnStM+nY3zQQKtF81jz0dkdSI
12+dOcIUHX0xcTwghLIFP7G0ZE9ih2l+/owpBl5ZI5NTCtc4A8E9fO/jSgCXRMUgex+8Y0YOf4RA
NffwSvWBbbW/TVE1/Ug4i53LhS8667B96BbmaMspD6TeQiOFK2McwQeph1Dzlu81672H6fsH83ys
DYA1PifpC3eVBljzLMxatH5xWUOu5enCEG5u4gWfCocv2PqD26/TBa5qh9luXnCrpd2Hr7kPgpVm
lfTVqHhf6QXQ2i6oVl9N2aaIbeviLSDX0OuHDZU6+TNxPPEQL8BXZxgZQSRmKZ59zpNnOA6wYacy
tL+oEuOGRbFSczIjHaRkJ6mWMHijWaTbe8j9bZt1b11NBdmmMhz11o4KQoQfjNYTAzH17DXUB+Fi
Q1vxsg6EBGm88l1jKv0cWhPTdxCxvpwYxMnLzOr3OjPkBBtW5sxvC1k4zS7N/PAzaknBrPCr2D97
WVLjI4p5nXle9TkOJA7gnXtvlUSkcYu2uo84qS3DwinlG0qLTVb6+S7pPecGjcDaWrJx73gl9WNj
6f5hzvr2s8OveLIo+F1p4YfQiZL8bursaTczlrzXPgsGnaLqvfHMZBdlhXFzMTAw4yBHZnnrliW+
WtOBUH5VZU3gI6Clxr0z5IxWSxvWtOqGyHqlnIZiPIUS/d2btCEFjTltp3QaJeXFA8nbirHpW8Yd
chOFCZQOD2l9xQ+PVNw7IRdqEWun2HEKaO4n2uc+RJBYzx7eOXeVWDPfA3Oc2wQxka7KKCpfnaL+
1llSAxr3pvJzhq7+jRE0PsSuwTJEx/kmLmrIIr1h7Gla/5lFCFvkzladN33mI+Silq15PbStvR7i
1FwOY68sMtVxaphCh4PYR1QBnaIUOnoQkaPvqCJiVFLdZ50KOaX7t5Z062Noh8W9yajcAANQoAKM
IfBVDJ8n0O/ywCyAt4OB6HecIe1Vmzy2l22q2GGHqDcBDke2Ks2TZsynsZv8hyQC74bo0eytIKRp
nLfPT8iLVJ1kZVXw+Xl9krEJIZYb1E7mdnuj8vwyQevZszcPt4XzWK6Y2DRrZlrDPjcCZ5UhSj26
wnxcNKEPU4b4Ags4GjYZnzJ95GS3AP5Zr2hR8ykJoSl2yfHETrTuUi6eK2+cHfQ3AlA2NUivGNJz
uQqYY145GuRMcOMsfBRpAu5/8PRdC0F9neZ2srE100I/nHgucziJdH8WIePmNivZ9Krm5DRoiYxF
RPhWR73Y6Ubpj3SyzQc6ZDLCpbHBAu707tXGqv1Q89XWVV2HlxjC+YOpDHwNYVB5JxDA3p1dZSmT
m0mfVGuqU+Ik/k1audqVhJqijcDf/z7pvn1EXNMt0Qr4LWBfi2xb9wZci9khdhA5069grikqFUxs
5kiYX4CdskMfzuGTZGUCldkJh+1oFgxH/GwXpXRIN645PwYa9S0WpBJWVlr4D2PWqutsjDiiOzIh
eyiq5Z2shvmTbIB3VK5KX6DKsgqOlaZVxSa3w7CPXZ+HWj9yJxCvMp4wmZlmz5nLc+5szWbWUrUe
McPjumfRrCKMF7/tNaAHXGoWsRl+m3SlbdMxH4FeCPpXJ984tLlUR6OCqj8Z9EmYCQcQI6poiYa4
zGKs77iu7zPCU4+9WbU7kGKoivPIRsq/YiBw/OI+H71hZzNVB8ISpyCwJj9st44d84xDMIrX0if2
2mV1g7EOG8UZI5R+pWLOevWHMtrkBHljapEabGO9hPLp5SW1d86QqGdKzwry9a4ep80MZLncGTla
3qmPY4EkqypsOQXiRwdwMzLeqMXRR9+MU7RnDtHZOo7T/kbVSZOcGJ8lT1icMOUR3ULsnV2cfRt8
KN136hXzHgST/JGJWd78EdbFDv6LQRVaKmW+c21oY/BfY/q58pyUNFEV375RCsUReQgYJi+UN/XW
4Uz42RsmVJEAJ5BzGHUTyuOM1P+cOHP5Xtu0MBhpWT+OnU2iCSq4vvZTxCRbTMK/KLy5N7tfunSy
9gOam9qEvs5WFqHiH0Zlx/RIgPFKIOcctS+K11RTpbWiLrbedTLGPlZaOUJKe+BVmLfaVONZJtrz
V24VVE9t248bUgDzM/Kle/QxU10A1iExpIOv7qNuNkiy17b/hWoA2zYqBXxQs2F0YIwjcXLDw2GC
hgwtqYHR8574kg0CCXV6aAvH2y5RA+V10AtKGTxnbVhiWAlXTiabbCNyb3ygm2Ya7zTbTLFKoGr/
JLwAWieexk5TPFAwIUd1dq+0EdggzYYpD4BETAbJBxuldtNXfpltbLvCRzJBU8mdoL3ak5jfEM6H
K9yFclrBNCLK5eh9q5X9YmPWebRVCzzHB5W1w1UzbYhPpo90c07cywdf/mhVFn8ko8xPlPX0l8YQ
WY0EacXOqfZHpi6WtbSXxL7lnqeEU9a69Yz+fZpbgmWSw/UudseUxGkyPo5BAyDHc/BtrTNeiGvF
sNpYR0pEX6EVe906cSzrKQoReldJYRZPaeLhXiXWsgd/NLtsp9pd413iIjUWtnvGk69vFHCZNzHY
JEoNF+YwYc76A5ZqcpZziqOir335YJINQcYpNc2xxMUsLEeBOIG0omeuqBPAf7pD/8QSW2D4n4zw
V5IV8yeGMLSyIebAtuoB1ICOBp6zkZPNNW5u+vyNd1sP6j5P2AlQPcdHShjDX4PRLgscD5Fr8UEe
tQAH22rnB1OU3jGOQ3OPG0CfWNvZgHRgfmmno0E+YP6/H5RhvEgjUVeodd4RVx5cp6EFuWTH3bfu
nGQvedvWq8EPag8nzjj+lim9Qk0Oe96B9bxuZVvelc7sHV3WbTBiVf7kjL17NASWxjmbui8SbRTi
zER/9ioHgkbmduSMFhX1p6VMHW+jzqtuXJFQv1WpX7Le9q8+p7Nfs/JAyImGfzSsQzrCVoBbDnMl
MGTGHcBLjGObmcO24zV8KgcNJNEoCx/v6hA8G7Nl05pYNCLZVjq+dIWnb1WVEV+cWVvII3aOcwrM
tr3g381PCgTTM/008F1n6V3kWKImmFMBcwFZbdmQe4hJnda70ONWsqLsLb/hMKbTLw5SoZ7CsJqv
IxWZ+5jDDQDZRF4ZbpWH3LTiG4FuBQp3pOCnB5+EL5B6sYb87xwTey4AcRz5tOiRp9v4OVp5Q6V1
9R6Hfba1sO59cmX2z503z5dpLL7wfm2KjOLiOq78tUiD6UG2EyUGgz2Qi/MoM4+DpynBrJ3JnIIt
yB5MbrTppit7AIaYCsgLNJRzrpAeD8+k2o2T81wDi9DDruf6yoQGOt/BSIoQs1ra/gCGJOEnmdTZ
OfbY3ICAsWHzKOOy9OkkW/XjqI4wvLFyTEGkP3DxNvdMV39hgsNKpUjbPsZgPR4GWTnXETnjR+nh
i19lVogvIeoY38RAz44DPVSsquGlSkpA2iaaAp1d4luRkzZW2qxxjVmVNkCVz7yIQNeHqVi7HBFO
neGVb3bElgXZiyNLvLSfWmIAdMy0pVp1lnpdHE+Hgtd3G9cYfMeYGJ3pmfbWn0y/2pu267CbRrT+
4U8sfkhgiQ/MDqFrysn/xpymT4OR5WjBlv9hejFOzanL6T7LzB4aeOhykPVS5lb23HGDIWI1nLTQ
SDlFbeMZT2PkXuV+KpfiOyrcWgO3EF1BDhpJQvYtmx/a0WWRC7watFyr4ye3ZOZjB9bwnHij84Wp
f/wJkrN9rseua1a4ypb1H1DFvQxSH0S5PY4/6oz55YpVIXpFIuVoMhMAWPCnLMY9NhbmMFlrs9Fk
bfwwGKb5kxIECIGDColcNxMb11QG8hBWnnnihzJm3uqA9WNaiA6T20bsXGVEKZuGkLJRkcDmCjly
eqv9TDC3wTcthGLPL2sa8EIKhMJ1FWLn37QePusuCVm920FkR3BJ+hiNurCp7pi8X1h86W6QJhM/
eOwVuxWZ89BYWcHknhX5ZfyzrZ3BR4vZxVYEftOeVHJn1/fBOPJlssyJ7nBfQioopGO95H3DHEWU
2QlmI87eNjSMAyJ74dHMqpf/MPDQrcIuES/MbO18NTAQ9ahBdN2vuk/Ks2KCemXz4uySs13CmmZr
P8CIsbINqfvxHb1ZbJssNZ6j5XZV+NBbaG4Ey+4wHyQgbC4tWLn54Ae9+MockCMtct/OCKFvrx2r
68MdYV188YjDp7kwreNY1uN5Mpl429Yikhc4eBnTCCLz0uLJ6sXWSIerY6CMxnrgdq3foe00GJnL
/OAbJU7YzIJuPtX9bwu8xEPHceIsltWZUimYEJ4JCbFXsDV6/jSnLjgBq9Pmu0kz4Jlq8uyBTkyx
rVoz9tc0lgD0xvP6HkPIuDZ9X95XWe0zRreMLU195BTJXv3KVe9tqW9pYOVW8WM412mzVgkc8i4f
5l86skk1EtkhBUn6hPM6MjEhdXf3/71B/yVsNaocVpp/jzM7fTYlcars8584Zn991t8cM/8frsvS
bMIp+8v+8x++IAdfkOOStwcmA6x3gUn/HZyy/H84AHZMdAW+AdYV/upvX5BlUUouOCfzNw5/kP5/
xxe08Hr+qbDL9X1PLHkpfLWE6Je//088Hwm6SnltwJ1Ru3dERx5lmH1DPN71dI1S+Hjtq+y7Jpf8
l9ns3xqD8Ef861dmQIUnCvCeJMYiFlPUf/7KKC42pnzQmDIMmt8h3qUVxwjOm4g94GwF2XjMtZB4
CGMlxnwbtQKLk4PMPyeWVt+QeiB6cTBCjykZv7zj8iGEKSj8W9UJjRAbKj9Zo009+RcnrzHQdYgw
O9sNxTpGCd/PsveORtTKHXoZaeISwPKKkDkcKtk8DhEjLGnbvyjdhAGb+buUkfe6NeIeXb3EYFPA
c4jMrTSEiaePcg9nbNKbPVqSrMTY22erMqxLHlkZc1EoOQwZ0uFs++lCneDrhdOo9xSNFNfJZVtW
6T25D/2QMahdwYywZpjJJnfhJEv45GFKsnVRMRG3peG8tJ4ecd50VoS+HDT3EDzctZXAgRGEv6nJ
ZfS+Fu1ySsnT6DUZrOAm3X5ExYzVJsqrPSeq7jqh5G9CxvHvLVlTSmcax0CUpb8A5D/1V4Oh2+9w
FMG4YvwNZwrpKPhq1cAKPQ3SWEUN/bR0DGj+KHiPbUJlc0arapJndExk+I+wWjd0uk9Lrt6PT5iP
hhP3w/Je4G5e24Yrz2MC6dpM5iTeimxyL5ACvDW1GOZ98oezQHL2MkYDq9uMO5l0Vu21RzpTSlJ4
Kiz3ldON933qtzv6m8s15QTBLk3a+VSOvXqpmXB16BqaYiPPdqtXgaliAwLTN1A6Ob3vO78Pqksk
lmNb7GQFY9ipa7k8lHWxdrQKoKNVHfByzqJklmJzfi1yQaU9ca+IGkgxWS23vNyfHvk4rGZiKK3f
ruG5Jsfyvtz2bhsAdR6wPZlUI7oItXAyXExqh073jlz52PH6PVNP1DxtCnvvAJxTlNcq99WdemAK
czrB76D0JaQgp/WZHTWa+uXKU9MhLLSnae9w1QOUiPYHmX3eSFltvkcmsOaw9dQvXpnkprMyePQy
l1BuPeVTuU2cLn53Sg4CCFdJBK2WNhDOC9wd0Qf4KrOIASGFWUA6nID8j0EhTnBRI98XkkQiJ9+n
3LCQraetSEaxS3U+PYlqtm8l0TEYdJZoIeDgU6bZFE/6r7rw6BZOo0Fd+9AKfiD/x2/kG3J/6/hN
RTs6FTNgUSP52i+3FO7h1rhFZxg/C+DQL0MUYH0SZSM/6yTl/qE8TL2W1XDTl3namPSm1dZvQyfW
U9yq4rV30/AqR9t7L/F39KuYkAfugME2n6MQKR8rITCDbVe6xVMla2erYRNCI6kjjkshKDUscDZE
+x3VJC3mjyY3rI0cPQb7MQIQtEXh7wFqd1w1ItLMfeub8L1nTI9xFjc3slo1iYSIeezMHR51egpZ
RTKPMmGwFoPxOKlJQ7fN/OyVuyw8G9Sh1FxLXH6/TLPBKSC5C9wR3yCPZBmpN7ESCu/QgUjmuNYV
9G6o1E8vRpHHF9F6eAUaorcZ9h9ruCak7F75lborwCyFXElfyW3oyOYpItOwcZQzIBq6xRVIC05E
RSBkpeRYv9ua3YTFDF4wMpD8wWLOb9RXJUq39qzSXSOdGcEafDROq4jklQLKUIxUg5sDZ/cWb87B
UO2xiyThWb7DgCxJX7Is9CExOHTauT8PFJ++5iagpPXs5PC7wj4Q6s6EDPqRtLrnXN25rtqallE6
HMFMiusY+10M11cv/jS6xVoDNQdrNJTO+1DM6quO5iZnmEKabwEBLrILAPR5rfIYWSLymyk6WKHB
GdSzaQvAnW7GF6BTQ7x1iBofq15G8V6jQ4O0NTpud1Nn8XQ1VZHA6ahT45MmZYa5U0T1EoWzZYgt
SismGUyOcKXR10wjw0z+MbSX5hreOE2/qalXXvx6RpHBwDKhl4XVxPF8cjUfYrn44MbG7+4brDJ8
ij8fg7RXa8WYg+6upvnhMcihkqjxXru0KY49PbynOTVZiE1883eLptogqXcTTkKLRS/yk+HstJnP
dC5jpZ6Z2HDH4raNHdZ1PCYgUj6NGZ62BA8yVRLKzJhDdl7zPXV9fG2krbDnliloFTMYzj6lpjt+
UA7SUVW8laQ1jlHmV8k6XRjCkcwjSA3lfCoE5goav/XJ49HbUvdlfM5teoY5FjKvMJfIsyXFzyh0
87MTdhr1YQixFmY2wCXmkji37kLy2qSPO6ZK+DI84r2yzab7Sk7goVH04zfTxmDAFQEL7dofR2gr
yuJnw8E5vS/1cM8sv+rCmJ7aKHOcPir253tJhxyJPtDyH0UHsWdlaYREKARUNUNf9shjis5iOKan
xU8pDbP5MXRue3HQys7hGIqL6Wn3N4kLqCVhMr+4PEi/AggVDmQTmRB5y/fCSYAx+1VLrVMDkPRr
TvpIrZFKKRkIAgPsB780ccWtQVkRNTuHzhRZfl/3vffhdnH8PWfQcWAh1JT9WDmztVXHNa0BMD8y
ez7Mo9PXa/rN/ffJUvKT3SW5SsuK6e4NVWGNK/iBWHOrVuHuXdWQcB5RTaul5Gd2xkPulS4ZcLtx
Nhpz+GakA4qHAKcn0BiS2iIIz1VfvfUFSlcJ2nwDoKViKEs92I6DAeopJgavP02xI5+gTMcDgjyd
WOsiJB+HUm8oWNL5nuHI1Gw7ZTA5LoT/qxatfSpj3OLYRjCkkbNGpK8NQ9LqbH3UMqxfgIM4P7n9
BvkdV6sq2gZUIDF+wHBCJQpZmm9fGin5sM6D3w2gw7+ZtoyIYeNDIN6XRaHexCOgd4JPHfLKMNhL
GV5fUDpiYgzFctphyD11veO8DW3NO4r+rpKDEAPytYMX767JTcQEesbYLtngre8mQ5tinf5f7J3J
buRKmqVfpR+geGEkzTgAjV747C4pXLNC2hAaOc80Tk/fHz2jUXmB6uyqRe9qkYkbiJDCw0W34fzn
fCfDY9MU/UyIUo5nJ+bCukHh6rcRjj6EgsiFWJ0yYDgRnDQ+grjR3ipWEmNo2nhiXam0e7Nxmix9
lLHxFjKCc9Z2OyXMSG1WAR9D2LAyZ8N8KOAryUPYYxJho5qHpwFTPJsxfMn2SM7WJl1PyS439SRZ
WpRtYd8LZrLeLiPdjzA7ZzWaJSnAIyYE9ysPaKQeYeYskPVNU1f+2u5MZ6d6Gb0Mo4XGToUJskAA
izfNW6KuYmqwdo/gEqAWMeztTONzMsPqVag18AJgQpJxVoKwxvzTyzFwG9OqDfCe6JlGuxFB46wT
ht2I8dEmt3uxIoQMPW0sDqGP3rzCBiLvEnRU/KEFAL+2ybYufdVsuT2gyUBBAHG1N+88kvz+bJkv
PIn2z0A/+rbpY1z+aHX+raub5jqJxoFKvCRz72f8J1C5Oj96MCYzvyFlyfvHh+J5JIVGxtXGnLj3
2mR6CaTXPgIEjwTdlArViw4u6nhMqlp+fE6DnzLqC6hmXhthHrTxo6+pdPN+bK/tG1BCUfQoq6lk
i4UlcTO0NnZQa0HCwElF5KDFC0aqqafhJzZc+iTmOn8YZhYVzGlBxcAqBwC3orwQRSboutHCq26P
JNXTcTrRd0r+p8aiwT2AnRaaFAKGkpMdsY0VdfYr5zTP8BxXuzgqIs3b0GRQVKX0eJZ0KG5ntCtU
K3eGmV+DRh7gca5LP7GJodV6ELRiOcYpzYKe/X6KKThwI0YfJalCOFkBleZYBBelDoA+RvnSrDNy
YDNzzFUMFwDPrZx4a11ZPpldnu8qRBoHPbkSV+OM1ZUg8RIuw46RvRDmpOQuJ4D8nbrARVe1G3Aq
wnHMEdFkotnBKLbKZ6Ht7HGAp/hl5WF5ICQ3Vkcd8xkljcE1j+kvfem4/MWOa6w6D1MKZMk2iozi
i1CYVz5Kd7HymekzfqR60sYfg6l7xbwL2IAsy/qu8YYElE/OY0i/5MwBWxtcc1rZiFtaXGvzinrH
Dst1I8WjWzTYqYzsm/D86KKneQwRGpMaj1Wf07JzUE5onhzINIDxe46QUTf4AGtyT5xIhPPABXzy
j12imtvWDqkVl6nEdCAV17x+rABHWFIcBy9E4jbK5MtxWyRRmyKmK27J6s5JiivTA7k71OUxt6z5
1xilT0uL3Kbj8rUtEa0L+oPIqBvdxjJDazVYzrnlA3CODRrMoVRXWOOk4N7A8aMp+xYusdulWw2S
FmNDnGwinekVHFexS+0m3he1WdwNssuBLjblpjM5NS66dBPw10wyuy4LM95id4a0NI0cLsbEOdNM
TkVPmR1oKTXXCefLsE2HW+otxLPAj0rMkMT8Jm/aF5Ro7Mqx5dz3DoRG4uBQ4Irx7EbGOJDw1s6h
lKN/DNyADOjA8AmqmeELioXr+Ao0FlHYJvYgLzdZQXNb6Z/mvhkkAqmP/Z3F+9tr3X3tifanmqL0
NuzxcnY9GKUS3+nJjSz7twVN8ctjA127vEG6yUr+iNQ43KuYHr4t3zE1bmfHdt31aFcjJ96orR7z
phMHqw68ajXQhvq4MEZovcH+0jPoPsDo7J8qt07fAi1m3I5ighSu3aJ9o68pX3KEMeaAIgAhuG+S
dPBYSbFbd7EMCW/rKvsipIF7xIw4WeL2ZQNLRpPhl4lXaNhlPafJNPH8O9+UHu1UXq13Wg0MHyHA
032nKWSntJlZt9yky55ZefQDruzKY6HyGHGkG85I7QlgJctOx0t77RxwGZsRSVlsmJXyUOC7nRX8
WK4JuzKxC3hbZSvTNQNSJtYg4Zk6uoP5XakYc7Vk1DptPFyBR7/3R/+Q1wxH1iD7OEQPduZ8e6Gd
bWKUnKt2aIdfE94Ndy1ExMFUmwkkqVx25UqGdXyHLFAeOm3b97ITJJtDT7AkBp4z4LmZw2ldVW3Z
Mnt0JwV0BVo89gwCOOTtLXGtm6o6ZB3D+1XnRWQ3S4P6L0jSXrf/b330P6ePykW1/Bf66HdDp9/f
xdHLl/wRR92/GLVQv2TCmKEv759Ck8Qp0SO5UJrKsuU/U6VM6y9XcHvxJZkI1/EVdU1/xFHvLwtB
FXHUtPhervVfLHlwqK74mzwKucpRphLEOhEabSBVfxMpfQ1HI01Nis3xgjhByZlMl9CX1xjN9HWR
oF+B9LOuHHsuD8T1uiO9n2m29nK/AlVndC9y4CSJsSFKfhOuGxQPelEes8Aki+F7qcc4GEFrF6re
O4uIWp1j7zhDfN2ouvyUs9JXbYG+d9LCQV7QZax7ECYBwwMJCTLddqyE8ALjiga3hBscwzr86TD4
VQ4hz3OYktlJg/UYFHu9mhgs4uFCXXsiPpSkWyq3YafMIria27rRwPiF81LPg0WE2vIe28gYzqDt
YZj3i8RHc1V46k3PIT+VRq238ujpPGGwnn+1xYBxMDMEJoueaVx/sjhBiu3QBI1xcqbIehAFl6hd
mvpxRv0DWXoMXCYSLXYg+qRkGo3BOXLx02KKnxlMUl8Be7WFNz2cSay7LYMa2VFpCLwlo1sqlS4h
B3OErsQxQqzjJK9+alJS1xAwYrC28dRc0w4lFJUT0OLXjr3csCW9Uxy9AJxDrLXiaMdpK+ugL3bs
SIMPYB9QYJV+pkAhq+Nk6qzcTC1JnrUEzvpbcOY8p0YATalw5SNXif4wBcGEK3ryb61haWWO/aQZ
t20ryifLtiF3wXMag70TNumpakYRcgNrxmdRpe4dKp3zybJmx1sN6Y6eED3y1nihN3MdT5xsq1Vr
vdQ61i8cDCSRikzSiuzBPNOk9d36CnhQ8SDxBpJa9GosFBUn9OEoxy6aqBSn0Se6LJzqsojqZT2l
W7g8qGWNbS/Lbb+svOwsLMJ1tGjHqW8Nv2DTR5yiWK9DbTrf8rKIB7PihIRGw+JOusI/yt5Ipk19
Wf71shPIZU+oL9tD7ggbb9Hs5yOW+WULIcbAdjJdtpbpss3oy5aDOdp9rS8bERe5Fl/QPKZoU8tW
VV+2LVE1+se5bGZ8iwJ78GWToyuYMgVr2fuCyzYo7CK4y5e90bpsk0hufAaHy/bJjIOtNLTYVZdG
uy992WoRsQAxBUo3GxRENJHVICMvXfGJzh98P2Yux+0DLnGf5dbFuQfwqQLckLl63Ba6GVwya45f
XQkL2UC7MKOIYyQH0YrkubAGsZfFNG9d3FPXod9mXJnZ+OvRIgEXp4M73Ex+0Zl3ZhOXz80AhLgH
a0DceNBrMhtVcpJ+jsuf1rYua6d+nwRoFse84UnBOKFuhPawvHReIQb+AooTyIbiSPmwKUW/tnqM
oGsmDPSIGVaQTs9KeiRX6wnef7iy8bSmu16LjLhuQ4/fUqWbxh+BUUf3gy6cjzQbICVxMK+jI1am
Yj7HFHTR3sZHRu98VcFW59Q6cu2D/W97Rwfm9XyGajRBATOM5LmbOhfN2e4UJ5SRuwLw0cjSLlzV
iWV+FbQRajxNK+Chjbp+L8fqqiC/ub0Me9EsVojiNhdnDedVKf61q39Tlc9It9KUHJDSum2tvtub
VZX+9/DzP9Xl5ErTFhbVCZbt8B+8vf9yFHr9/vWe/q3P6T/8Bn9oCbQxWew+jun4F2wkO+sfWoL1
l2Ig6tDUJPkPC57An6GoDUfBpR/nT+uT5/Jbf/Z924JAicEFc6zts4jL/1KNr6cWfum/j0VJBEmX
gSP/+/t+L7OuZLfvokM2uPmOJY9ESlIxcAByndekEH2UTdcovL22m5ZOPmizpUUqf9U7aJsIvlAH
Cm9i83XHrHmmZYfwqu9NtH7nC0SfHFK1a9KcLHI81D6I26S9c1MhCUxhrCUr4M4lMlcVhoC4KmjW
2xbYcLlqk9oKP4iDGtWxL0t5gw3KPmWjObz3wVQQ4kxVu21kUu3LvKArZ1axH66zvnUEN2fHeWum
FDXaLv2ReiZB+GxlZVlfE/YyYC/XaHjJBhhDUp8Sz4nvxspV4TqZm/pRoew+4HIZoafjrViPU+O8
WlNK98hoAtMdeyvt18j3WbaDiRQ5SMuReK2TKSX0axsUt/pp596PRNBQLRK7/0yUMaJt5/JEi094
rzACbmsvth4slegXCgHVLYGm/B4Ps7OneMU/wHya970YyWEYjhtc9wy1N+gt9dYOAVlZzmB4rGFN
rlnddfTpA6jEHZS1kb/NMHgAEE+H+aoyHGQjOjAfBDOC73jI0VSCsMKBaKXy7C91PNuoTYJmTa4w
fIKM39O5rPPuNqp8wW0lGYcVwEXGCJqo4D7NYroEk7AfnqCWGs/E3iKgm4MrnjxtRiyITj2l2xjH
7y0BQOsjMYd638wezcJWl1IfRVzjFt8N1WFlVeTuNq/gwJAt7ohWRA0Kp90UBxeHb3skIYB1NzWL
7g2/sNFQ6KHb7zAPxkfVlwMZfnDFiJyMNtduoL2bsmocVJeyyDIUAmnt05p69LPydVZvuwlY9Bqa
E+G8ycjK+AaS98jiP9Wl3MJHMOwd8ET3uwDUJzd49FWwrpICSAcFZplJNRMtCYA3m+qNwU30W1gV
qL9F1jvnCugHAI18wuxOYchwUAWRtzVvLOD8WOZcQ9nxeZ02fxGtyGqK7hVSd8O7T4Qxb+3gJ04q
dzo1mRV8p4HTHbyk1uZnlfXoRFDPzH5v58HMIzWqrtyBGYvKW7AI5rX2o2VMCiTtCOGt/cRTPG6N
piKEKpCvP2mFaY1rIvplin9L+2+ynOfkFjIPJ1s5BuqY4IN7qrtQfk1qjl/HMA0wpPuQ8DdgurO1
SQPILhFGKjEcFcOxijD1cRp1GN7HBrjbxZWfIbaVKVzCnkY1CtjEBBkBt9C33zeORQDaN7eAThjS
92Pn3gkdtBz/+7ZfZRwCHwwc5h/IPu1LkkTilxznead025UMtkbHW1WNT6QT0tLL0CjkKzXQdTKb
9Q4PvnC2o5dUWGj7oN/mFlCClVFGcmtVBYlogwjjciqFMTaBBgfknwJjhswO3j8JZHkkJDVaVEKS
7FQ8lbjNxUAcJlIMEZmQOFuoqT1KbDYukQDt+mvu1aSf02y6Z/OPqHUOyiqA6D2N+zo0FDtzJkh5
pkNBbFybr42fzl+d0YYOiDUBoDTvDBJZUXjjgymli7mU7v2QV/FDTyMYWm3vmEcxOPNBEqe+j72h
P7eh5XTLsJ3iq1JTHlVG7rYnHLijiix47DRLDn3O4UwyaSA2pvwKqaoTXC5mBJO3Ih7KM7c4tW1r
iHQJlrejDpr5S082dtAJldXcp2lpuygKCxwGQTOyuUGgfVdgal6ZXlgD3Q4mhglFBHbFGt498dPh
UiKm0IRwQbC8h4o3nQw1DrRleC3clNJLyk0QG7RbitYeaGjh2PmRKQZWyE48hLXQPvPloU7ezFJW
v1U9DP6qrhvmsZaW0Imlw2h+TTKEzEnnNnO8xyFYPbeJmaT3dLeBc+8YBtx6oZAYKI1CWFdRwjxt
0/P2L2fRbimBr7gTHqwMT96xEVNrn6u6am4AaTK1GlBO8eRh7PjV1G72MUZh9BMZqIBVK+LH0KJx
YOWTwmPkwXhqn9RBQntJWFK9x0SqwnjvxgfAsJpa9LIeT8yrsP3bU5CdNDSBea04UFNsWHblL5FY
fbsxw5YUoxeMt0NFBxYZACPd93lElokGZYzRmljOmJtq3NW2nVwz06FrwAJ0cOAyEO378dzokcLy
qGyXzCEY3+spqZju5zgQV6KWgqAzQesPZLliKzL7ahhjCOm09PJVJa/wrird9oUoyHDCQy9sGNEd
18YWTyp2i0HEm5C+6BMfGwWwJV0ggNxKEfs8fPrZ7IAnyl5Rjf2rbhm2J2lNVCkq/OwU2QNmYDNp
6nQTk55EhZ3ngnVIGfvGvIdYcWeZJZk80c9fGbsBGzWAhazIiPnP5Ui1euCtZdF29wWwgR/J5rO3
w84+2b7z7jaDs5lJdB3mwQ4PFtCOJ3tU9oFCK5ePbgbFp/NM+U3LbdCvy6z3b7Vp2jtO95p2Zter
TmbQ5VvQm/oQ+OZcr2yM9M1miJPxGtZNRy9wifDaB+lNpljIt8lQ1BVpTMKVWAFMA7ajYwYkVphT
7xmrcLuf4zo9zjFRNyuR2Yk6IPvaYxx+NfuxvNJkzkg0Vrr97fOcbVoA8p/OFBBJdgpZn2WeefdM
56FMd11hAiGmYxD/jvWFs9XaBGAU7sgZcbXI5lgy5A7lQaiuehIFuaRB8+Mv/Tr6DYbW5ToNwQa5
0MHjBWLC/VWkPrfeuMOm04CoX0NWqN46nBPruauxBFtt+zmGZnXrdM54UzQJ2AKq08JfrWrdrQ2h
e494EcPvhJHXceay3Ld8tum1LnU2PjkyZhyvQJ58B1EdnfPAsK8TXVGWtaRt6Xbhos4GWmr92svJ
3bpkHx4MuQzIahGEry6DHuqB4n58Mxi1vKVaMv1NumQk+Jw4+4i40tkXjn3yxwGjHnOzWzdspw+u
X3TuzNhKOJ7FDQU5feN1j0Du8DYl7aDgEYYwHlaOmqY7L2y8HRLq8DxLx9lhb8vffcvhqAFHHKhA
1wZDtwoa8utrq7bDPT+q4doMQ0yC1DM3d2C9nHoxl3BF7uaMlcqigibbVpCRaTJKDF3udQcN+1ih
mIeYe0io7DIzMn+1VSVfLHfoua23Ip3IfuYAMbBBhHgSrMa7ikN3ZuQmx7ZjfuNj8WUCArtEI9qT
rJ+G5nWAoZJsGsKPjKfnLLiJHcsmKNk50ZEnxJ/XpRV37yGeKiYiyjPv097l/acogfkL6XV9sMY8
e5Yyqu+rGh4U4bNFJZnAPnF5hpZrCfcqbpV3XqLH37FZe0hTQFNxKisA6rRM4MglPtUoWu00RrZ4
4kiwGpo2KrawVioYJwZXmFtP5fiTh17Jg5tZJR4YCjY8treC+RS88a6/sWKAZhSvEHhbE+Jy947Z
efcZuIx6M/uDN69KP5M/CdYbtSl8w3zylTG9EwsSXx6SnIYtPLOTA1LvNIdVwOzMyeuxoro1qbZA
QKJ1JLPwxyIld9/NQM4mH/TAjjMmopP0YuaFZXOnvaKFWdiwRHEXd+AOxTw4cjStLYgh1D+BLxK3
eBu8+0NtMXbmiLHl1IvLp8nhcW3HyqG5Iwgz4yfT+cwZTTdHHxAksKYeSDluPXqd8L+SeGdf3vBk
M54HklS+2+DorNukB9ce9M644lcj7oSMaF5RlQPwqwqBccVThec6r6NbOLnyaKdeeE5FnjOIcrAo
cQOy6nnV2APTa5dvGT4lseQ1mY0NPWBwvXZT+0H2U9Ixdw9iDvdDxuhyA42WoWxC5haJhx9yMxqH
zm4WGdiukL8EJ8DVhOxIRqzrtnoWPItVnBJ6EmH1HmVGc5WOM8aD0ZxnZA7T/5kkTd37wMjd8cZM
YuOxNzD8rbwIinEIWYIrGXdOaw8cIDhRrd18Ehvj0DxLM6T2Zum1sq3Yv/KWsquqW5w6ePTtvTBa
Tee7m+yQUsZt2EBNcy7lWcXSoyWTKFkZgm4tn4nXSi99W7xoeQKeJX5zDqi3PhmvXXqp6FJdxqx9
IBW68uGK4OsBMzUmqb7HZUmuLr9UfwWXFjCyn3fQ+7OtWfmMQpXnw17JaQ7jBBds4Yx8cE719zg7
KQ/T8I+k74dvVpN3H9OliMyIzWATLu1kYVu6d7jnWgyvMk9Ow9JjNhs5vYIh3WYjGZYp6sxXU2TR
nYppQOut0aW0wVE0o9b9cJBVFl5BQk153+lP86IMJNDoxmpfpgIBtZkxEFFF5iwndNx8EWZOGBlS
4vLrwoTT7NLWhuTmH2KOpVTRL2VuQ5HR69bbXI6bPufseil+C+05O5aXOjixNMORq8RvsVTGOUt5
nJwvNXKtcVu2VMuR0sHpES6Fczj4MP2x8lrwERh3uks1HR+94DWCpcLSFmjo634Ys7ropdkuK0T+
C9EyOtlB5Nz20lokWs+b4pXtCMr4DFsfoqUuj47EESGtSJJzk0FS2iiRG5toKdlDA56A9S/Ve5OV
xU9MePtbYu/qk8+ueWtGS1nfUtvX+OTSoLpMzPWNQZovVldyqjfT5KhqJ7lxhcDoSjhHrvOO9SrW
+tISSGFgVuhoo5cSwcCrwa4uxYJW5ZD8zOR4ZSy1g6nLNwF+S16Zd7x0tgrI40vDVkdydqizHZEo
vqfosgfCvd5jF2kDcLSuLCjs0QC8JU2qdQRp5abEW70EcZkooIFHxaOZm8nOkT1ECmn9uFwG2ZUx
JrTMMo3uepKj+7xsn9s+xQ13n2EAIYLM8GUTznXpYRsqO7Ik47T+Ny7nGa5iOzvYk+JEkzUjcVOH
5DaQnUidZ7YUTXNiggfk/8sccf9dLs0t7f9c4K6fZTU1Mbbn//X3X7b/+HX4XS6FL3/7BcA2KGl3
+ruZ7r8Jh/Kl/3DuL3/yP/ubfypk/l+F8L7j/UvZ8Ob9K5re/8d/VAf/jy/9IxhafyHTSUaEDOOY
B3m07/4RDIlRIFQuWYkLXPXfBUPL+esyU0RJlIKmMZ8X8kcwtEy0RIf6GcdxbeXZNBj9n/fg9h9C
IG/f/zXNYAJm/ptiSAxhkSxZm8lSuPCOlqabf44zxCZdYjOHy91SQC03osE+arZNdEb8Fs9wdcwX
rw49irvY/K5jnIPmCS2wO3ocrh8KacXnpqY9j3bVSX6pOPUfZ6CtNG+V3HGvsRTo6DkMy2BaGXBD
nql/wQNdWdZmNGyBZTy7h8kzPrmqVLCGdX+uCvGMj2s0sL4QdlNV/hjOBbw45dpnWA3JweLcgZUb
wEQT5vo2T4HmIEAqmoXbrMsrMpEE1Tpr6mB+Ty0Tkg750xMmqHoMbRNk04BmlCR2spJpX31fjE4+
3/d+y+rnRHP+UAkPM0ESN/1DbpY5zgw54Oj2sdgx4ZJW1B+tEBFyBX6g+jIMT0/EssCMruycacM1
93ffP/WB5brEDaTV3E1TWn1JQp/xnkRY2j8DtPO/uEaNH7NJDezBavya0miXqRPIJcPZxb6PFdhw
KBE7E64thtMMyuqnC1wunSNDszeQiOZj6VigKZvAu7MkZoIhSSDJ27ZxqoyoEvsy85wPPoeyP9rc
mVmCA0iAqyxyxLyKRlJ7Tt+UOzMJ6YpgDIWAwXDiUQIneeXKCjKsNprPUbTuL9COHPVbrybJB4Mb
OiLMiisXNXAPMXvwViC78z3viiRuojLab9u65+4fV/NB9Skda2YXXtuUE6VvYByc+4SDILMfbjx0
wjC1YuckEQcbKltVwYRZRHDWX1eaMxGVyCzSNgMukIyWtU+KgQxMlYTXskg/dc7TQlQupUwZaux6
jsPkwWshSbVkQlYi49+NFxcGBplgQPFyLN/FAnJvYeP/hFnuvcgGLy7qWJvab1GFqRZfPwcvPS6g
EoEJvjcOyajCDSUf8V4kME43Xe7HV06X31d2EhM0aaJrpSZ157rKf22aLL4JMfo52wwcyL7uXA+L
iEV8IhVG9ps5qtYrw1K0MTtIseHalVYerzRk8JTzbjYiwkVZUp3awjb2rjfjxZ+ysL1GBY6JXRb3
FG6KbVyast7LpLNWOGceKfHoXxvp0thWYYVac+pWEYljSqN2Xhl4yA0BeXOChDoCWVRG8ToeI8An
2FoT8jvMX4ejcFEUV4OebY9htogBzloeZw6KNqPf7QCCC8tpiHSJwNSP1/UE/G4TpQM9etQvQEkA
OGDVa4bw5hlIouniykd6p6eFulwmxEBY90Gu5QvEptr4pWQbNWAm4kjvOKOTbJZ9a03r1BlstSPo
OolNMvKDBkxa0ATEYTIsxl+ydkN9Q28ytcEmR2/Czz5/6j7yBvouJjcwh5eOp8tbCVSecReEhsc1
a8BitC4mJMBVNQ/YdCKkCpFk6kjULawf0rYESkDFgJ98D/1UXfdUxvLBZlhY0H9uZs/c17S1pkYn
/c6Gzm9wWQRNBXKnNjhVKzejFVzMmKlaz2DgX2gz6GEZZD+cUmrSqPYQboOkStsjTyYeyyrGz2/6
jSRPSc60KEicOsYIKVj6rh+ftFTNh+1nDfjPiBwDxi5kOuJTMYvEaD0VDvnWGt6NwGBpyh33CSx9
oqrD9XLRZu6Im3c9m75CeFA5QVlKGAnNskDSlaATXZdr/on5xrxEbNPIJpaRjSksl6RohldCnt5N
T/jmpQQJhhpB2Bo/PKldfIUkrLArjVvWodDYjK0/HLj1DTe9X/u39AVgOvGWHHBiOOOdAqqzllFh
3ed9QVXCQNCL8NYSIQ6wbXNaYjJ0NOspvurI464X9u+jWVj2S07WYsfdB/f9EkjW8YDbEjQDYeVx
yS2PYZ+RyQI4zaXVAJSFDUHvxaT966rsjDXNnLR/pSVjlkgW1dlAvHjHhD++ETGTz8RX06Oj+2Qn
mj64Z7eMvX1tuu0jeLfxA86N/CImNjwOTU44XhUPPssSJb+160NH7cuHBEc1fDFSaqe6xj66xwkU
HmC32AD/erXv6WuM10p2PdBeRtXRzsv6uSE977yGNIDWG73EytMlYO4TxloVMcRrEfhiUZDyN9fN
iYGVeH4GEiba3gJS9jZEAcoDo6CSix4hPXVJuNdlx5lyMvkHI1pgcKMw41oHiR2trQJV6HrKbaD+
LdnbpzobMpdgVr7k3vpKHisJpCpNI+L45SWaz8wtflPI9TDRJvsmqVP/XFzi/CQzP9mam+t5yfpT
8YG9clgIANWYhlc5ZTJEGgFH3qsFFpDH1jJ0kb1/5rUwCBqoKSabjN1UDxS3Wi5DesYpcAgCiASt
m3zDLMueKF0EqhrkcfeLn17xKhBRNgxOqHBvOu5IFvM/MG1fZM3m2wgv9y9OLiP6bpETL8DpVPtG
HB2LkmkRbUlQZCmj4fPmLpjdBdEgqsVmkWt/ujPhHVQPdLsbJws+wxtMdh6wUGqw4cADc29DPWc/
EOFouw+n7iUhsKq/G0H02UcVFenvcgjD8DzJDpuxSGTxUS5UisBGJlmRMsdS1F7gFYSB/GTXh737
4MsJt76tFgAREzCQtKrk/zmxM2Xiu7GYCcN1e1yvMWx0q+Y306BTdzKhBVUNLSszP1zzmXRg0W07
4jcQhSJmuRUHM2ayaoz30zx0PwuEpl7BtWcHWxAfaoF9UHNeXQ8LAEQtKJC0LPuZkBTz0I3K+uQJ
5mWxjxaISLzgRKBVUWTdXJBKTZzhZ6cnFuxvy2aDz7Zv127a8wr7iN9cenv9Q5PkLbGKyZ7f6wvn
pB5tVJ8FftK1o0ture1pHg89SZWWNS5eV6Tl5oofPBq1xZcX6zqvQK7gpSpA83jzPQfTiDB9CFIS
qlRI4lBnjDb5nuHe8pPyzacsis+bXQw7LDuxiWeqp0RM1dVrUXbQWDBZFe+ENtWVZObybmvdbvsA
nYcDnhFchSWIjVVl4nt2eUnbkDVzWieeKF86L6w/Z1HWAA1LV/2KmS5RdoHD7j4qp3FJQRWPpa95
bU1T4qn24j6Gdc8gFHJPaG8tGZa3rPrTpoGYOh847KD5C5TTpwB0DuvOwDLZWj51t7lvUk2P9pIy
NU6KfG2PU/3mxQlbjUcBwrnJa2gVlR71e9eVautegD55naZnGx1SoolAKIDwQ2kDaRwknK4xcaO0
mHefwrnzH1GXUm/NTYCI8hSJA3WMVP2NYCZ+C1/10UM6av+2luQPmTdBJyKXw/axxOtIj7Ez0703
qVOUlXSsxNyvAX/ZBtQNrNCLfECqUMR+v1ddJ9uVMhv3Lp4TGFBeMVgPDrvOpnJC/RwBKnyAJeTd
DhckU0Tk6C6zOtXvhD8rxosgKmA7YVGHAdOHzkPv+PE56WdAiIBvp7Oy6/QT35h9zzCI2a1zAUfF
RHW3DACNL1Y8tKasdZj3e8k3vu9qYSqoJzxhMKdaYTj3YgFRUe1GmMuP7HjNyJgGr2EiURc5pfua
uv18m4vG+Ci9PHkQF7yV1YLLLRi1/dBBGlfXM7JQQBmjyr9s7GzP8zBOh2zOwFTjpI83XP1FshYX
ppaDxXfaxAWr0KGuc+fAZAYuTzhlPZJn1e6xa3RXOVrHGlC/ICaqKntrTrrR6wIvxEmkOVBwBv7T
y7zAv8ooQWx0yZ252CrjEYGsrCB8pvRtGmHcbOF+0V8Ztgyncv0bDAsG/4U7Riml5oVY9VuwUMnY
mqrTGGGLipuKlUeGQEpxjG0V7e3UZS90M8HiRXQherZAoaxkQz6BpxBbG1i00pWH1rGb40hhGjaJ
LttJIxr33hBBiSbz/R0sVDWS76x/E/X1q2bkdohtAi9Ix4iCIwLz6LF3foV+Wd6OhYqOdVK1O9wb
xcFsKf+uQ1d/DgvWzTUmhkw4JJhC04b9iPM63Dl44w9URYVvHGdagiPRfVywNLdAnjnMuRjz0WZW
bl8GV5Xq433lNzCBQ91ek71ipwayxxhp+OT20FG7QFfzip2Y6XsxILsAYh6YJTGuB+niveF1McMN
bMbuNPCArA1jaq6aGgANVQfJyW/T/h0Dxdd84eRlMli2U25jFVP/ozM1DZlNa95zBQp3MNa41cZM
Qm9o2im2kavsdV2gg9JYbO1oCHTuulww2KnpfLpyAJZdA5nD+GlUdbLxVCPOasYKkxmwkO0yeOSx
v3NkeNWPmt7EQZIKRAX3VDaTDEOSbeEfrfhxkpZKQ8rh6jmJwHd2RbpOoNs8E0Ektxgyu+D2yajX
L+onB1ntPQY2ectUF3SNwE50M82Oe3AsKrDKQPnIvGMrWd4W1qED9DCt2uac4qmEFN4d9IJGJPmJ
1M9QU79x6gTalCr1u53K/qOa25t8oSy2GZBNSslAL0JXDT8I+YmPkOPGmjjc/2bvTHbkRtIt/SqN
3jNBmtE4LHrjs3vMgxQhbYiQQiKN82wkn74/etatm1VAF24t7qZxd4VKpJCKcDez/z/nfKc6zCut
kYfecjOuBEcMoMMLTFLuuaBRcAPEcGgoHgNs11IwXSyFuK8837z2Pm9zXLI9mS+w6N/IRADRd8S4
L4uBLf0sux9BScA8D/3pRoWReYlilTPn9PbBwNg+tZgmDtJyvLegbBD0SjxQ425sx8Xe8xp5zPk0
NntkM8SsanAKiNQNFpMqG0oC+MLvucKdBk4fUxvTsCVR8goeT7vEQir1c0Lwr348BRO+m7JkMumR
z3tuk89WWEaySyymU7ro8juodNYTgxSk230rrePHIq3trxHuJZ7f2J5IQYjvgkYO2JC580l7VUVU
zs0LnLf8Hs4D082B8j4GCX+Z9NesmYwiGF0LIll1V5anKYbyWcekcfZB3iwAbGt19tkAnSe8KcwL
kywfyRkK77QuSD5iZTlsLhc8lO44gbKUbs8dRq+P9eJ0AN16M4KrBNn/kuR+/8GSlwOgc4qTUPp7
m1J7IKlpLff5EGc727BnYa7LibFHlXoFN9rjZl7gLcfUfHWkNVqAzkCGF/8ImEdaBzlZaU9khHTe
V6xIwj7W3JqSlF++PhnjW2NoVjRtyg+iDwfoFh1QiE06hvbv2p6G+4AGtzcbTBCe7VlGJOJ6P33X
pW4vbHBKbJ/wzajMgPJxsfxUFq9mraTFFDt6twXdo90NyH46/5ZkLvbaWAa2Pn3PPW0+YdEU4b5h
fDtKlnM+J5K2DagftdwxdLbfqQldqoMxmI6yuDNwPaX1WgdRcAv1tdvyhKQ3dqBbka+cbu858j14
eUORPuCAcX/m6RC8sZkhtsh9xEu6Vscyy+t7/CTNT7eNacnDbSdvJ5wVBydM8s8UlHB0aoJUUz2d
tJAiHEhS7HbColWITywMiOGItt96wBIdtMva3KUZdl3GwiFmH5GT190EROpJ23XlYDY1yoEiJLoy
pPJkdYojZPF179JkpncY/4w8dUxi6YE4TJAfR3+0d22mekCkWJ/eZdSsT2X4vdw59E++QvkmwR+x
sXwoGV/4f4uWwz0p+GBuuKcz79IQ+/mIrc7dtAMcr21Gxo4XDlfU7JO522A6ny4mrFeLsFO/eYUT
vC90vk+AQRLUjyCXM2E6spVbQ7z1EMzUUB50jgrISzw/jEtNXCKah47xjo6WBn9ZjxqqkiD+7oLa
Ppbe4FENWQbUFoGksw494fSd0gHaBfsPC6psnt3QmrOiV3nzvKed1YGZ9QZ88Y0nHwsMpacc1DDV
jb3Mn0srb04mkoRi8ZA141aEMdWa4COQOdM1MkeDBl+SQqLL7kdq4JpjJArKRTamj4r6nIZtNOAn
cdIjKrI74d2Jpm/ENqj7IyjZfR1mcqg0Ek8EHo2/ZspFhshKe+fMAm0kQ/wx5InzGvgBwUi3B9sY
VbBsb7xuxOhEFiT9EMQg2FvoyXIO+Iio4CxGMDyX0B+Wt7QcGLr4eNI1mMWTr5yNa09kkqElHIsS
rjoLEfqqUJRLOC92/gnHRNzh5sGPkWdrbKvo/NZ70EPc41hU6VtjbKD7wxyB5jBLQBo5s3xEK/gg
tFUZPiqXfo7AwvctYttmGOPwtdAt0/wkOH4Auqc/kOJJZwxCNOKWcwIJixBmzQc0o1/1HEwN7Vsx
zC4sN8U4LDtcJf7PFtP9F1ikCcOYLvhQZ4KV3kbToEQTJSUEOHnwAO2zoSUATZpQxh+Iev7NJFp2
pSQtgvt00nAx0HwaDuw0pgwBLxnmoawkR0cjRk/ALC+dlWyWwKvdjXqs79MiX52c5Gu/eVFKKwiG
gG98k1px29r2cIzruBtua1vgeDOWL8OdJbsVfKnT5DCJtckoikrIElxLnCtTOeXFF7ytLpzUakGe
HvrG29JEpdyN5YXm6HpARizREWUea3u+pROCZAhTpBVv63ZqCOnmVZ7uRaKXJ0KFWX2En1IS5c1C
RGp0z2E/UqZ5ZyBsmm3bQ0Zt7JS4isH/zoFqh72LFYz/hg0MjoOFV2m4nQ0gxK2FXLts87lmj6Zb
m2VS53ucAwsNIvfd0oOFzbnZGMHgdOyiNCXpFEiakXGqxUSVbBOzLJor/oNja+qiu24oVXTIC+f3
mFnBcxv4DpvHFHCIa1U9clmS0g+vkrzOV3MM+PSOYzPeeH1jPSG2LsFXoRfaXrxRM8CkfcPl4ozW
gbHe1b9d4hLfcx5kinoDoZHrAhf4fakaait9/ZyB2jnRYpqMh4QSk681YcmbZR7jr7S58ZImNJ8+
5k3+Xlsy2lfa97NzyiWypzOEdHHTj9FumKLyA0HH+qx0Pb+mSO3IpdVaWAF6p59vcq7CFjJ/Xtwz
Q07BiSQSu+xsDH/ymGt/2GlQfFnsCX9zBRGJ9K2VXCwHsWnbV+vfCMeaRKX1iLsmufvLsRqDMXGW
h4mFwg0rHXebSjU8dvYs1gR4JR0Kucxyknxwn/vG1M/RQowlSZHmd4mIxUsLaB+BhwjjawZVa7pJ
mqE+LOxX4sNifDjFhdWxiXLqzlsOkQs25xTw8YVrVI2SvaVOTHrPsgGnDV5R7FE1VDDvRIGLRJ5J
+oAOqUw4IOmTl6RZu23xeH/QZr6XFrzm2k4hIjR4fH4iyECfCBvw+w3wce62NPFeMkYTYEkZkVhN
F8lrK5zglbco8BU7TCiBtZGiLJ5tTfOGWbb6TXMhb1HZsgfYBp1d/BJdGtDqIyGolN7Esp/oU7Ol
mRfjJQjCnBdl6xXH/xbl9f+79ktglQKt8v+d4Lz7SD7aj47O33+Icf7t3/t7moNGgtAm4aQC+x/E
WfEHAUr4do4KQMwRQPx7nEOIP2zB/0HMU8hwVVD/rs466g9inwp1VgpBp1Tg/lvqrK1WmNx/5jn4
s93AdX1HShl4NuGOf1JnBUPN1AuLaqq+FuPJQyPZQWDEO7wkFGGsL9ZtX/ihpPNgXSYHV3CAc2UI
WL6lcWmnfL6hGVfvBZ6w8J60FCYGbFHip2wQh4FGSBZcLs709kozyK9kAwof8/pJtVq/Wa7SMWsO
11RP1IXQT6JBlMEBckvia23pRQJwrMFumZI0CPDReTTK4QbHiBsWAgv2n1AQHs/A0SpVxo+YtJ3f
VClj1p8Qu7dNNoTnZmU+iAzAPEU4y4gakRhX8W10moxuxtrc2leQhFqZEnRl4nKlDSnYtaoao/vo
iqHg8razZ+gr75zUs3NkX8QF0/gCyo6J2BpNOtHtZpkInNy6o2RkKK9gDAHfqMXF1tHAQ1EaTIzA
KrwDPjS4GrNoeSKZMdUgq1H0URhQXbymk7eWLWcOsC4Y85MVUMl2aSfMgxsYHNw+q+Reb2ZajWFr
r6QQ0TsZ4W/bRfkj0oltLODZsmJGWEpVt04bJE/TCijpIJWotodZ0gEUHnY8vxVNL+ySmSGx0Idu
rvG4gD+Jx7h9jFgVV2eV13BTlitDBRqF+5zNPOLuVnE2gjA2uOGGFbFkCzkv1nQwlcfLJPJspg0X
J7Z1iX1wPFvbLK51aoEQvrXBYobjUMfReEcAYg63Sq/MmMAI9ViSojE0FEVdeYt7HADcGOZA7qi7
cU5w46DRdMD/wrONqlxjbirAyJCtGsY9dYUlzsWg73c40EW1jxfB/0YbAYHTSdr5DnOWjfnZnnEg
7QH5CtItfu0J8vX1RL43sXL0WFA79QrdAYsK7ihu288KX9B04VMHhdG+4nvGlpzsTq3+5KS1h3OM
jTBmueEvtIVbwVgw4LLSTqnN/FGHzjCdaLNj65+wIIN8FQp+YzO09Ys0PRWium6z2x4J8KnV/iPC
jfel69D7t33UWGfipsklMKRoWKcUNSuB1HkGGNJ9X2hGuglVdhorwRWLBhyIl6gdcWhj4evFq25j
ZGfHzrhPBrueX3Qpl88iKZa7Udmt2eaQVB1c4jF2sKnKhNmLcqnH02LHxR3NLW1/ooMWIclOx+Ib
q5DmIUx9u9m1YU2FW2SHVH9aSrqvhKZqgpaiwPwaWIHs91lWqltG80Tt6njmZQPOLXZuBsmZsOni
wr1ra5bGOzZ3M1poWujvfViJae/PyCqeQ9PW1qkZY3YV5gucmHb01cLQeqQ2APzjRGdJXuOyztuE
apPInd6Qkuk+4sqkbYhuoG9I23xvanreH+AB0rzmFtVNaefjK0kLGgrymf2JzsPpol1XPuJ1nvBe
hjI94YAq9qV28mKT2qMoToxj7henyLqbbjbxd5UJslRL3+fRE60oPogYCZ2HqiqeNWz5kh9TbbHL
Z4MHlI52sIGPR968aiLAZxgPLuTovKR0BA4iV3nke/lnrZL2ItsllMyhwfIVnmX5k3qWMSTEIqf4
SANdAEQq89H1c8O0NMbmPmkqQM+0LROciavcvNQGFzKdujOciwQARAf9rmhAsYiovow0jQ7HaZZ0
8nWLXae7TPIW31KQA2NP2U33NlI28gA3ogIUDY7JiSO//BIwSRJrnfiibPBH2rvIqpTaYYFDryus
WW5yDv2jag0fz+Rt0Zb9ox9yIj2iSiFSZe0hHBIerFhnkTWKAnsvw8MaI9fNyXM7xXeU+meOfcrl
L4RxQ+QOChXcreOSsRrdJnouZst+jWeGIlx5vO/2pXK02edUo695IZ9GNFsAuCAt6Vo37iLSD48a
+/EUa8y5d66Mli32bmxtqSOLPRso29ssrLwfI53Fr8Bkynw3xpPTc17osKIxE4FiE6qSNTLBR/Ml
JKlPUEPjUdx0/OTxBteu90TwxxJMFGVBgnko6xrI/kraECqpn3UjLC4ATMQYjWvtrR4GXhBnfI/U
24Yw9PYlp1m4dXw93WS9tk98mBcLoCHsVzyttd6OvA+6E3bLlmaVRoWnMk/1p0cp0RuB6+rJGntd
bKZGLz95c+btBgmJZp2JXU1F/5jui+04pMuZZsksO3WK5/1G67mZcQ4swt0EwfpDKOlPspmf0keq
c2ceCK2UH7xvV5xcWdavaz3PXWXXBoNPNuGZcDOO1nDAUrZh7VXcTx4Waskg/9XMoGeymfT1wbYg
1tI3FGAuDwZ6i7JwmV/ZZAaEKVIoTWszaFOfJm8IfvnGnU+sYp37yFDFiX3HEPKpFnwgm9KQ+9gF
IwBxB39J9EBhGgqIO6R1SLumB+nFMrRiWrINv+HlV0+psG6aq4/Gx1EzrNYa5+qyiVbDjeSQ20VX
Ew4A7ZWA9iNdDTq0XXi4QlbXDuYjHDyxWIK3frX1wPqjGWi1+gBrxPUDgjY728QNNpwxK8EGj9Ds
pphkDY0Mu7ktqC2ZmNmoBvAvTuPb4jiujqNi9R7lADpRA2MMSc3qTVor7JAeYQ5s/UZBnvOj5WI1
NEfTxIi3yb3anJLV8eSt3ievSpbTVNgD5FfE/01SG6i8hFGKYxpXLASC1UfVJ7G5sa7mKtsz/Z4Y
EpYrLNf+/bj6sEBYxZ+u8ZJvSTe/Wle7lrhat/zVxaVXP1dxtXZ5/jq1tpxFGMrlIsazW/beD7Rj
rAlOmQvrMmIVc1bPGMCL4MkVSwF6XTuvOejE70Qau+peps34G6Mk5rPYX41oXp9gSkuuBjUllmyL
jlYXe6x1WNgqN5t+xAJfG21LevxawbVcKySc6rNR0m6fzNUQRymiH17cq1FOhw4/xjgmv8qCGC+d
ZGtMY9fVYhdd7XYWzzlwc1cbXkkT2UtzNefpzAJEdrXsVVf7nsTIN3Y1TXGKfTTSbGjmJzL64Bzl
ktzBwdMn7AXYAZOp7Y+s+VASr3ZB302wDq6bC6SswOsf9dIm5wKSxaVMLU2kyMgHm4wF1NPeVPt+
IgpKSjDfYwiMuct5g3y2q4uRrCg5At+InY/9EccwjkfLohgd/RDF4ByUuVd+zFeDJAdt+Drr1P0c
xkbWm9hty4ch7JqvwwSKML1aLWU257edqPx8izUaW7PtOl893mr3Hb3jxzAfY9as17lSXWdMex03
KV6rm63MavcnF2S+48piMgUbLN/6qPsQ7JtwmI8582sssvo3zqXmzbnOtyyBmXVVNPDgsPRcfm3i
IX4117k48IIEhcdWL3ie18G5XodolCRqf6+Tde9iNHfXcdth7p54k384E03zAzN5ug7nlpCc/FQb
MLMjJDO/29dZPrvO9QVW7PReX+f98Dr7W9c9gLjuBNgIFD5n3rorsK97A72uEDq/kRNF0ywWuuuO
Qa/rBn3dPAiXqzzBefnczl38zGd/OS0jFD7yLlzzu3IZhkcdaHcbdrK+sfNOHsS67NBsPdzr/qNe
0WkJfaLq3KXdnLwV9HCikIka73dRt7wIF2k7d1RID4+umdiGpKQbhkGz10+mi12E1V7ahJmJx5KD
MpqmoA5AJpsVvw03MlHqvpnC/tlY0XKMEdHea362dL9PNChJr8wqbP2h5VGm6mq9t70EiyjoEusb
2J3BurCxByc9yML/YuQI0IImGUdui3aEwZsHPnteLtr72F2HMxKCGaH8MJxeaIyMcsp4wpRfoVq+
STYs3wX/FR5tRAn9jgE/73rnShRoV7aUSYgYGqd2iJtj27dfeeBywqYLqSC06OQSyWr6VUTNfPBm
Pz/TV7vo0xiS+WdoCKILyi0p8qqWu9xhnNnxyGC/mSwhS+clw4nFRhbsrShdV2xBcu2LvAGMFfIb
6+Fdyyzd82V2qKOhTe8HX1/vtsvynmgykRbNs6Ok8AHVtN6NSX4wduNLOnpU8SBsHkP7iNCHc6GQ
PvIOTMQ27ZraSpmqGG+8LUPucgzxln5XFPWytukH5lfWsO6K0IW4wqAUevOXluSeSypGIknorkw+
x6ZV5zEhGEwt+dqDoNpTVnPML0KSeVOQ645t1mPQKkmdFSqghpsqn6akxXvAEIUjtPvuWk30EPvY
xDynTTAYBni7YsIT2SFKc+9pafuquzQVHYS7Low8MuJxSattMbEYp/UPht2I/U5s8SBND0EdkCCJ
ex1+6lAGL6x/vySrmxiGgQd1k+Y6PrqLfwDQh08ts4PLjPiL76UhnsNO+pE8n70jgu+1aP0qz/ck
K7vnNjIOC6/BX90KuvuZ9uy5DyEZ7fbk9+VqIEz6z7pfxgeI8kiLBeEzlqlVjC4jcHF+uL2xdzm/
ByKgLo5rHB+87LV3C83be0KxdHE4RuYOC9JN7IdAJnNFjAD3z3jKXO9nh3bwmHmxT8KuhMaeMCWJ
xiaxmfPiHT35hiv8k48bCNlrUt/Tn/moi3MX0RKd64Cfd8oLGdb9vVtY9aVQHf9BY1U/BlzDB923
8XfeFAWii569Fzf7sIVSZOKiVXAqCXnMaPGOW6lzVtpU/pBmOrYBJE0Ozl1VdfLo6NL/REt2TpHd
Euyqs9NSBuSpvCGjJnmqy0NatPKldZwZi1NgE5V3yxvIb+ZjaGmfd6MMEGXYz/Z0yrOKOlQOSfNz
IV5NkUrmNFCjVUDxUcOji+hkmm9HYzUfKqPqbb94jbqlVbI9VRNv+gz035HwnDlhqWbcH+vs0QRy
vvcUrtKNIl1+a4D+E941/fJrTjvsEBkvSOweRfA6K8+7nQVBO68rXWZi0AAwpmzKxNz0V25N7bEF
rrNeJu9NCNZ/s1RquOs8DtGe5Em6rcGeRMeiCuMTUPQjbIHsWPbJtHGg+UEBpMz4C8/dhgXF3NXb
6TpzQF7dNWSxfgcyCeGCYg+EH7p8c/CBP5cV5QkbFvXdtsHzztLcHpytVhyXbG6OqsrPRsT1MaG+
+YFOZYe/0EQ3j1BVyWPHKpDrB/CCsd8rzL3Mp4PvNu+mtTGzz7iMbeWr5zx0+1ODx/OJhlUWR3ZS
BPgUsvcml/Y7qiWl6EPb3gMjdPZs/cUBnx3twJ3Z1SUOeF406jFpVueRr/UFPWbTyHk4ycm/B79p
ttiX3ZtZCeegRLgAjJQNPO5eMSOPGg9ZbO1HLuODF9p6C3m+uOWgSvd8ZYI35JuVBtU2zbYkWbfB
dvIK5R6PlbbH6dXzpu5gugrtsAkH9YDjOgATnXrznckts+fEpZVYlvlh7uPmsixxLW4mJ617QqEV
cN6k+2Zh23pVXtPjrG+W7ssyhrz24ky+NVNqH/HA2PxWF/tUe/z+2zLu9z4ejfiCZyDf2yYxu1Ep
VR/dJfN/TGX+AY5ab6eKxiuvX4pfmKWiI+dD9Qy3DZVJR9Z9LrEXuBG+7ZSLFbME5et5UlfHlcqx
xROPwS7372sauemFZRzoNyE6CoezUfqGXoPy7Ntt8Mvu5SOtOmbb4f3jQRbNj547g5aA2rR1sHcS
MR7ZH1nVMZnS/uxNC7upuVq8r54o1DeVse/vEm4Sekdv/Kavj4Txqd6eedgC0lbzj0Xn8gtUfPu3
aQcKSZdQPWITPaaeWvr72oJzeZeMAOj4s5IT7u+fjXJEt0eMm048veffCR1wj1mnxAlydrNvEcLn
Jzujrm+YKTIJeifazHOX8JLCxyPO9M+i2mWphsgZMLQ82bLAD61g4UFu+R9Z4b8EhrQdIfx/DYy6
+yjJ9bf/AIf8+7/2p7AQun/4LptgSXcZUCaW+P+R+grFH8gDXF2cr2INiv0l9oV6ENo+NnLXEVJJ
hRrwH7Ev+UdAKlLxJxLRCiE6/jvCgrjW4/xFV4BOyZni+EKFSq0Sxz/xIfFVlrVlZ+EpbXVxwvPJ
0amZyXqgyXXPCLdV8YRQl5ZHujLoMUiW6UvRYdphGH9r47C5sxpcuHFUTDc+7MDnbnSfHHYqm4xZ
e+MYV7PfrQAcFx0TUtJGX10RFHd9Zp3p5AypmA2Gmzzrni1uNF6RU/JDWRnQFlpGt2LMH+lcIKmN
6Yv7qPPmnll7cA+Wrzkra0UiFVNCsJ2iHpulmWk4SN0Jx3Iz21u2wTAE7AgsMaDCk1VC7DqFHW9e
stzJu67rX9lilT48jNVNMen0O970HyYU9onl4n1asrvPEuwZJih6OjTcbkcnzG+bbsGdO5TN/aSM
R5d4VDyneMruwgwwIACLzdVp22oFlaI14HMofOQP0u/jlALU6Enob2g25y/UGZ6xSp5tp02/pv7q
8QU2cmhF4aBwC2xkhiDbs23ST6M6ij+xKG9lMl+jJZBZEBy/A8rHuNVF5XicRRVviRPGLyOpiV4a
62Uc/PxpzD3riME7Kne1G9lPygDL4FVrknxt2BjtrdOufyagPxYXWZuRvc8TShp1z1kUiQnbCsGS
nkOGFojBwu9wyusktujtyvMbPE99eoggUOktmIMMGmcaAZ0GiRfiw+uGN9orovbcNV6XsG/V46XB
gS022PQbj/thZgFNXwJsrrSrcxed1LV/egx0Xxl/SuwAYccj3vUbtl9jUfThfraAVYLky9jLNC4I
fnCqCmOwWULWQmxK3vvOa+/Y9mKCcSqqNomdRS6tg2Xh7HpjOZt29eazxmeoCMvxQbmyc57mrCcc
FLI6xYfo+jmkcddh9x22jjHPKdpYcsIuPDTsO4mlbfMA8xR0xUbcW5Ypf7P5K26gBMTxvsetUB9H
9CF+5+zSL32XNeHGOK1iD2TCp26Mz7y6eRMrE2GbgYaKBRd6DIFIQM3x3pX3ge2+553/OK0v21zb
Ytvp9pT07Dhxdt4BFQP6IunNlOOPqHZfoB3uZ7Y597z4T6rI7gozNLdpHO1kVhFqvPMK7O8gWTMW
/Cw+yBJsXWEUIba5OMd2Jh/xmlq/+DjvqHglQm8/il5bu3IKnmy7qQ+VmTYFR9QBUa/e8Vf9LZen
oh93HU5Aamzq98IS6VNn2+faSzRJiRazbOLjf+pSb1dl1qer8+wlxGC28awOqhg1sFxwm8a0MR+G
ID7lilQW1S6vsPYTAEbI/yaHCUPSC0nRK9hgzux3naLqtvOCwZLByvpwXWICjX+cSigOi8QCMtZk
b8oAwmxTyZ3v4rLFLAdZI3LK6s7Wqfc9nOMXkRd6x253OBrsgHxl0gNuyGDnSFyZA1vqn4u7dPuW
iiAnmMC4ipSK5wg4V5lH51H5Lxx9d3FKI4ZsZnHJdHDoEepg+GN1nunuAHt2LOpgwERjfyKtogN6
8y+gXA+UTlTbEW7JASgqXaWj88v0QfaDxeLvv+jef0v9/i8g7GsXZt/9n/8tqFb7q4wc4EL1HNYV
jsBDGPi+v/7zv7SllfUEsEE74cmKazp0C0zWxN9KZxdPNYWcjBhrj+ag6r0ieX5HNFK/x+nq5p9G
uF6bwjMJ52Tv8a3zwJM/0nY6hPt4ylpccgz3Epo8bdNAu2B0Vm3p/BxhJbmY0wzSo1/nPs1UxdJ6
ZBiGVmymuh0vmUMG8ZjEntWyLFAcFmUd3YxzOo4HdT1NrOvJ0lxPmW49cCYMlSzbQW+KE9/LcZe0
jNVICbR/BUmWPvepNfubvLFpFmzQ41rjxT8RU6qN6ONDnXjDbR7xNg5teRjWMRGK263NZu9G2eWN
oF3jRiKv0I4K9zUTzHQFiH0cfAAVx0E+LwWCA/a87tYDu3psEMTBCvVUmFW6262sXFmW4iJhlv9y
gqr8Qkyh2jcyyfms4s8rj12GxHhMcSkPWw/D/REULd8Wz055k4dkxautC80wYz/DTH5DFgDoTooN
l9AfHcWhh2rZWMUOIEX5NWnC5ZFAjkuQGhNU1aY3mO7cx8EtF4KWLAm+cSgAqmp8EGyVqdhLrj0s
CH/pw1gPwWcM2HRPTc4T6Hhx8ch60t1VpM4di0b6hUIN7L1ve8IKrEoXfVsEwruhIAXZCfjskWWc
izd+tI6Olffk/UTEjimOf8K459s6saL7PitOLwiQ4gFQrf2kR49qF8f54UKTPuENL/YdOEQwOkX7
mCeobVqJY15UM8Kgc7ENXiZ/sMYbUjfBzpvahp7krt0iQ+sWQ2fTz7d1r96psJr2/OTe4HiBYc90
xN8knPcWGgf2XOe1CPtqm6HvksJmJMzrYzjJT7wS5uA11k/Eh5KEGF7cOukv0qdQwElvofLddEX0
FsUQqQmokf76oR2GqSq8t0dKJ+YBNvS0DCi1k3OfNfJX5cbhXTawincYRg7BZAWnyuk/VNB1Fwqs
x23nZcnnHIYGjS/onopKzOeuUwvMTh1sigIk2Th2dKBSuFMq+Tm6a0soW16cEnGwKxytb9zU+rYk
RXwsZtu5x3l+R8n1zNJ3EHsavOed9J3qAII32jYkCzejahc8u3SDlyQl0W4vVDhA5UWl5JVwqOqu
v1tqp93NyzwffbemJ2TCtxVHExwNR58FzUi3ljN7PD5Yn2DfdJ7IhHaPODr2Mhz12epXAYaSF2pU
US4uuG6E2QiLZSp263EvBqf+nY0xjpTMqw6k6iACMv8QmsdvLzTpavCR6bExE6nQfBDzt0n5IyDG
aRZv/jyw6xvbwn7HBoP9s3dh0JQ6TX8nEUvfTRHFyZYq0Z6QuJi6+mit3t99hbp8E613dLve1tn1
4q6vl7h3vdCln8eYza4X/Xi99JfrAwDXA4+B6fowQHLmkeCt74VkfTn8z7T1b0xblHf+Cx/XrzgB
xT//g4vL+XPe4l/827wFWp9TRK6eLSFh3vNP/qRsBOEfgcOSynPCwP/bP/kblxfMhg1FIwxDth/S
59P4n/OWwuNlKwcPn6f+JHD8E1bjX2E2xDo//tXHxbwF5UMqulQDF5yH+08X8BDhT1TUB55adn0g
7poMMFQg8SGR+9bJ55QR4+o9srNnUIrDi+vMQbz3DAroIQ4j+aWBlXBGwPN4vnkZZNdCW9ysyvRT
c4Q4K7+sL+W7yBj7obAs1T9KVXqUUE9hABnUdVOY5xXxJSLRQVPf2lY1nenuI9WlYr4kxMbi1075
XPkjBzmPH8d6xQzT3ASDP7zXLoHaksKOPQEcOIRl8Gxzj+xGCVl25uIPsxpbWUal0E+sE7VBvuoQ
2PnLxrd22tFD2dIBdasSnvk7GOVgCenLZjeUFydM58VDI7Q4sdacCNAv8jTrmQHSbUKC2zNshCKf
vSeTADigJyU4GtpT7uogD0kmwcGFrWzvZVtQgzqEjI+JxwjpivrrWAVmeI6ActNXAMnPod1kXWBq
ohjwj6XNky7S8cVgZXtqOAfxbhMUjm8boPoGINA4oqYRMUA0pok53nXMBNSQWhKqAOtUZp3YIc4B
BQ2a2dPiUO760MaBVz7hKbTwKdvwNk5UQoOQS+rAWehKYy96iUaDaa+Chj7uh4GV0YEHL1CIXDTq
KaCeRRycheoJQB2CyhIx4ELayKUbYcXjtj/6vZ182lUdU1BdF+GxbAfnq4qgzO1im/RYlXa/EXko
QzfNo2D9fFu1M7090rZOFoVY77iop01iR49mQuJmXYsk3k9FeCdbsytm+PqOzuyDZ+OqqfKId2+j
bHPsgDh+ymL0TxUlUfqoR6K1u7zCZcQmN3hVfkpJ9+xXvO2xMgQvuWOxYKZqjgFRK+iRff5CFR5p
d4AGG/LBPPNjWV1oUih2Vhey7NbBhf0kox5Vsq8Rxp4DxDV18bw17JJaxzUp+YA9YZtVXbdK+NRa
OF73gGEJPh3cP7BYcmCYzEFH47xPACg2QJTjIw6F/FZRELHjz+KmK/LitgVXAlUtdfUrn9bhprKl
QzJTVLMhk6jT8xxTtbqpgHjSwOZt8jrGQzaa7CHk3fOt53fLDFeBtcd7MM2oRWaa7M0CR4N0b1Jy
nftfJ62Lp2aujpVJ830Trj2s6ag/FQmuPR70+qUY4u7oJ0PKzz2djx5pgG8+vvhzzsP8Dlf3L2CL
AL/wWBX7gLXHKbNSwFGtb2XvtWW8F1PNxHwdeJHf67l3qJFAED6bHG/6hGC904LUKKW/A1FYKgfs
hnzIEvoY8ifybAW0gEPOZpfMTZyf8tBCuuw9TphiuvOUPbDy7rA/dXH+iFOkuXT/l7vz2pEcSbP0
qyz2ngUqo7jYuXCnaw8PLW+IEFnU0mhUT78fo7Kns2q2G2hgBoMdoNCoQqeHZ7iTtF+c8x2AyvTC
sX8dWU34bg992P3XUKX+x2mbF+kwouJ/fCbeqC/1Gf9o2+nXIeTPl/07d8pkrGXrNqpi17Itjpyf
3CnxGyMNSkfhGGKJqOH/+XkiGg5jS5MTEcaK46Np+vsE0tB/WyhV2DWRNmM19Y1/ZQLJcfzreUgv
SiNKy8vpu/jaPJJwfm1I/x6AoHniNURNIT3wylGk8LsQRLLKGjVy8LnnurQ+f/mk/h/d8CKZ/mX0
+R/e+i+jz0V8kmW6BB1oZyDXY8xqcTrv6yz8GBraiX/+bubym/z6di4rToM8IA5/h721+ZeTPw37
1OlYD237NLOPUcNNgiizDkbPzLYsvF50lrc7vulmk+eKGDG3J8Ok1kUA0vulr0ocq3OEOyS7gdZy
JdJxbalcrDo9fG6a0OSjgpCdVOnJsEq5+ed/e2qn//DXJ5PI84Rrc61wQS1f5C+TA4iH+G0gOm0I
fqz2LuRiucJlC0aqt2mtullwmk5eQPL2eEPsUHJvh+LaHBezkulJhprNSzZDW2Cb9KrZ5Tm27J1Z
ZR/LsptJRHKAV5tyxPJnzYJwjdKbEaUMHrKhGP+PNzWHqDH1BzDQsDbDnLWmlgcYZnCokgKur1P2
I4ho72yR7qNp+MC0tcqIw8WRFoxh3zHYzm7dOLuriXe2m6+pXcTX4+ptTMZ5504cVB3aiauq9ekK
jTo7UDGpAzUEvbqkVRUevwyr3ye7NaydSSz4g5Ppt9jxgBz6vLNF4XAmmXV6T4vO3VV+Ou6w7LSM
E3LS+vCIQ+EG7xPYhkqupxYBKnr5Zs/uK9pSciFOJpXnaFPQARhmBm4zhrzheWrv50LiX5OV92bp
pkttklTXnqCbUz7H0KokHmHMQn8jhtj8qMXc/6hVpx974zSY8XAZdGLHISNIuaWxqrYCVOOxRF2P
iocDuS+NLWPw+itJ0q8kqpwDqX8MO0yWt9gebjVZo06cUHZk+WvixcfG9h+jHhG2y1cj5NTiwecF
dRom+6EI0wAodnOFc2MzqurBzfm+//kFafIA+tPt5Al0Vjw9bC5J02GB8efr0Y8qo+EwNDYqz0to
X2KuynXddCCzcBLVO4dH10OSmGCfY6W9xaFAL1Ivzr8waaozLcLjaPZrNCvESSlEjGg2pnsr0/Od
FKFcO77U7+AfZc+yUerKHUP9j2ncQjQEWfjzAfRHd/CJNOGbcPiX//y3h6rgnz9jD7/7i39/xb/9
DzzUmKn98m0vyMafKMaFCfl//veNKtP3jz8faN8v+eNAc53f0BRzcNHleYbz7cj5eaCxHPM4kQhi
s7HM6D6P9J8HGvkqdIQuLZcnONKWy+VvGzWfU9A0dF4oXNpD3fyXzjPvr4lrnKfs1CzTN9n4ce7+
5Tm/YHocyBnlTqle7pmGKraIDqo+zwpvYN7J09DoU5AjjoMTgo5OFGV0aMk6OBGEZqyVEN6TV07i
y291cDe2q21hSoK/GFIopFnJZNvWnBWBCSHaSZA/0Ti/O8rG1J8EFrMSpiTFSWPYEnAXuyuXinXV
+snFmhiWUaY/mZX9hbFubfWiOGaybnZmkRtL5DlwtKbm7EW/n2yS1DUec5FojNZYgh2t2S6v6mya
r0vDLT5VtlgtPMf5mBJzCSqxh2vyjLStaWts+moIE0+mTvZ5q5EAbpOUhf8gzN5EoUjjmnnXEM0w
dtlkMeDrFsLUpoqe7UIOB61cpvXkYwQwpG+BEqPdBZ57TA12FEPrjddK87xdxSiUSlRWJEVnCM9v
YhyXey1zylMV0e+RDMEGzilNZLZdaj5ObNeQkiN5Sy0Q6DHobDPsqx084xvTLvvHztejH02etC+J
M9i3hY43tdI9H21gY63Htqo3hRMS6JAW5sE3JzZ2fXMToy3n0dGIA2oSdeqKMDn3sVc+DeGoI8TQ
aR0lDGIujTXD6PR9QLRxiWMPHWmTGAZKrMHt73naFxe3jn8QE+qBLsyohpTTvDiIjtaaPdWfzhz+
PoFwB+nsj88xEfNZLI6KnnCT1IZx27NM2iREQ9+k7uC/2M5Yn8n/tU8WOqODUnP+ZRMCgJ+ZGPjF
di8uE0zBC+6R5Yi2ffFZC9VARohQSo1kv5DZPhwL3Q4vA/gneN94eTrDMxCla+ZVM7k/wvZkmC9W
yjvr5BreS1ygx1yArZ2Z/YmVmap6Q9IlJHB0VuVMuEBR3GDJzS5+PMudr83ToznnBhZ+9H+RXaFA
lfN0yScfsrLe68iOmj6IkOCsoQwOgTL4gojZNf1lt9USWsLMcq/HIY7yskcppjm/K4gcl47h+6Yx
G3/rdM24jitzPHScMhfHdx8jO2kC9rXdNklcb8sZ5j74mdZv67xAohJrzcqR5DKvhUNfFxL0t0lb
hx0VU9HtXGpg6SeFjWai43VUpW/sOaGMRJ9/VTjVxGhHubs81QsYI8zI0UcVVomF3pvrq9AjjUak
3lowolzYQ7uZTFgCmlZtGq6nfsKwblYfImbyjb/rFIkRja3Ss9saMPS2XvgAmcQChQRzi1DQ2TG8
KE+eqXuvWTJOPb71sqeBbIY7p6xfbaf4KMlQFrM8k/n3mRIEfTOHmbevtdbetsSb8/BZfmLRetZ6
MAbSCVFaSfvOM5JpVeRtF1BkTveRTzqiNYAqCBPGOmMC1khUF4KHx43TmeXaUA6BzYyXn+NqwENO
siKqR0e/dhmSrKupNE56ilkEgZy9YY7r/mDXFW6dyrGuWmVxM1FGb0KYhvcWJfXGHtGA2pM/riXa
GFyD1bzlOi43njHRKaRzPT4TH+QdmNPHG3QEckshXh1HTI+L01nu+iqdDlklsCEb1HEHOUfzLlTh
fONFs9hGLpzl0EJJOIUTQ6eWb3siS2Yt4AuuDPhWu8xvUPyEbkXTrahaFR7Sle3gEkvJ++FPVxNG
MISyBRAcIExV+Iw1fl5jIoa25A/9UW/G8giiwtvjYCs/cLR3aBZNnVV9pt9xkyMPSmIgRJSDDtoo
c7AenaRyoaDidtpk5agoXEj0u6AGg0Mds2nbpn1K1DW8g6/RLx6toWk29ZTsNHLtYCTIfW5XbsCB
IV4IQrpVS1It0tYwTAm3gB/X9hPrytlz0hfouTMiWy9litZ126pKyahtcx8r1CJ6tNpYIhVW3P/d
JNjz4cPoSqHfSDffZLpiuctqDHV7v0pp1VQq1JrdLTxHyz6lM/m2tu/dl3M/nkTF2Y2IwO7uoc8k
TFKGr8yzsv1QRUYQ4i6My+Q2tYgfYp4ybudFUZlI3d52JALswMrXO0vwBBdMRBF9IJWDyt//gIBx
G/fuY4qKEF8LPwCUUT291CmPjRXqlFTseycEdgbFZa0D6pd52IKGkfMiEJneMJSJO92By8VPZ6nf
78M+YqjDUz9PHizLvRDhvak02Cvkk7Kp6jR9JXKCx+JRxudW09MjXjz74KaYhUJ+82dR+NartNIh
SBovO3BK7MsurO/JEmh3U6NQkhp9TzpFEZf1C/6y6NSgb7l2i6k+VRqLQxLXMJrD+OQYBJeeZ0W5
lTTsgTtL/046wOzgJmwchjLK7C9hWpzUkM4Xo4hoY2KTYzYvMSiUHd7bJiH5JEx5qJImiUOFRdtg
yTMUuWW/w2Ys7qBwpBakYPpQLNGrrkmxI0BVyAJj7g4tDt5x9OqzaaPX5E/9ANzjiy3KdD7FXJrt
vUXez7nGETRaxMS7U4iiHbTUEArzJABvlLt+SDo0ANXQvc8cQz9SLEVoYfUcWFCM1G9yEBkGLq7d
BwgcMAJ039ICIBeFuR7ypLmder0Lplq0VxqSuEB0C44Ggp7+xKMnDZo6HHeyKckpMqdhp5sst6Gh
e4EC7bMmh9q518hpxdQxzQV5pkgcAyuWDzVmxVE23rWnCVWv4LQ8odiY1zVLUJ6m9Y+8HseHusB/
odEJbxVxYcPKsgr/1rOrp9Htb6qSgOeyjC9d0m7xRQEZtNSL0bWPLe0bOdOZdctcpdqWPmMAjj3/
qgwLutZJz92XVMCWrSgrkIF8prG9g1i3nyX808TdD92gggEzTRTMdhEV3FlYHSNU97lMN1UqADfr
zR7F7Q12u7tMjz850J6Gtv+Swt6hxBQXaFQNQ2rbXzspy3/BVJVzlyosjLHhOm6QOvN0VUtbX4dE
qgbWZDeXUMTbXLBPw0boysCPbXVBCj+v3LpBA67JtA5S+DQPPH698zRL+Bpdr9kbSnhgwQZVpx1f
yBBLTlA3tCDpB2uPilS/pYqb7qs0n7d2P4gbw8N0VKRfdkQBW4y2Oim+6HWTqysnldVRi/FdSiGQ
rhN9Fug1xpGQSBQkGsa4t4ihWMPUfE8npwabl+fnwVuC/cLGAaVdMaaQZOxVcyzOciAwgPK7OXpu
b+5J4kCqGqanQhubVwXRZUGTe4HZJzEiqEnDJdoRXtI2Xn3thwZe8rR693ISU4Tf1humzCGmL+fQ
IBRfy6Z7aZz2HQcoM24TnMlUNDuH4fCRwA3tWSSF90IambZJsMc+lnYbFM7SwYspwYDGR/cDNkqx
oaJkzTFNxKekpS5wHLby6DRZvu+aZk9r4exxITt8qEV0hmdc37gehxRe0sDqSvXM5ro5wxhqX8mL
MIJMsKlZAQvSePAs9Nchg50XklVH04ADhVimNV5Jbeu4eBpnFOG7ulfhYznFzS02Ni9oYrycVltb
FxjV9YEabLirzLxEA9iC28JmvRjZpztU1WyOki7/qgrD3TWJU/7u13W4G4faXnsNFXTtpvYZsSQK
H8R3xTt4FHjZ/ZyClRo8k8H7lNxHEVUe2JkmeQINz5GR1zIwVRhdjFzXd5FV6BcDSlQAyMeCiiPl
IUSTwSyljN5KewbzabpmAGWr+EIw6F80rxZPk2Gg0O3Q7DmWkq94rKI7AgXzezRN5nHwvMX9ayQ9
H73pME7Ikw13TLqWcjlcy/hWpvZ2bkVMwSbhJMWMZjQ5DhcX/juSrqa82BLQF/IodzOH4Q/2SUTe
z+hNtmU+UbqNVrhlDua9GmNrndCiWXfD7MjN2BnNKUIfRf3pICLshHijZW02M7KTH3UHW8GnATzE
k1ddI9NJLr0RJ3swwhTkdtkcK8vXOTVsfzuWjWeszeQmY9e9AZembzzsdcdEMwQ7MT+9mHN7Xeix
uRiwJC7Qrjh6MybWVW36h44x5lkMbfY7v2izCf3aPQHwZOhGuCiYxHz6XYTzZ0dwGPk5BCnXBOcG
RovmnXfBKtNHPD/zMjyFcXQhrILK0fCvzJokNsdDvc1gLnnGcTMFw5y/Vl4/r7Fgule1gusq5nRL
YAj5U6YcTkuTD3uv/NEM9Q7Es3+qOpQcYRv7QY0i5imOTc2CdgNtMeaew8EBEgMdehko1RqQHSqW
lKZZPkYU8ChS9P4p0oVDsIZ+n05RuLXDrTeEOyNrsmNY9LcpEWRuNPBwmSjJdX3LMmm6AI5qtshh
kQlN43Vqyw8uT0Iz0V1eoK7NgZhaCEcdnM3Bd+xdOzOExdq/uCfYjBo5mSRdm+JCyGPEGvol4vm5
yVk9L7VBsq0aDZF/rZkb+ryQmMgiDzI7aW/7Ok9AEclm30t/3mgiLfacFOnR6OFSNX3hXat5sncS
+BMKkeiqZ/e9CHWIOU9GhZcHAh/wzywlaMGoQolI1jefTZPiySaJrclxggBtitZVrWVrCt99XJ0z
D9+vYrd1ZpYHj9/Txv5eirR8LUKTm8eKjfCzDctZW4UxObF4MJpRXxMvd1u0hnY32qLoikNr99hZ
AWdAKeGLh9qclReyv4w3TsAWaTwekpmA0HWZZo1HzhoxbGvosy/KmsMn01D2punpW1ZdApVsVZTj
dAA4bexg4XY7bK3OXVuO2XHC/nYQRKneWaNt71Rvtp9Om2J4h5aVvFaV332ORTGvZF1zM/Y8PPlo
/FPYGNWh4y+5981hWvUOC9akWkK6zNZ+oZcennqVFPddM9iXzDXxCKAanFeO3l5bfKe3KGH4y+A4
fIrM4Uedp8QsJXNyjPXeuJ4M/g1EExJnyyLB0hGIfmWpGdectsamsMGVUX0USPu1M6RqoOSYerfk
teJeNxptleOOwyKGxoUyHcLfRa99997NR22D8hJXJvYtQif1jdnORAREgidWj4AFG3sGmBmaJjqn
B5Kx39t6uJqnRFulQ/JFWld6cJv2quhba61PI/l31vgsaX6wQ61cy5iuQGC/VU2pHUGFxbffw7z/
7Lnn/0cRMRwk9j+daN69p++yi9/LPw01/3jVz6Gm95vp4gZAPmSxWnOZT/4x03T83xCMMOJGnv8H
BejvM039N0QuPpN4BwwRCzzGnX8balq/MR6HLyAsS/cMXYh/ZajpOX+dthsm6mkdkwISGQuRzDL0
/GX7Az5g1Eqtk1tWyUW+08KFoGbmgmpP+qwLGLmjlJcjRKKd/81ea9gwlEGxINlkS1ATFsDIO5l9
Zm0Ha7TODoTUZE2nA8/NBeozr/GeskxIVWGqsw/9TX1z4LLGHbodUAMmcX0PVCKCJDqsSb0Pr1Q7
ABtKiB4+xD4rCgQURcHof0qz1zkZx4HicMTwSS4EFSDIf7AaehlGZ3QPzofVNGqDt3DYjb3v3cyZ
MV81WKOJL8bO7jPe3NSNyu56Qus+e1PXsGuPEPL0PHQ+iqwrX0xE3i2zUgVJrxA4TreRDWCv1120
hxgGyMIBbQE7fHAR8rl9Md4jilY7rIMw+vQF1zdN+PxquA2vOEhGQHh4CWFvS1LZij94f9/sv8w0
wQ/l30zARRGQr3rYhSEiODBpq6i06msevA0PFEP5BLsujEHyLthjJd/swYE9KiwTG5uaw4Lv1esM
KGjdEBsRvTn3uZRW3vFDF6qhhn3MOnk9MPqdLAEWHiooS2ugMOpZqY6hg9l1kl+A5xU037Ettk1a
ph9Wp7LznNr1DfM5+ys2jPER0xngI6iMgBeHsSmPNewIQrzrYdyE+VA/sdcC9PnNayyEQmNakt3M
gYII+Sn+hjvCJMcDOPvJAiK2ke44UUr0M8D4p37o8puybuLbzJBpuw1hfhIlBkPSWmiSKdJEYSCu
Z8CHUVWBnPQW+iRjp749OsZgaGvrG1CptHgy9xrhW+8CaU2BHmXBWRouru9FZl/yncH2Q/auY3du
etiyIap1gkNRlPc0iRL3CWJkBpj+N0DTWVia5CmOr2x9vTMQVZwcyTd3s/9mcMb+ZIaUQs7AkKlN
Sms3/AHqHOi5N903wFMn7I5AF1+d6cfMZYLjPWappBsgVLPn+S8Jl/P7Yr4Jv8GgY9RULASltU8W
bqiBQ/A09sBbd7ksAVMahle+wgvJTq67gEeNqnU+8a26AYYdwKTM37pjEk4OcRMjKNsWOtMGsq3z
6kcpG3HkpnhOK4V4nEQB5QOorU04wY3ZHjxrxAHC0AFBSQU5cj3MGuRU+vzoDqgL6JImTv0XHdv7
c4ob/cPpPftEaiacKH3BsaYLmNWuvGfVY3peVxYdBeoV+90V8HeuI0j5DjOqhfLqL8DXpsTtE2RK
2ce2R6qygqkepltaFPUiqlh+xGlET5l/k2Tbb6os2anK2meTCW02cnTeOdR7UKKhQ317IlkROm2V
uJhrY2QP/Xp0/BpH6x8022wh22JDH6Baj7YRmLUJ+9b3DOz/xOksS2y9m1C0QlcCEMIF+17ZWgJz
BJvDHgF5/sXMx9imC2a35A6nh8ZZ+Im3urq4bi12o44aKPaVg41zgfa2C77X+yb5wk6A6htRar5p
c0nCdYmWG7O7f8bpEj1yReHLLQigCb85wRwm02umpvxCYhcc4VZnjcQSJzJ3wuhK1sQuCfatPe4w
IjTraQESl99sYpUaivblm1kc5c58z8NGFA8ZEqd3L9W8C1APUMcO9cNRRnX2gleE9ZLX4TYA211o
z83CSoYwqTODZ74PGbMGpkxpDNOR+/uso6j6wm7l01x/Y5iJR8m8J/sbz6y+Uc0sziZ3Z38jnCG/
EVJHbJdlXrUL5dldeM/eN/rZGICFoJfKAvsbDS2/KdHgoqMObrS1EKQ7s1bv+UKVVgtf2lxI01hI
tXubx1mxHvDe9gscFnc6GBdzo6a5fxfIwZ19shCs2QgAswYh17Px6CBcL6zrLnfZaRjAWjZGbVXl
vg07O7nX7WIkW3wOkyemDaCzVezlW5/j/pCNJg4tnO7Un1isjC/mmO41SRXWm6b1xY05LRLtZlRP
OYDv5KaIWSLxl6emW1liKN/She0NM2QkNXYhfsMUBkyUtJW3Ae/FdBwF+uA+RAspHLisWQSiIBhM
/IESl+S4rcM0Umub7UxH0FMo2BFUbrEBsgJOS/SIQVkPhDfqG1dOJi7ocq/DJQTGA6K5XNjmg5WF
cDpoiszCz9f2wkDPFhq6qZnmPlJ9zLJ7YXcZXr+pQ/jpYdapVzkxcllFxZJlAsyLtn+5D7WVl7sl
fX9rXcOZvVMEUgSW0zxXEbofUgjAbKUdoIpEhKcE2AAKbGl/jXGqHyKgr7i464YEiHoK7CmBFk/7
GjbuDzJOPki9x4eQ5FXQhQTDrRUj63SFk9F+7jIark1F8ir5P0L6qE0qe7AOtiOY9TLySuvDYBNr
thJaRe6OpTmC5VM+WQ0+cSK2t2ProZgcY++rqpoKXpTRGU9IOrV5VetdIvYDbNfxMnP5fIWOQwTL
0C+2uBiE89LKVeDVUlZIxD/vwetrGxN3INcKo2c1dl5AciCTttxCcVhhUNvEaereZQIgu+hDEC7Y
rz8LLzF/95KwI6bbIiBynuSH1hDhzmjBxnGlL1GPtgidi8tmZVX6QwkBAB4gLLwWUh2J4pWmPdpE
szRYpvukWnuZasrAbBByXhpA9+am4IKJgqKGzr2Jws4yNn0bjYc60axLA3g1gaxqYWqpDGW9mChr
UoJxLfnDW9RIhZMPXDtenR+KAkjYmidCD2hi1L3reQaqDZ6w9a+GufbPOgl9E2tFFX8UtbTA9rSk
ZoZ93H3UZkfYFoS56Q3dS5cGBOpY/prtLygQFYXg3WmmSEvrdFJXDpGTz/ggBFKajE/5Co6iCc8/
Q/QNd8I5ZgWZArWJGHhFTJV8oogi0CfzDfNTNlP7oqouPuaF8OKgND389BxK4yVCEcRJwj5eW7uG
CA1IY0Z6rVz81iuk6B1SbC2eAyPrWudMC1YcBIYUgBw87IC2t8vpR4NOWMCo8364zeYrUn4Sk3Bk
DxuHgOwx+HP1ZCGXc9fCS6qDR9LPSzo0Kt3j625ue6AYgLQis502ivRYdWY/NBG6aITR1ZhKMkAs
/HXvrAeaW7MunLtQtm7NGMzp2ID0M6P8QplcJ3DJ+J2tXOnbXhI6zfwj6Ak/G1YahemtiMRwUuHC
/A1jYyYBOp7FE9JXAvSiKoZonuhl1my82PaK50ik1Q/UYSZI427icRGBx2w3EEBnYh1Ul79TKIR3
U48i9uyRHUBkfNNNM7eNzxolKxIicJnkMFrhAT0R+ZTG3VMW2gYLL87oa1VN4alUPaxIMpx+FEoY
d0PWxzIwaj+/xY+sPUL+8J/MfgTq0Pv+D0X8+OOkecPJE0J7nfQQu3zYpPPtUKXqlecv5YLddCYZ
sJ5MAY7bINEGaGcHnQCb5yqZACIpzphn5CfEUMEogWkS5Xqa7Ug1Zk8HbxC3bISrJqdS1tn76Ozd
PHIES2Te7BuKo+P2SI6qPrYOkDJJC290Bl+MJDjdwM7HDUHKLMmS44yd7iSUjcJN2QuwOUnzRguw
Efu/9+wUPmXLYHKhk5HVLemlnux0ismJiIexNXZ6TKrXmqs3to8JxGuiFYh8SLcCmAKidSYWvvZe
tdLdT5DmF7TcnAuyIUugatiTe9qdAJFN5b2wJjC8OwGen7U8VxpoyGw0BAzIUL0LkPhygsC4HTq4
+d2IMzYiG0vDbWk7B4v7iQtz1rziDAymHtkA2r11mYGQixXpSITveeIBjGMzH7NwgsDoUxPc5MqY
S+gfM4nsZ0I1CQSM2ernG6hbaoOPkWz4NTrznk4lL0XLGqyMm6a5iueK8ohEM2CUplEX9qVLrTI8
CkP28bU3uMq5dpIwHPapZE0wEtV2i1240c6eoCaBkqGTsOI3k7C2csR5d2ClmBDoENVtsRdtyJqf
NKRJvhUzwBoE4Hge60mJ8A3uTAmnfYwM9xzlnRUSL5kMJna6XhIOYLYw/daGOSXsloiG1t8sp5cd
vPN2UEDj6gViLSb/zPHdDPvMM9TRngqDvAohgafpZrbrIkazlIHOeB+XXVEcpoRUxm3MAN7Dmqai
9Kqy3cFdM/OuiPrKTLkF6dZrQRcNzo5cNz8ES4kmZlunHmeXX4ZueCwbNeG6hjKqIxOqHPJrNM3J
5euYUW7XzTgVV/mi+4W3Hgs4cA5W1PpY6sQk7kNgQtOqw74SP3FIOfJAoFFJmaMPw5m9Dk5l+ISy
Lx5jBzH+h8E9XN1GmDSD0qkX1F0TJrR20ulv0sb3X1OKO3IZJlQAgeTXAWDWJtO8NyI2M6dYY0OA
H0W4NnsCt9u6ZtuAfvRa7ZQU2auP3p6K3CDdJM5qzkQ7rN80a2RgnOvzTQrnK4VepEimyCQXjz8s
me1WT+jB6NRxkISYWsyu4JgqYy38HcGNZh6MxbeADnOABNnl8fRJQrplHeRgsGZAOwN8qenVvTJA
4ysnshZeJJqk3mo0ezXY+R3yfZ5NJRE/p2jkjqVqQXEYhB4EnXWkRf2HdD21JIx6GL8rp4VlhkV2
yPeJbOFPyX6KnmRkRXwf3rITyZOIYaJj5eYVArE+Cni1zpi97HUtaNLKB7S7WA7XDH3Rm0ZAhxoe
/cBCGlM+AqmiYyJ1un0vNKc8wFbX1rnjhmfMuISu4+VcvAyRgOY3F8K6Fnlk3bErtmEmYDVK2azO
RJ/ycTiD0564LrsHPnl/b/uRzusr3IWbYZaHWi/H90jq0dM0Jd3z1ERdujNSwzz2luECxvQn1G2e
kb9GpE7U6wxMo752K0MvIDaJGl4ZcVf5xVcKsQ6Jo8VidYxHwHOZf/JYTgLLJJQO9JEXDg3z/84n
ujB0mqAjMRSYcwL1NRjId+WJ3fjOHxro/+y55T/Uay5v9PmLEPTnG/93ZltbpuMwafzH/oKH9yLJ
/9fl/Uv9Orn8+bKf/gL9NxAlDAVNQLa+96u/wPkNXSVsE4cZ5M+h5t/8BdZvtq/7TEssGCimJxg4
/hxdeuRaLwpzRPLuYi8AuP4vOO7+6i+AeA70hP/Bcsc2xcRN8evgsm0sTzkj9DIe6zcGC55VpjVv
hQ24oaWC1LrsaPP03ytJ3vEvn9RPee+vbnvHWn74r5J/D5I8rkGGwx5oXn7RP7/5qBl6OnCbbQy8
O/twyRrUunjCZyPH1SJOY2aRmmcemfFO1Xpy7rgZPnnURhu/HmPI050tUW6QDX2BigAyYB7FiQ6f
pFWRWMem5d5PWolXK5FsQtupr/YhpO8J4hic57Z2bym7RXZV0zCsG8d5sJhsrF0WWZfenYkanDny
r+2KnWqgHHlF6ZphIshQaolu3i4AUJAf0BAvLnDbBzQG1C41oaG37cR5jbBfe3BnG40lbrzrwSJG
yMWDcsXOkZGZpk2PaYJnoHEJFSU+laDp3FE7Hini5DMj2C2AtsOMK3ERV2oapTFJgdkezod5dgXu
+qDVEoUeFMKZdWqo48BIuVa4A1LDfApEIfh5VqJvCOpSErDM2rxjdBPVa8mKiCe4xqcmrWk/9ak8
d4i76M6auLhFedqDKJz0VyYpkq5IaOW0JquXl7IMGl6GKIozgOBDcV9a8lk1miAUEiGpb3Ynr7RP
Pmi0fZS2ct+3HrSnRntzlO5f6coeHYhgRCPnSip8GVkKOspJGZAh4x/Hi2I4xJeVZafeG8nJjp1s
Z3qLjy1tvOpcsm44IGRlgtHHwwOeuHRHp43GvaX7lEQJb2bF1y2NTH/PS0ffIPGTIeDnYtxlmn+N
aW84M12Pthn8kStLo2jFyVOuMAeQmqVJb28QYrTxuXNEMHbKOE/JENdrwmvcNemxYY3EEGFG3hYz
BGiyYCPXI9ZaM4Fag4cNnE7JZycyvOfFQnNVpzXXdCROntEgx12u8y5K8jVVuX1lTa3/0MMYxuSh
ugAYmdxYmP0ZUPg1c7gGAhzfoHxwEYH6KwG97d6LpG8AAsHlS4Cpr6HzAYZukKNMnfWWesoytjWZ
sDofsV7iOJSg/TaxMYhsa89zwdBkMO1+WyTJfPFK1/oo7bC7062SKsRNu3w3LWr/wQrdHwSQt/fu
IP3HZaiNmm+xCxDZMp4TVdgPFtpFIxirsXEvdgx9f1OOfdXShmOy3Bqa1uzwE6ekCsARjjigGiKM
uywaPuppRBDas3g9p63RGm+eJycw6GJa+8LwYNvOTvohxza/GYqULXmk8geZmILYzeYgSyYJwL1+
n5dqu2jHAValRUZ5tdg0Rpnup0gkVwQmxAegkCi0wpoZe9RYPfJWKPu6SDhS1Wh0j85g+p9paIUH
rXKY7wtKgFIOREVGshD7TG/SJkgQR17NQCc3k1W2z1aYs6BWg4F4Zxbv4dyXW9J5k99NxzDIjRzK
OyIIPYQTvvFeRLNzYyhylsM45CMcPflIH1ft8l7q526Mipc4Fc0TsXPWowue6BBL5t41R3gYiGzB
IiuVDbtaypy1+f+l7kyWI0eyLPtFSFEMqgA2vbB5NuNM+gZC0t0xKub56/tYRFRLRHZLldSmpXuX
khKk0wYAT++799w8G5tlHMRm/Y2Gl4fHyK4Bpugk85wXC0PLsJb85Hs90x7OUeh3ENgUDTqT6Oa1
CYF63oEvneHLxsm0ptyA1q4IxcFnovVWSVezqw5FxbFDjhP4JlbO9WokhvnJN22cFnlAwRutSH4s
VkbM3Rj+Jj6HCGMnpaHlQMGQbXcanFzl+qe2nPRhtieTCdxJOaZ4huXRYu2ZP6QhfRS1ud/DIQne
GhsI0iox+oHSr3yIjTWGRy6bPjaCT2bme/8ydtEjHarDa5fkrbsPOFUETHnp/ECz+R36ZNO4FYTx
+JknY3lpsWZaB4iE/ro3po9pMHJrRWdqsAXuAKSrs8tf+HZ7XK8gcQbX6ru16Lp7aLmfWpzLk87f
+fJjDsZGyfodwYOiRlqF2R11EsTRohp6henRrVqqsQhpoeoMpfkxlr19lw1Sc6MBRTkL1VXth5Fj
Gl67AIff6HUU71UMUUZUs/Udd61F6d/sr/x2rjfwkpvrgML+s7Hn4oJB1k9wdtLSjrN7hvmezUGx
nULObUv+s/iIgoyUFpau/YxPVyFLOFz0i8JpKw62NX+ATuf0bqacURsJzMOICNNEG4TR0xILeudw
v6C6N862RToBi6G+sdNLwpTzuPHQN4wtxm3PWFj35w45vuKVR08AEBwBrlsWY1++pHE7H1OsBRs+
MkzaiddScZ+NJ2yHPPDQxv0FuNn2QAEA4awsurff6kLnN0bybikdLgd8Fi7mVKCQNClFEbt816a6
lm5TRnUM8JBkTnqqES8QX47ar4ZtlKL4LNjLgkTDP3vPS5d29GiYvqkQ++aGooV+EPcLHRfj3NbW
OhS+95NMPN/bbqIcnr4iv/ldA59GfsM9iAcWphfTOpOQj+r1jh/BWVFq3D4YabG1YRDcosH0H6G4
h69mK6kusyZ3GdSC9VgZgXdxci2XkevXpyYKo2vjNly2ljKclwzE+ndP5QfXTFy7cNnDCc7nnUe+
9DjSL2yQo2dvjk5gFNdIFjyQuwq6MEF2JggreoaTNlzo1uOHI6dKL1ZhYNqDtHhxRhMQ0YC9+3Fs
wRAjCIpjFMA71VrT28QJjHPwwihmPFC+2sQizFcMsN9Ob8gVR5hrOoVioe+EYScp+ff4QbXpAw2f
CzDOdk6VRZa+jDZOaQ/3BUbu3ai7wIuhGhN6bEpcFsi9KosjNGzvnaccnpiCLxVzEIPQbw3O9kKk
c8z2XgxHX1mJQoW0Y6pI0FpFSKhQ46eyUgf+WNPVv1g7eO3W8eL2u/NoAd6A0+LE1ddlucOkKE4p
nRBwQ70MDnJCO6Lk1gpyBaOIDob9PWB0LzuYmdZSqtHZbkwUpU7t3C0hxTceI5/keVh2MXAlDJRv
ZJCytRt6HPHvo4patOrexyg8z4nXSSXUN72G7oMD6ffVnO8NgFUfpwdCTKW9bC2mr3XdCFrjQ92M
a5Oobstb6vu3qinnSyrqflfnrvPnSVGAy7raofLegTnVYjmaHdJ86hFP2Qdj7OB8odGAD48beLm8
72FiIAOYg/0UayAVi5amhWxIpicyXNSkMLEj3eVTIiTYoKI+dYYfNesJ3M8pSnT5u6W6iFt8YlIB
zOfC7itowNUvSZNxE8ODKhvi/kM2XHPtKMq52ZvkywyVaV47IfXB11CMXr5KwrsDp5xm3qAk9WNM
WQzEciOnyHrqAdoZB9hgdF0mvWX1B19VvbcxiTxcvCLzD13vZh5jjxiZgBVEDXNy0kOJB7thWrO8
53IewNlEQqEz+kl/MB08gdqMCC1y06FbmFvFCw6BPj9i4yFqIOKhGhDl8H2s8PQB3cKZQW9cnhmf
nlHFIxUfM4KqKxij1oOVNzF7Eq/pN61QLKf5TPz6EE1B8JZR6f4K8w/ELKVpytvLdgj3WVF3qEyV
8UuYSYBQZ/7RnWfk+2nkkL4svCh5ZzUryCukRvvGp12eAXqAHp613QItmTmCNJl1nO9MPl8G7Unj
8iVGE9yP7rz09cQf0bFcdcZL2cssWrlRGNC0ynjUrSDJy+dWWGxj/4vzmPnvyTxOmb4wFdlkTqom
9ph/HsdYfFNuEjtU6MEuYbcSfuVx/oSA9G77+smSOQ9WF2MhQ+aPBgP6n76nf8Q9/34evOfJ/3Ea
5J9XQnikqIjrCfFvefM0aCzYE0a7hhxeLYy5zE+8+dnxPz91/nGi/fd/xrfuJ06wNUL6/3bonJq5
t+htomkxZJnU9bCCl65hg55yItIUy7QvtbWwfIjlOY8ni1xhBdrDZH/4bo6TpDY6706q1O1jSgrn
fH/Llgr/0cUYCFRgRCmX8V0BXXY8F8HLIB0Hmz9exP81qeXvSsv/+P/ISGYqky45HkZ/+8z/t3js
86/sMw8/88+/SzJ/+8m/ZBnzX+i0iqCs4vehkyNO/JWSdf8FVNZ1EGygJ/2Zhf0PWcb/FxMDJi8M
3pbnCQ9mwl+yDI12jDwgkgDPgcOR6r8ny9yRSv+4GpSUtqksWjXJ/tgQcP95McapFzdEY0JGkPZR
obzvdDtay4KZbOMbeviVeFOO/9v3d12BHRiXabPpI2XveFLYGyL6uVj3fC/pg+Xc99CgVEPKCfI9
REuNzsDezg1CdbZhXu/RK4tNi5b8s7aCYjPDN3H5lWX71cTgTM4JkDuxqMdYvXPmjF7bMm/OVVFz
0OuAXwaLuhPe0R1nbx8PQ8v6N5Q+vWOJgHMbDjXHF4dCdvwy3xBuam5x3pGRsn9Xlu6XkOst0rWm
imeeca6zqxWe34pbAI1YtVPvORQnL7l2nXJJZ/zAciwb/Xph0D2XL3P2ZNcUY2uxTBzaaKkD9+W5
C7w4xzLiype8Fv2HTxcKmD03bvelnwTPbKLx5VoixaWNGyi6TGk94A4yRvpx28iOry1PgNc6lzHV
tHUsjqwmgcMN08XE6rTjODh8F0JrJPWM+1WTNc21TUeDJEhO386UmfI1EIN9am3beAY2I96NIkdF
Y4XZ76eqHx56sIPr2g7Dn96U8YaHarz/4ZnNYoW/vYOJQx4MkENnFSdB9xmH8zHLvyhioGQjEoxI
TEsWf6Tn4y6xOVCmIjGvuA8YvlN3mlYBYNeME5cN3kGqeGsxf7FPNOu9EwXeqm+GA00XWGQ7+pzY
TUaP3YgPdkjC3lyQNGLUxlMdLONuHj7DqEoOw+QOZ75QXQKc1ONQoOgtXoeZi4u69lf92DC6CJLJ
PhTLnWvo+LVsinbFHrI6mgbzp2G4msXiWF1dtmjbAoAhut9gXyPCfmtSduFOdVoc+USDvWU01UbP
qfhRzfN8iJwwuAFkT85Twhe1Jhj81RL/2wh7bEgxErQmFvVcVcMSxFOBqaOLbsDHB2bdunzBjRJs
ws5zPmOzm44xvQMsKSkEUkw5tls3b0KUH2SOpoXpMhzxMb02fo83MO9asP7gquMnPQ67ekxupYVe
T75YlYQkZ8YOAoyLbsRURd1KtyPDWJZLZrvUXZTEm5+5DtwzXSDq0U+lynecMJJDxmrlvXGF98w+
vkhXhW3a3pb/KCZtMNqazu4aHgcb3GpHA7e8CN4+lM4WQx36VLwnREfbqi6U8wp3zLlI7dk7s77b
iSZNHiFwh/i36LNyU9Pt3iI+BM0XTiSmD7AO/rObm4zMFHTx8WPcps9KqukGXTJ64GCB2T8hmLOw
Zi+8lVQYc3pGu3ocPW8qOQwjwqJg9x9lnODLjJ3hMIlcXjAHciCjZWXmNwG9zfrOfPStyt15c0WF
QlDK/tnzR+ul0+6wU8M4fflZrJ+n1irqnaUS54vvd/w7Ur1tL2AWVKz1Jiv6NKGlopzhUMUEE7ku
YYMqJyGmaQazE21Xm7RIqu0QVtjX7qbTbdml+RXzhf3c47E9BLW0nlJNJWVtYMxb8KaoWxSD0F9Z
qjLXosYds+2ATF/nITEf8HSoLb7w9tRGpf5O+ArzqQa29YpS154IktoMTHO1g0se08SVeZc819gC
gGqRgUKMFUcVUPTIQTU8SrNPTqaXUqDE7p0gam2Y5rMhFe3C1OUZa65f9+KmrX7w6lA8OrRvlxiG
lB0dmIaJZWda4HGCp/E9zAWVuxr7l0vnHQw5STdE5x0SdrZc8wk+AqyAPaY3o0i3sR6qZg14NzrY
NE3vBj+/gFKltcA0pLEq7ZEGYb81d6Nn6geVtMNScuGu4aXGW5D7MeGjOX9qeoSitolRWmL/StNn
eKav0vtObT8+D2GQbkyrmJHe2/4YKm0RiZXiK52r9Nz3wAaSPGjZYEv3yOmez9AK1SnwqxRFmIYx
7kX5MZ9osEBg74a1q/UXLQTFGjpavbOdXL0ZUbVRXveWKLikXPrR3kzVOqqsaGUkaf/TKeJfSVO6
a9UYE91BJkVzBco5jQkkfJxqKzvp7KGzXy3DoWc+UMaDCdxlN81hvg+N4CDCGltZoUaxbjNjep/K
uywamGH9YAWOTR0OebJ17VgrzhXPs3bHjZYcbIqofM/EZO2zsjVXqo6/7lJWduA47EKLxzG9GkIH
XQ8Zbty0gdM/mr2TnMfeKBFYyvZSW9bR9eSPbix3qAdgqClAWiAbdDjBgaZ6hXUyYc/j+oo8QdCi
ptRhMdActCrcLjla0PbwWOCXjhajDLJtHAn+Z1c4egu19VCnQZcsA0lH3oqUDdAM02tZG6IYlsj0
2aeeMowZ7CA+bPJkPgaXKT6Tee63eWRWYgkMoXqs2qzeztXgcTB0POaEfuyOOgpTje8NQHUzzfZi
7gz7l6Z5Il7ziIfc7ZRtxDBjhETnhy7Gnls2PAdiqynGxWQ1ebNk26O+c2joV1e1wzVOo2ZR5mRT
3YGHmE9RyJLl+xk645WXRdNQKKfk2W4E7InAp3BsaQbD+Epg86fP1/1jlmrF2HOWkddt0gawBDfE
6jFWnJ8L9vT2H5smXlRRLQjdWw9InPMHcA6Ka4mRHBK79gdcm3SuiIE+DNuvh7PrpfKrsdLgB7vc
ahGa7bj2fBvKujbcTW2X9Uvh9vkOq9UaLjmpxFp3N8g/4Wsqcd9rfPy/oY5l7/h5yo3lzmwe7nHJ
eJexgNkNuU+Xb89mAqQBO+yFpCr9xjNg2HZZ2l9wZ8wHi4HsNcaVeSA0Oh4q1iMr/PoAxbVseSC5
8oQgXVhLPFpAuGveK4ms+A00Uey8sG1WNmbGDeRJ9uXalFs4Gdu5TV8mBfOIdfHKlXQ7lbD/rObe
iAlC0yM3h5NVd+tuqH/ZzsA8V/BVxC2AD4VjMDfilW4HyP/KWOF2eTDsyj5wqnX2RM3lLtZB8Qmb
meWTw0ghG80S3svFpmxjsNOzBTAaJ8+Dmg3zFAawlXC7BeccrXIB4oPemCyHwUsPKMs96xL23dGy
pt+mSfMHe4RAjAiISlIp1ACbkCANLUati58WziYPh+rYAnnaGjNl983AU8Wvzf65Der2ZXIwHIzx
2G8Gc7yIkGW560PoEBGJ6aAf80UzhPY6DeDKTE7pw6CUY7S07fGDH+pP9H/NX1QA49lPRLJxYOif
RJnab7zf9xoB1eXpsixjd0NRFYiwELhkHjvRwQ1c96HE8b4IWHBS9R6kV0u62T1QFzwIDOknjZkM
WoqRUgZQpvLGFYpaifxWnziH6Ic8tOQvOupDAghBfrVHy7zIzlKgITP5ixIv/6w6Cs3YYMVPNngV
AN4KsEtS5fGHYer2zG0z21fomKumcr+xqfo7N6cML3SS7tI6pveBGZiKxSTPEZ950DMX2Ul5JmCI
CbeGAbIvdNg0+EXLibsHRlMI0/mGouZu59dEfw3pTo/Qwpt5ldbdAQ95sMoNPz/YYzq9krLPryN9
EwW2i5sIyhQLmlftbLeMV1Nqb6kHS1GvkmrjxvdkGLu01RSZYDXchCddGYTrkrmJxlFuzp2vYnKS
qXwTHGV4mz2YqR03PObH4h16gvzh51l6oIeWL3DdOFjEMdgs5hBsJD6lMHoILRZAulP4q8p5/A4m
SK4q5rkX0E61mibkosblOT66IAkKt3pRbR++eUbAlKnplesYiOo63M9humXNWu5NiClsxfobT1SQ
l2TTi5WQXYNhxlgJQecwx6x24ZXDdxwPHXbyUh+S+p65Q/je29I0D+6I6ctqaJQaNTbjIfKWviDc
QgiXuFr2c+iF/zP0SnufFPwqRlixEENWf09kN47kPtkQ3WsFNtaAJy3QA6nX4h62nwfePmdwrob0
2L9FaX3DSZcvI1WUX4IvDC3jZo/RBUgC7R80ipkN40TlG7sWw/lZ+4IQQBhPT0EQN8wLSfaZmv7M
S2G1r/M5+uYwZtECUJsrzEMO7ddt9UKB6vCY9jMWzCq3zY/cLYwfGuVrQxdIuWPz9EciJCvJW4+a
Q0/rmbea1NAy6BuqFIgr4Zn1041XTuju/sDqjpNcHy/Lhs9LYs1+J5A08M3C8FWweGFv1bHtxRgI
Ht0twGnjEqdaIPZ++wz8feufxtzn95ctNV35vPIxoDKeikOqarHWriZmO+7IgT97qNBL8EvxjWQK
G5Qsn3aN54abyakrzE5Fu2d9335Uoug/aSyowRUG6tVAAjsVUxF8k0vn8Tl1OQJ0Lf0tHw9MAN27
Z3vOyhMkRP3hekHHbCTlvhCMtFjCDZ6CE/FGEwVY7Pz53uycmwbrlTznFg9J3t9aFCUuqEzAMz2N
hbcJ6sT7FnRqO4i8clpMWeD+8JWh3IUhvPS1ZERal/7kX1rixu/V2MfbCU74Tln2+KnySPPsSHO2
C91EVAle/kOIJ/+QynkEfNewAZD4TZck46w1xfXzfkapePRJW3xCj4i3qh7K95LnG7f4xt7Tg63X
Kh3Yb+Cyw/jblgrQjUlTWlAVDy3IHyLoRV//gsnXgzNUg7toeqcBrkrChUiDTecMAK4PbBfV1m2s
33GaQwWMInyGWKtsuDWmAIZhx/QDYtWoRdNFqxJuxXl0Z+tQB5a1MaZJv3cyZXKdXUJSXO4wsLLi
cm8av2R1fU/fg1laQVcc9MLRVnNL3ba8MlwnBEJDEEZ1YnGrqXiIPoYFZhMQNTKj00N7W8Jy9VNS
MsPSSJ3qnQYZuSK16sE/NFkWZHnzomBLU02CoXlq0rtpFZtEUAcYGP25T/ZDrqyFbIb5oBnPDhXl
X++4lOnzYQp96OiK3pRzYr9qa4wPfm8moCI7nkXBMF/kLEvseKUIT7WTmOe8oSuWcC7A9ySTe1H2
2C9m1o7FskiU/OwdKj+JTdniUyuy3ogH8/jmpJhgAFT5DcIDEPlqHfpFdzTmxlzbBcv3BY6TeTOx
zjzzHC8/ojEAJU3N771BmoOB1zaLibLsK+E97wV2gnvwasmmq+tZNRmWvrBBZcRK7sUvGA/i/t10
wZ9IkURXus+tbd2YM/uxIVUfswlMRhIQXLQArSG9SaZOGGw0EHZOtXZhVGBqVCEfrfdZDiggEQzk
GdFqIybO4LwONl5sKnrLXqrA4+6K3Jw2y/yuPdCCrndmi62iNggx2pkAGZA2HX3c+I+/DHp2iREk
jEt+qkgg0TBG249tloEgnZ8vedWMtwZ+1JgiynPsSP5Yi7Z7OTpExf7v6r//D1rtkFqFywLgP1N2
z/FcYMP8h677v37sT1nXxzhHGljK/zDU/anp+hbxYQsd1aXT5S+19y9N13L4CYUVDa8dGwFXAiT8
S9O1zH8hD+NQY61n8rP/PU33Tib+u6TrMah70HgUQAHTlPzh/5R0R6htVHhR0Jn3TnG/p5bbQVZ6
Wyfmxcalto/BZNMGOpLE6X7hbQ7OIYeU/2LNQ/z5//B3WJZwpUv1mqPuavrfPX+2Hxo0TQf9TqUN
vBTX3DggrdES6HyJoqNT7Sp1C3R86WI4s5PEHGyFwTmJxnZR1fZzh9WnsWDvvM7ga2iDsXFaLGOP
RsaAlcqg3GOJ65hVLhOHbB+mDkzbfacjS4Yj0b0MTXLCwkHvcb5OdHMb0/E6pMHBskuIs2oDXucN
is8Vm75eJDJ97sg3rRsyuw4tiCuBdX0lVT8Srg0hzLB4a1Yd8q5DGOq9acpnIBQbPPS7JLRvNF9T
jOUgvPLGNrbdvkcKS3NYzGKD0W9BJ/app/JqIwFyTZwuDdRADpS990bN2iPQ4Sf8DoT5xh3HiUMe
5csEGwXp5KdxvCeF70LbCKzPcYgUhewAR1KaOxuGB6mYC6eCA7LurwIYiSd+GI14uVc0hSCKa1k/
qsDcWnTemqOxGizsVRj8wqXyreXU0XY1ZV9F1v+MK/J23WybK7JJvy1/DvaNtCLIebbeYXGqVjzY
jq05nA3K6OFzRDSsmdhJJvUEjWtfi0ewdkslbAUfaXiqxvDGDm5jc+vl3WLQYoBZx2rVquEA1OpF
E6ggdopppXmq8vE3HI392IiPuSF0WgqfAaN8D4d4M9EmaVW23Ghmcs53wIT8F75ei1RuSCbAlgeF
iYeuR6LrL6gr79iwjr2yH2sXc+bodi8mbVOmCQ6HJLwg44W1gdK7cFWMaKpmK+11DTcvJdrlj+2P
BCXbQgJZiDF7d/lqVpF6ickdk1XNf/IUhk4X6VXRJBp1n7B60n6LFnxcIALi39OBvNTaNRG3+ugt
0eazo99cnvbXJB3St37WxyZ1HgJOdVtvQqupVTjsHQsdtCcWnPsrVeU7XD3vqgt+pUZB2vVaypeG
3N7CBHFEgY54sEAqLYxh3tND+uaY+bDrYK/0SQRU0D3x7F2FSm563OTO9FB75dkV/pIMosSuM5F/
8xsQRiBbCDHeWsqn12HS7mzHxLFF7IGotkx3XnTrQ/ME42JZ+9jhbB41YFS5HdziGFIMdTRv5Yyl
MlVf9EuvE9YSmHvN+lz5Zs2Vk2bLWNnraaS4z4u/ZOZtqvTGnmeJfekBswj5Z2dDVOBVeHrXW6g9
LbG/eUaDg4nkGNmWr4bLIdnSxFvoEehNDO8BRp2iMw+RBdXRml/i3pKrqnM/YjLfyzSWawULe5qo
ldLj1bWarWWNy3z23GNPnDqsom/VO3iRk/vlZF19wQxVtfKK0Ww/pv4PslX7uJM/i9TcJxVsa0Hz
NI4TvWEMR3UXw4l4EFlrd6SgrE4ewwhTwxyQkabGec0kW8N0FiC2ao86NM7ie6+MzzrOh5UK7GFZ
1j2dZOjXRBtvBF0edJZg2svL5/gOaINpRIduRMitKb8K6ROvVK/aJAvC/7GiGYuDr0xXDN/HIqpf
XFhCQd5+dJMudxEZvmXpeq9ks5/cAdPq6DOUtuBYgRXo+lngT53t6qPN5A+LbguAqScxdR/VlL6l
k6u3bcnrYEKeDIqye1w9pOQeJ8d4ZJWyH7VJ7syFhN058bIDRQvToEA4cOtk53rDnnP1zrJspqLy
t53qLTXyn1Ae7zm+YJ/jWjpXAVd+XpFPYlj9ZVnu6yhRhjGJrKth2iDel0sk/Wat7Rhp0sxR9P1P
1kf0XjQ+3z9qnjMViaWVkDsr7NNIvHXNFXYBRv1WAXecXLdaO7hw0K6bzyR1uTC0yfA9fPR+cMsN
St4G7yT69jJbdxhr4tL9Vadnqhs5Uju/qtCQC0H5wsqMm9PM20rp4znthw0gTYIfgBAXU03i22BB
uMSZCGJ3DDDVYigeqz05SqhPjnGjkp7ec3TLtZkYZ+oBcia5+CcQW3BB2SPtTEyvRvjQZN22cvk+
1JhV3HRdKxcAjL0vZucwNAP+rIOKWkZmL94VFO2KKTgo+dHZ6UugmzVV2dt06hbuAK244CYk2EG1
UbAtaXkrix9Rk1Mf5r7BqtiPmb9qM+c4NO1u6MtNYOcr06eGCqTzXhBLJqmChcl9qoJhRa/Tboov
VUGYROP3IyLj8033MvO9y9qrNfS7e2wMKWsbt0G6kk2wm+85zLGvn1XQftZpF2AfgxCk6jcPj6fM
OlIsNnlYazdk3Yn81jjbKw1GmTrO+sGY7fM0cucCs7rwEy55lJ0bUtivcjqGvbsmGneNRgxe84UV
+SZJ5kUt7N9tUFRru0tWXWYemd+WUA5/41z9GYXO1VbtxVb1Lk7DZzENa0EXFcKM/+4lI2bU3600
Se9x66SDp5E1R4aRi7AgZS5fOYwd3OwHXN8PmK0/QiNZNWlyYntzhTO5tAvJ7SWIzpKb1mz2DzWk
PHfAYu7DOiwRhqT+ocM7J99wvny3uvSdtSvG6ezi9F8RmKMM0dxpu4H52n1i4MWn668pX9ylZvI9
1/kXxcIksc5eGSzy0WKpU0hoa+W5UdSCZXSdJN5iiJ8sfbC5KdD17HBbBiJCgB3BrltTJbMd7POc
ePvByq7Cj3/1pMNtmrZWTsDzs2i3kPmyniByhJe8CElXZn51Cp30oc4VHAmy4SzRo5BWQd1+ROcc
yH7zkjgpkrCxKZvkUibNzmSJvrD7+NWNoQ5TGAjRgJeV3Nx5ld9RvGw1C938dCjDieJ0N1a8gWBY
OPmaC4VVD0DmOmyyozMmK+Wq13qsv3wonevWcXDJ9dGrrIxmSf8B7KxEv+BDdB6GmUMX9DlvYQrB
YFMU8bboQega9SHFFJWy71vkjrxBgPsIk4kKwu6t6UHoTOAkXKd+rdNyRxkMJOl6LSW9oFa/hVtC
JeBz31oL9naLFBy0LfVjhcoAm3E7mXLt9vSYh2esbP5ywDDm+3zVA4pLh99ZpOHjPLSVfxi0fwva
+Jo0B+iEK5W5y/GRsOOmaDaRyq9VUDQrCAfEpaOI50e8NkT32PEouvczwuTYzoD+XestHMRj3Anu
Bx421+c0JqJoyx0YHsA53qasu9OIWNubN5KH7AXunPEfBi6xsaJUp+jkYqJXd2hZhRJ4KcnfGtV4
GP3GXEK8/e3TYMi1ORU0MOGgTmpMZD4HibLasJiMTdp0Mu9ZYRfxnPYzZqMghN+x3CII5zE/dIb7
lrYIJ1P1WuFlnivKIa2jT9l7nHDLchhJIeUeKq2eTP3cS0iJk4PrnHM521pX+dys9UsoXJzxLP0O
hClOncsTGXFlRsbOydB4Sn8bMvLXeTgXezznNTNk7bfv6EMFLXRzTwQN9G2ftdPvHGbkzU+Ed6ZL
t//ZDwUrotQXW4m8AqxEBf0y6KAYeHJcF5Qzf6s8ix48W6ujqELIvNzsNWCyMn0t8BGwIdSYcXub
d5IQ0Q8QHcMON2jgLhJDmuuWdPghocqlW1LiDAkZ/hy4ophA4xTu3NoRv/gnvW83m+cvAxV3p/HQ
bwP2sU+EEO2N6Ybt1Yum+iByOLLCcOsnznvMxwxmI1bUvHmgPMl+BsE/Lg2fpMeURMNemA202t4J
950xWRuXnsAbYDiciJPpUdlhWOlC95m/7YqyOuf4NdY8a0qwKv68N/yyOVs5ydSs7pqD37kshFIE
mNex9nnfMdmeW8c1l7k1nQvP6plnJpE8FV7rvopaTN8lxSjHpFXYHnCpXp1xLj5Ge/YvhIERriub
68drQv3lJap7NzJoGtAuouTq9K18ln4SPdIZNj2QRygv5lDLR1aW47Uu/Og4Oa99LBeN19dbn7A0
/WGm82Jgru2pG5ysD+kZwwZ+Greyecwe6t7tLgNrq9PEA/MHwF93p4vOY2s+jl+0MuY3kEDtTRK/
uRJ8TvY6hiHkSPgAfsgONipY5JlTHm5p3oRjaJdqgYRMnCXAi1E4id76EeUWOFK4q6R0o0FeBraQ
ZnRMkwyQb3ZH9eHI7ekHmwPrUo4Ab5zENRG16IRU96i1zuJbMf4YI/JGCHrLvs2mK4smnqSlnvqn
hm/mZMasOfUW+BMkxWr+llkCw2toOrnCjvrMoujFy+crRNIPFWc7R+o9ePWlM7Noctp4h1B0rOJk
DS9HQZuRS7TYcOUYoGcmnr/CfR8MhGQsvMvOdH6ykoVekHw6uFanIln2YbqBz7LOmdx4MDiSFVUJ
B+3ihY7YErF/G63i2cqdfSy8S+Z0Kzyo6GE2f3G37fGLi/rVRO5aw0p/n2c4DVMYM1Fq9dw7/UsA
ha+c8MQY3IniKD2hOu9Db7p6cdjvS7MCz25YGV6bPl2ls3WdPFaDFs4MfGdrv4rOVTw0lKsxlFN7
u+gsZ9PX7SZvMFSW66Z769Ab26I5+hGrKd/bhFn+G1PZy9/0odufts6/e0rte5/h30QXj30f6UrB
SsuWDqA3/99EFwXsP2mxV+xU9sYxPz7OYzdega1aC8PMpoNQ95byIpwfuD9Fj0Os5LOZNMm1Bo2L
eKvyHtJhr7/cPy6V9H7VTPfrR96vpOh+TaX3q6u6X2fmH1fc/dor2P2Qn8oRUIgFnLv7Nerdr1bS
XvOBuGPzGvxxMY+h3RxY7BqHMOBan+5XvXe//mFqkDnRc8WCpfG3QwddhkgGJPckSEmMm3Vww8fI
VvR+b2EJis35fr9hcWovRBuMVGMM9jNxKu5LZsN8HkZR+wT5pHkSRfM/qTuPJceRNFu/yrwA2gCH
cmxJgioYWmRkbGARKaCVQziAp78f4naPZWX1rbLejN1ZzKKnuppBEnT/xTnfKa+k8BSaEtXfxgvd
WLCedCJyOfPW0w9QyPLhrieiQZTMD7GekjjR01NCRHAAUiyEecRhinwW+HAag0P5PGwHfOTHOZfJ
W9VQZzTmHDw4aMPDxBb5y2gnNAxac3ybifau2lkjMwpq61sUGFNYEmNoNxmX/OclULN4Ouj1ZujW
O4Ldqryu13sDXNj801zvErXeKsxz6hdrvWmMz0uHb7MGdcJN1K53klxvp269pyK/SE7TVF/q9Q5L
1tuMsIVnrFQCWxLj/u8MCa9Wyh9AZGF1AKIJUZXzgFcGX4z4Mrs+Qy0wIfNXHUxEBs22zPZNzAAq
59kM2fzV+CUo4LAAENc6VTc+li2yLMBYY75MUHTz5NlFu29o2o5gUdC6O4Smvzvg3epjjayD5qbu
rX3nmj70vv7zFdGolVsfGofPPW342FwIBEy2JFUWcLUz7122aEfKjEPi4GlJv0rQNZVC2a+LLx9y
54dtNvejXcA3b0zhtnvyIKhL6Ba2Q2vkDLxKD8pYzz7OdJspHNv2IaHbPGrD+aoqRjmDiSM1Xagr
Fx7fucDngm0lDIzoKcvap6JHDGboTO1WajGRSlVP/l4e/KCJ+WJI0722hyAIu8Z5Bh1NBWQIOzTL
MeeEZZmZtnHxILUHfyKd8pCLvttFZp4++Sa6Rw9D5jnBoAuo6Em2aXIFISE/Vj5lNlrBc2xbbKjH
ZEr2HhssgFtFvhtt7y21TGYlVvoTimhOvPMCzpyJWSis+aKoP9B/8V/XPBjbzB9f3cGqz5VL6HXl
TQ4e/Foc2rlQO2sMSARZnINMakDUlQa/ZLbunmEqYxVTveO0vKcuJNLBY7dC9fHc1NNLLcrqURsN
7ZgskoMDmVpuYtiJl4Qkk12Rx/WhB3IYanRgBztDSyh9gr2kMyLnFfzWaslcM+rwhxoxid3x1L3p
avRPs5Wnr+lSvYF9oYJwGyh2PiYZ9IDqEC0FLCuVEsdRks+trA4CUAP6dwX1buGkEpyQwZYgl6Ck
tGjYbtp37GLkLsbzSVO8isFkVL/UEfKWYKZrhQ8DfCEYn/j33FNsw+TZ2EA3nzvpESfTu2g1m8A8
EoCTXteR/91qOsBowlh4CjhQjLL6ThfzM7O9p4QlEy6XlKWMETs3Td1kW7LVBY1N8r0LqCkKNjnw
z7pyR1VgsfVMP+ZZvOriq+lm1z35EqRppFusEneLVSNKzKufXrc8wAmD1iCBYRHOWtgYlNlK0nSQ
ZqPEuLMzDkdc58V2rFaIXu2ox9ES5jNBfx3dq/VtItYydNvs2VfF0VIcXIYtNZ0xCV84epNL7NtX
SGATZsn8vibFJYH3Kt0xkL4Z4fhHm8Gv22Paj/UJ+HJyjPEdvWZybTJjG67VRLAz0Au/XZBdjstb
lOblDp16svUHdAeOy9ALklPzDlfKPsWGhy5EB9mp6J3uNqqxFIxdVN25kTF9RJw/V9aqq8Tx178h
X/Iv7Vpl4dkr7vVn5bXWYMLAK2mw+N9Fn9UZJ67zDCJqelBr8Tbwif/Pbqj+FzsUMA44Jkuk/zc1
Aqf0u3rP4d1+/8MuiyP5n//uf3sUTAefAf9fz8NG7bId+2+PggtoWKAA8i3pYx745zbLtv7heL4Q
K2jCQnm7xmv9a5sl/8E/kN4/453Xf+s/AEd4/m/rLMcCncseyzc9vBIB47E/rpGwFDaKDGZxiDMX
5q1fIMzfmi7ikiDy3fcOxda9NZM8DqAUs1m+VNPWzGdP7G0Y8Hvt+rjwOwKE8hF2LePedps0zwNU
3Aqf2db3c3eXeG1xYus+fqDQ7U9mliK0y/qY7JoAziNsbunSJc2lzLfST82HqLA4urHC3rJM6jZF
6/THrBr4K1DGJht6nCk0c300qkb9iBmgbnt/nYIFZRrsChIeb8x+SC+xFFY4CwLDDH9Af46oIoQk
n4Zdn8mrzLaCLeFMatsyOTxQVgffM440Eg8wBO+tLnIO9TyYj/6Sprd54yFTYJK6K5E7+RsHncWZ
E0PsTDRme4EfjU1NEa8EAME9Ii3+UASPcLdky2QlHmf834mDv9FyB3mviyxmC9HUdxBCmw+zLNob
UqsuzuK9kc91vdSIEgByHZe5uIyjf4UU7j4xEH66znDnUwsZfHO7yQEZhLLqQOikOlEyTATbwDoi
mN4oEXfJSfe7JI+8p971CeFmDxWZO8tJ7wUZmipfE5ckMRhR5QLylWtnluBwhOMOB47+D8/CO7aq
mYpXRW9EPbqnbJHNHeIBYqEWYXhPBXDYs8rmjtPLMK+nJCm4nHqb4Yrsc3ODQSc/eeXkA3fniCuQ
pj3T4HvWpiEEBNrNQjFmIxY0fWmcatEa3zq7jxh8494hKUV0m6HS/hddeOIKe5velHFib7FrujDy
GWp+J8VMhSZP5TFIanyBtZtUB7N2q7fRFR6ZTFw0BffFh2rqrz2s0a9BAFLPL6v8ocyd8Q4Qp/dS
pxoVGlrbS5W2/iUr2F61lpfsVDddyNSOL6OJHk61tnEMTJ0fotgR976xYopIiAIz4uQ80W7OyMuK
BogMSX5dTM7qkM5ZjrBCA0GxqHreuFbmv/Q4gAV3sU5OyHzmxykFO1jqzroTVgEUPnab8d12pYYv
CavWXmC4jfnSvxE9qS8R7KUjNGv7qTMlyEmpa30LEk29FV7Uqm2eLTBPx8lw2xtCr8D4R7o01lBO
fAfwLIwwtzU0zEhLJu9YXg6MM3iZii7rbvS88gXoGT6CzuCraPPJT8IuFkCqKnRRV0tMLJYNBOvs
ZyIKDfrTW44LVlt5KtIbItcCKnEH5kO/9JfRC8y7yYIDwmLUnR9hAFpnJ+87RlbA6dE1ifgWrCz7
TmFlgh4TjXs6+aZCmuEbV2UE2JnZra4tXrTKbsViV9fRuOR3HbCxkDapQuRtsUqQznT0IYa1hx4j
3z1avOhW4ji6AA9ItmPDHm4DmcreSzoqtQm8Ir2IDFWqX8/exUq66QrrQHIwbdFfEMPo64TU7De3
KVhHMABn6Cnm5yZy6gBhvR09WUABPyyx1AdoTcGWqG/16FbNtEvJG92lCNcPfmrx25p1md9EcaHv
5WBN9zNTUAR+NXRdePf+jiM1RDVzJLJBHX14epecud8Rj8l47pGp3FleUN6lDBleWsPTbPPM+oe2
mxhn91STJb9I49GfB3E7dsJ9IfXEIHip0dlVr7MOFpqfXUEP4pFe+RoVw9ZdbUGmdmvAH0YzqZeU
FAEeinwgW475WWhbM7N/J2C1neXJ3uwSzbwz7uhIVYb1vBPxo+OX0T5JJP4D6qv5VEPvuMQlAVxz
6bkHGfTAYxkJ7WIQWadMDcFrZSh/33ZieGgBRbMoIiq+6bX/mmqrPGBoSfa9oJsXXjfcjB5Gqdkn
d96xRPkmmNm+BZJkPVo0bFCTkSLnyQVPu9eHK+nf20KUFCeVj21oUTU7W7fIk3NOn3OmxW53epC4
pharvGvaCa9Znn5jMCy3XtWdUeOuUrR+zwr8rbEXAF3z4D/EcO7iklQGmfjxE3yK8UfVmawZlT0d
erVuZP1BYDrxZmwEKM0TFtXK0RoNk71SYpTdXBofRsKyGvnUUMdEbyl+keQ2Hd0shTlN6ebYr4q5
pDukxrVVj8cylliccWZMhlJHjuqQWMhqW2Zle0RZqsIe3srWwkqGjUH1q9nJdO3inNs9+Em+E/yB
GQyMrUhIl84hmp/IW1/fC6LZUCGo3CRKvZlI/o7jgAB2K7WNGmMxXf2oVtHcAAUnFK12yXIqxwfb
UC44kLgOjpPVzLALJS67eQowmj34CwPoohy6O7PjPmvYmzHcFs1HKwGHTA0fD2mf7lMJ+5gntnGu
k66xmb9Hzc7qqvnK0oJh+7IckYQsh4o1Ckbd6HvOpVWUgEMmvzvqkiW6rJCs1t2md1DguZjLAgvT
4OQY9gMbWyCDWW0+MrxkW6EMhpyJX839hgn0YG/cBLeEV03QPAbiPFdtwc8pUt4Zu4t64ffRXnyJ
68tGRc81M9TfSfgYj1I0YBOQEb+z3Wf1l1R3Uc76vShmUP1jGT3yBZR8pmK1jeVKvksx96HTtcmN
FbNp4b+I4aSbrENjLvUdY2vzwkStxD1gjuHItJNcEWNkV6gFWx7h9QiM8VkHP0vDxhZhGMFeE2lB
dKKtvE0aS52GcM4JYfGwtZwqpzIeUKTEaZhMDiuFaRpMIrwqjx0MKOsH6ou0ui7QfGKwKQsmhRwD
2+RkoswjBYq4Tn0bTJM647cr7qPeTn+UnDhMXh2wKMWEcavDGfVsl2UWZpS7kHSxPCGgLvaTQFzH
f/btYxkl6d7OBKrUOjUxlZkAuXAvHHEegZ32dfMAkefWwLtaIW3kBbsT+MYags9IAIs55Zue0mLb
QfHeqk5P33U6TT+Z833vUle9+cX47jWQSPFTxPUtlNBVUTOgj/DTdEucqr74tiooVtGgLI5QuzpC
Vux3LIt0wfXUmYN9tlv5JBaNSARJIqZJY80BrLpd0vnWBsdMTKPoVvuEmK8r5PL6tke0eIhqbTz2
edmj97K8rSMqj9CuOfoOeNLe8xuNsdcsNl/DUD6lqFyvU1y5dyZwPzbRY783WJCzRSu8xxhywwX7
I2z8TCzZznV68NRQXePzbPirLr1nJzP57YeVjRhTjCa6A+IL1EbXsKs4ojZIY1xCeYCPGEVkI7gw
4h2e0yHdagmeJUnTCf0mdimizEej3opU+2ESmcme4VAELgXVJK7DGjq9VGNoqck5lpNnPcLmSUJm
CXhYDREdXWAOLL619dKrmGhIAXc/90Z9SouovvN1MVubwVuw4CHBSF/dVPXHVufNg4lIazeJlG1F
Wvkb5iHOCxcdeb0eCXk7YB4idLTMz6lVSnjnbFGHuKl+yiqX117nFs9jXpFdB3szbBEdIoFhYhG0
s7NfzYynamwskLVRwFUzY2mgGrB3KXTGS2f2967ZkarYgBTxlyyUhfpiRPWOhJvkZpyNr9VI64/6
1322wY1vPLkmbNQ0LY3nd6CTzencuMkKMagIVpycVIcD9tetN5SofXkwGKqXPeFgwG69J5LiXMYC
fcQ7mPwN5IPo/Etn+W8m4MJZgQa/Ag9+79NoIn+V+xGHuWTAt5LjBDZ2Y6xraGMMfJaLmKwFeOKV
tWQ8t4GYniRhu6+zHJtbkSzxlZxF+zVCBRg6IwU+234RH5Jhbp4mO1j2pmvAFvNzYiqJMLmrRiUS
frQpGy2Hb8DcBg6lhEEM3avjBQbpdlBatpHoK9LTfCd0qvxKQoD5RjgK/iVjqpH8Fd2xVN4LuBvr
ZPSNG0bolV7FMPgI3NweBlxQ71j48aPNXffGKXIEN66t3F3ZyuWkEt9/o1KPD+66DbMy/V6P7t3Q
D4+oHFmh5lW+CwIx79wlme/HobowgFku6Qh1CDk44ULgjwOyOceEULJiUjjwVkfgd9EDa8JzDuFz
O5cUheFoWPUX4CsFO41UomBWiTdesPTMp6Sl2t2QiOXd13U33nagxY09IWbR9Zzk4oc7mOn3BmrY
rnEMP9R9Ih7qJZ+DDf7GzRKx1AjrefSu0AgYRxe72a4jKbRlHzqkCzsgc/oxdtNrlxC8VQ1uundU
CQF9aos9yyHGY40LEwZ693WkXUlAZql6AgZcZouI6zFIkb50uxB+ukfRKM5EY3p32KEjEryYnz7w
Qw9OUzDpk6id8bSYVNgk3XY/Cc6jFCy1npjiaUTOQPyxisoWDcFWYo5Fe0CdPX6W3MVn+S3WSpxb
mKI8a/C58kGKvUkvD+tWs1a310re/izq5Vrfo9Gl0jczbE7DWv9rQ/aXYO0JcKkF8F7pE4ZiFKBx
Y0PedpmGdlcH3VO5Nhjqs9fwqMw4jNYWxP7sRoa1MSnXFqX87FaitXHRCvtkycp9y2I3WCUqrRHG
iQE36LPlkZ/tj+UrUIZ9609bqTzrPGHYCLGBMWRXOQ9ukDO+jJEWvzeVKVDgER0jCFq+cyaVHWYQ
ycxz134Lwf1joxzoh0bzYIg0PTYGH5htNPVDyZqPcA0qZZQPE6mmlMJ4flgq4f0C6UOEgrfBIov6
CnsD2wq+BzQfprV6zNztIG37LoDq/NLyHczIU2kZ87V5hIxAH5lnCKiSvGdSQJPpVCuQ77Pz9D67
0GBtSBvLzg/t2qQOa7s6ECRzaelgcR9DA16b2nJtb/kj10aXlletzW+xtsHe2hDLtTV2jVjCjGy/
guDLP7y1gR7WVnpZm+pqba8ZoNNpL2vTnaztd7A24vNnT16s7Xm5Nurj2rL3a/M+rW18/9nRq7W5
r9Y2f1kb/oxDuoywGPRkNJTwo9bJQL4OCYZ1XOCugwPRD8Hur09Ua9VH//lApTZEUi5gsP4GqglU
F8/ONMsDApXH5dV+bd+N1/ZB33T3xD1VtzB6//oVnT8uMf111IYcN4AF4gT88v3fXlEzLyg9MBuH
0ZPRR1ED7N7i65hv8ildBFjOurlSc9sT6hvnyYflLj2WroiEQsslAB5TTLSvMj2TloazdiJ5EYfS
VtSNbx4WBslfOpYDT4BPOLm9qmZZDhNKoj/OZ4UQqG4vdqlQiVXLdOJi5ufGdGDj+fJhAPlxGKmm
6J3LbF84VrufO7yWsnaXN09nKJV1VJzG1pUsOgrjuUw1QKq+yu+TcoyvxAo4vxqp7x6TwFveHQ1I
fEcwkN5lU6penNhef46lKL78zYcqfv8aHQF5zPI8pqio/D9l8r9kdnVQcen11sTPXjrnKk9PvYgk
+3eW8Mjn+awC270znd6wNtZqBXNRnR5G4VtfO5kgA1e1H3+fx0Gfy8KZrwxpdXf4CIJX6rv6xSYI
eEirLgR6umAstPWDKnuIl6S85/w0MxsbpT/nR9Zb4G4jYv/8nRcb/rmTcYWQeuavsgMxUiCTDvWu
kA60lA4e6rhlvY/yz6sp+7ymls8ry/m8vpL1JgvWO+3zA/sfgw79f2g6sT0G2L88Nn9iCX350fX/
tfkBTqj4dVL/z3/vn5YT8x8YZiXIKp8f6K+AZ+n+A4gQ5hI3sD4Rz/xu/+U6WSFDJrJubBgBh4jN
P/rXnN76h+uYFugfxpYSEJH4j+b0vz3ljPt5SDweVa5ZHCzsA36t/nwHO3shPXlQyZDvW27VzRgT
LA7WRhIcOp9++Xj+Tbn5p8OR13MsiyrU5xOBk/Sb3iITZI5DtvZJDO2Q6Yg8+4EJpb0fLYYN0zxq
XALMFzmtA7PbkBskgw1Dv+FlUVGx1XiznvORuKjd3/xdv28r1r9LQGxiT8F2xPXX0+CXXzuTduiC
7AkOjAfeeqr4nUVdscF9zx3hnBnr1gR722SkpcW0S+ZrF6TR39Ti6zH968Wx/g225QrTFJ4Fx+q3
vyGXrRdN2SAPTTqRK51T7LOZrp/++q2u9fzvr8JbdaVvB37ADuiP79TnQ84S9KQH1K9HN9dfpOOn
R53SJ7bIlf/mg/0378llD2TzjbvC4UH646spoSxzymRwCNjF7yc5FRuKFPE3r7Lukn57T2TMACpn
csEzLH57qgQzE4ZJEeVFAhWjpavcVMXwMJbpt//4w+Ni9yySJnGCsXT749txjYVPdH18oxRLSWlk
P9GrYYck6srO8r+51//NNwVOzAYbZjsuGqXfXmwanBrgieMfaptQcRY/LORHke/KxQNHkHnHv35v
Yv0ufv8UBQQ12+FEALr+23eVMuNelB+TOm3AlFQj8Wjaj8yHwko8LPxJvmvAa+1R4tMz19mamV5G
H94qldTV1D5kuVQHuyrZo+cYl9CJtM3Ws2Wxc+kr7hhzlc1OJlVAUEtWpVtGPrLfqGaBN1oDZtw2
/WLtBjcDUGpm3r0qS3X/1+/xd5MdfSRQ7sATgTA5i//0PGqCmTRZ4f4hrhJxylxDnubRJUdhdJ+N
uSLtI+pOlYp/+nbShI7IxRNQFvk3H/W/e14DTm5m3KAk7XUL++tpw07LqeCvBIeCfcyJKcBNZXoB
Y9bE2/71G/7zKwVQ9H0bc6NE6vb7d8rAGGUmutaDH6Xldhrgv6i6fOsSU4R//Uo8mX9+YNeQADIL
bIjz/v/9578com1p2czIO7LnglGETIfS1QM93Qk0Lw+ewYMg2v4pBggUZkNPnjVCDZKF4K9Dx6oR
mAddA1vcx+W/QSrpPcKBcd/dsZVHDXGo2NrkrzwGXe9cevQTV3kCe6hSxO+BQCJ6fl/w5W/bgZRF
s/SHk0mY5LFh0LgPVDUfjLZrd0q1IrTxD+AaGMzCwkxZu9FB94KAspL+ewC1fVu5FjYzkkg8prCT
2I2YN24js8zeyVoqT84YYEQoguU4By7N2Nj6p7ztWTXYi3MLRTjF/uh0zDbMArIKY2AJbeLayma6
wd4Oi6hB8MlIa9uRP4PHcGiemCk2zDGqBseNiQiIEQHOnLmlpalX+lM1zkzLK3JOzD57NMymvZUm
K2BMco2GmzEtzJO03b420xhdK3xIL0mwpIeRucc3+FFTzVrA/pob2ZeqEKhVcad5SH/VLdwaAgrK
ZNeaKTYyo8SBahF3pcZYPMAYYSRuJ568Mh27u12gzGJPbL1D16r8wNtptnIMsg3Ac0SvSz0U0JtT
psycUvMlQNM1wDodygEUIJpGssfa9FC0evxBycRnggoSW2nVsEEerJu2j8g6cG0xnNra6b4wwR9f
kG5CWEfDhOgHgHLwQtnG5N2FxvAsi9I5DWjPEMK3xlZ5roPExSvDujUj1lMgL1gzLlz99H7QfjdZ
4dTDLh9lehRxoPaV5PsW3cjHNxodqHbgA2RV4bHfmKOVhk7jul+TRsxX9D/OVztpWV/T+Se3IyQg
dyNH0KQbOZhggjk8GDQrZ2aUnpc6eNGd2xcvtg2WfWSk8a11V+GSH7k88QGZCo90RHm3KxPdhAgG
onPZqS3jZP/nghiIXAVahHjHzjvKDuwK8Mtk5FJeRF6258XrvZrGW8/8hEAyJ9HkHQRLFgFVTJQf
SF7HACMreTzBip1QkLIZTebDkU39dA1GJ043mRMHiH4NxApmjqdPVtFNPkzx0bVZFW6myuLvTbTC
G8AgxyNyWHgJUygjXS5Cq/0wWu05Cdw12aYqH1G04nRK5/3U+MkTDdYUgvno9x1/G0rBOt4HLRmz
0jVLvt+JUDBv4vkoFnAYQCcHj3VpbKEDxe5nz+2P2nLbMB2QIShSq96CKKCHH2O7PeFURHFlZKzo
gLJDH1tcfTCge+/agqSpHHbFNTovhiDTnJDWhTkrQzu1sbu0fMcdlt1kFRYAaStWQTZdLjMQDXMx
I/mj4Ct+jHzbPGapUYR6JmCE6SMaxyxR30a37O9F0CEK0Ab27G6QYQu2YQ+aG9IeIQ/TSIE4LZZz
Rdx7FuJi1SznMhyQzZnUAXnV1bIFbE7C2I+uiyUYwug5nkfnqlVWfGuAr7hi7xO8p9Kzn8Xi9mER
I6ljAKwGqnJFICpKmmNCwxhObspPQRoE1sNh2XkNxTG0u+QqbpAmS9WdZW3mW269eaOHYSBtc6mu
cUcRmNE4etnVoIZg+ymCidEcrOZaZr7wR4INEKgbIBpMMjN/eURG1l2TYpd+TCknrmkIQlMj1tAt
W/y7bqw1EBgcvE1sxmQG4nzxWmcJJzUbu2r2l+s4yF6Z2EFb6RAdkqhFAhxO8qJ8QGJBziGyv5Nm
vbeJ8mwXL1hsi4FY3dr29A8CE3DzkFOFj1YOhvU64aC4xmh4rSPyomSTxdtJm/NWOLN1KXob06cn
k2KvCh9rW1Hrfe3gP+wQtW8yCyfsotT4EHXA2/bKQbpQ9IsgGJa1nYeEV/vuE0XSchhaBq5uzU/Z
s8yDZXluiOTYunaq/r5JWbZkFaEgltGwgxUoK6Pq3aprtU1457YitDhmuYHMCHM5sZQJ+thwwnq3
tQdt37R6iB4qMypDBqrzFXzGa6dmu4/xZtlMtjfttR7atyjAweSjXdyyCL7z3FbuM/AfGt+V9l4r
P2GDW8TzHsYFQl1pxhF5mZUBgavGlvpMXTbdiyq1j4VH9otiNreFPxLd4Ismgrk1gseE9/sVmtmo
dvlUKD4Nr8RW1i1tBo6jYIm78zEnmow/2ICHXs0nQnT54t+xz2JlEXN4fRkT1X2QZQryovUDNZww
bE1y71Usl/tu+TmLlISNFBKN9od3gkzrE/9zqB/k1KEHgLVpuUGLcaJ44OzfMWS0bvgRtoclI59F
4EP/Kky7PUMbiGGEMKq2ZoKscsaC+zQF1Gox/gLaoa5ItsA7XOA/AYSziwPj2S50s7W55O88A+pN
t0RZvs1BnsA29zRPLqyD7eI77aPwEGalXXtEdWrgV13MY49p8DzNHYusdhhOA9kcnPJDRXYJDOnD
2ApUbnUBBxLaThgptuQsFovL3JfibmiKdFex2f1aS6cLW4eVhTFn5BBxWkzEv//kQsJ/XeHPXDxz
fIZOY2E1nVz9QxULKtzarMpdxuIcczUOqKJw571hyJp8k7o86bT7WQtRnycdWY9Iz9q9Mue7VI35
eV6Y/daBPQ2EVxvjy5jn8U93yVWY8N3cskE3T77bRnujCtTDQnYZzLfou8K3d2NVRrwvUihcmCTw
8hLDg+sPpdKBOPh5OyD4DfvSvCdUXG47OxGsxcZpv0SuA+DLiatzhs4ELJxA8maj/ZhEtuzrKc2v
cE+TwdCzKdfbKWc9QCpg/Q2UZXEVVSLHB9LziQReVhyiKrBOTlKjJku8q9wZXmc11ddTPd1MDDq/
g8wbSI+wG4QgBfkBUtwMNhE5QdR173aHVKQ02/GEWeuQ18ZLFc15vhmWJg7bKqrONcnPYdIAJ4gH
D09iN/U3gU+KgckleJya+FyRAfHsNNhQqkSKXRuM6ntb6YWbm6JgI9I63dZDrHeN4GzOkSnf+E0V
31sjjKzOxIEkS0EcK1DNescgY7ybEvWlWQM0agOghsC9W2Jrhdg47hAHNKTGTDtW1xJoXb0wPO3H
bSHwOS+Nfy3Ql/CaaXpPYe+yGs2i3bxEOOIqW5IaO1UvXWak+8avwjEnDMtLj4O2+hN0JqB1CVwO
siTjUKJX5+5jNUvi7nIojGozBP6+q11/P3sMhDdNY8hzUCMxEHbqkwb9hOSr3LV4Lna0UITNYaSi
lEeKHxPx4iUZyZNjkCJSh3KgSvdb37rRq89getOgjTA1OqQlW459g0OmR0NBUt+5N4YXmYnxLhnh
aY3qa9Djk7IT45tM6xdh59escx+hRBKNWFq3xeT/iPMfSsvx0IIxAOgfP/Uemcll27BY9S+pa10b
gtwGMqa7S6GMi+IJujhmgKxO2/JbPfnZPhYlCTbxtpLNeLC9tvyy2N8ZxRV7idxma+msxAvQFOwm
ZoKWyy59YiNOjnZXPatFvnhtxv+173kTvU21e0ms4qsj3P6qI5eC3HqV7asyeU5EwJqhfEI9SW58
ixoJB5SLn9v2WDWaAjMImgM2wGQWbsD7avTuuKAdl/lF0ooTCoF2r73iIeNXdSqy5IOxw8kjt92Q
LSZdnLd9O7K8y5Lo6FlivAV27d7Ojd/9AE8dMDRzT1AJyzOa+TWjQ5Puq6OPHHTeFpa689S3DmJS
mnx+slBmvyWL1ezLDupxVLp7FZjFec4L3PqRTtZSysOab6N7SNDQ77qpynbSwgxDmNe1cNS07aqJ
WqWJ8OmU2jkYMS1Cp9Ocrt6ghuENZ2i+OArQ1ErAlbul5vumb6032vAfkf3cOrZOcfGqt5H0rK6n
zq88qs8yF8PGjTjzm5iC3g4ekERc21n0pZ8xyHt4oauJ7z02GnOT+YU6JcnScOlXz2ZPwppi3yqm
rHnNSNXcEVPZgDX98A3ni1eYCKgUd/bcdHxpCuiZsAdIimP5MjEMhXHjFkelY+vogMQimpscsKYl
LDgdB2i1TsJ2iYHI2a/YYc4+4bNtCecy9tVbBcvqwHqBd0qYHRlM461rtahfSrsOF7sYfvpkK92m
9UR1R0jlfjbNem8EUDdm7NwVPcseR4U86yqiOIJH5wp1RxQqqK5Gtq8J3DLUIdFwYMTy2KKh2kdN
C70kvpGUh7ddawzhxNkREjfuXdescCj6J/rm1FLtSlCoQDRO+d70aI7lmlyFwDNkX0hKeQrWjuRq
Eu+0Nz0JWGsbvwK6rpU293Ht198m3tTZV36x8ya+UmENzVEgJj5w35o32MAIG0e6d0ZZVs3oJdge
iWtzblFbdUN2nQP+eunwZLxIGDjRZBGnwGr0kBS2+QU3SH+sUFA/Ns2oPgCfxne9kt41DDeQ1LZt
HGDGjoephLWpi6CDa9mVocMYh0iMBL1cm2JPxADJe+yszn82a0QtQ9zbexNOJXgKZnwgY7tyzZpv
hlNXFuZmMouvc0upGDPx+hbFSRWmrQUqWFEK9bTIhyADOjPNOJnyzByOEF9cNBKed25UP38d0LfR
MHlhwc93jwxqOK3heqHOXL1TZTyxR3czqsW8Oft+Mu6qzrtPGEThsOIbX+YgOIrRtfYTs5QcD/lA
/FyXXrMtVqeM2BnSyKd9wA+dXqpUVzVYtDBLFXWla5fXgR4ocPFCo1aw9G5couTULKuJYxLeoSx6
8rLKfA4H8Lks98R4jPL/Q92Z7caNZdv2VxL1fCmw2eyAUwe4JKNRqAuHer0QsiWx73t+/R2U82RJ
stOuRBYufPRQlYYzFQxyczdrzTnmYO0Ip0W/2hWVB7dj3HMAuxwaVSMXPkZaNLZPo60Nd0oSPOTm
nJ5VY0gESjQ/cRyvD/ZQoYsIaqlzI6lr1kpS9yeS3Fyrqo7TFDwSWeXHoYH2mKijwmnIi3Zrn5Kb
OoKK5kHVIZZTidpQXsPLzjqZWlAmKVQdI1JfrZzhUxQlDKbCD5A7qeK2C8BFMgTL2yXZGyXzQrUk
5xrgD2Brd4qN/BO1ivy6lAYbt2SIYSYJtUMEEn+PLE1bhdiYSPGdo3qfqPZnesT2gXqc4Zbg8J1M
lCTP+3PstrapUWDqzNOkyWuIOlWyMuwxOQb8Skm08o1Vhe5sgwIuBy6JtlIzlWg3hRMJmTpdQMdS
igGy9fwwNELeBgRM3oUFMs00jmsqHMZncyxiNgf25NIgCFZNppUXqQaOICEF6tToOWnBEI6PGX6f
QJKVilPnQbXFHIrhqM/j1YyH6UTtyUNxpISK6kk6doCnRKf1n6ZYFk89UejqTkJCsukHUwOIYMzm
nZKPMr76wUTSVXdh9FIwyEw8llOMsDloJ/DVSKvcVEZMi1psbAXKqBo2saF3K2kaOOnN7Xwlq4HY
lH3K6jglwqNrcomVgjnTrgkW9kHfxZYyetY4Bis5x5OXNECR/CQ/SVqQxZlS71JTgDdKWDt4V9P5
LK8zexUjqOZbmHPTOWFeEUhppsUNH1RfZ2le3CXL3KmA0SryNlnHWEpPAQwoayItYP6SLpbfYx7T
dq2eqatZIMX2RFH5W0Lo++uhmubLxO+rqyghc1MGVIrNjkgpOZfgYEoxVfYmLbF5lTYgzdaMOiCx
PnZyUDXMiZnM+ktgAcrMGRWrG5iDtIrMooLKEUqxm7Ydvl8TEAdYBQQ6CZRMMC9dRyChUTXpGiBs
+WgktkrbeDCTK5P557zLrO6ZWAkpc3wOk5uOW22dsn6HyTpS64OvN8xeyYGGNW52HI3EY1C8wFoX
nA16txeBontUcnoXIzpxz710TsEdKiv02aZfWFH0EdaSPsCrSUpUySALFzq/26HRR4QFz2JMFsI0
0PUzHajuYrO7MTGjh9g9NDLPstJ4NDhKbe3eUl3cG+1qgGJLr6ztDhwpfd7/DHdKKBkrzP1cFfFo
iAvY3ejYayRyNxfK9dPcqIDWx352inm46aYQeV87bKjUYuizfHnfqLTHNRuJSN4t5syI6I+8zVMX
iVS106zogIavWxV9v/OFPEouowWwOlXhFVWd7sxsYvXzWJgkAKJthiGkyZOJrlruIdHJZXsizLrb
mKaO8o7AK+vJiHGwdpNa3lL+KD/lVtMegsFq7wjujS+485yLKd2tlb42L9jLYUSuAov4iQLqXK8+
tyGAbntWxgt9JkPQke3U/0wNlh0+9fLyJNeQ8jmCOU8m6hwW4ZrsAYmgqaBCIpQUdtu+kGmm4EFS
/Fn2yD2g7ZjpecicqZWgRIoEFEhISr3l6FPHMZhMxXo+bu0JKyhmZFqqWFuduTCzs1ZP4msUlf5K
Ca3qtAmMAcfs0nHxI+lhInwCvgWki7Dgt3dDc9CHUmyyUpEvKIuY/OoGZGnQUNHTTXOkiM5e1iZb
oQJEA716lYUkAtLpAc9VkxFXiv7CT1MPK25DtkO84gTkuyUoqW6ur/N2tK/h7eYsu8EEJjjIcW+a
ynyX5ePt3IBvEG2irsMeU9WSJmyVbeAWUxTtgoKaEA2d4yCNpJtmQJtvQ2Jayu6JG4VzRCbY6GVZ
KNZtwakL/EcMTM/mMNsLicJLWGvH7GCJE4ggGCBMbFkVEbpaWMD0gqQDt7ba2BHNQJIHnpduduiq
SOdFo03FWpYQtzhUNMJLzdT0EzZ9xTGRdGgworC8NPopK+CfGgqw5ayhS03Bw/Ah3KvtvtFyoTCB
YWqVg7JCbB9wiKw5rRSe5ot6J2mqjO1WXoiEFr6RKqCsKQ+mccf3mtfQ9xEtVx1hihpKX205saR7
Xw4wBREqoT2hwGTTK5WS7ZV2DtOPymJ5TfYPk2XSLyXkRPO1F2EkWNgHy5I2MT0EljfqJbc6frM7
3DHmKR2p4ixFInCg8WkeG6qmXct6EJSeoUsh8jVJDAip0sa+7yerYCODX/dYZoWTGdtyRDnNoGjX
6bD8nbgHduBJGMyfRS60a/DiMlk3cfmSmDnc3NZusou8klVaDFVMTkFli+QJW4lMnN00bmU6I5cR
4RwBWB2pYd0pjIfJFOaFXsbp59ScfSqmQXDRjYW4I0ig53TcBdljDB1hV5LEiL9ssClDpBIHJnfM
avjDZaFf2gW8dbfIhPLYlAEQK2IosG1bobFPZISs6BSbYE/06WL4ktYqnOMbubHblyJXixuaSP5t
FmTFvcS7v5Ia7nzM7cSExk5yO+XRfOtPRXgHc31hDcPsvldryXikCiweUkBn+ITI7vQ1hKKiYQs/
a0CxcobIrgSLwpJSxCvSCccX8lRQ+lG3cXNZIC5vLJG5Ew6bG0nPwmNtlKezehjs+1hRE1c2YTfJ
kxXtDMrMEGwRxiJ5rP3HmSILL0CRVvdW3vo7zNAGm+qZhAYYRKynTdaE66DXr1i88uc+74q9QSDS
hmaDhKtBr4MV27yYwE3pIaLcUzj04UHsMs17vRKkG9Sk8Tk6DuJUmPbRSBZltqddhs1hDKh36RGx
k06uZuUlwi8gyDhmLG6OThFSqE18prZDeiyGyToe/bDdRaIonwhaoDFYKK1WueieUijDVpReYWmT
ZQ+lfHHGhGGVHik0xl4l7KTYcEweVbdXK07RRabHC/wkTdhnY4f9glNo+ETBetjLsl9d6r1ZPOtV
l57l0PN3c+eDUBK6dea3ZQk5y5SAQym99qJ3bfGcqMkAyawvOtTdvnUX1zWYhVQz4bNZUQWobhqE
gCuZQ+FkqNpeSIP0qtFxf+LD0sHnCb+RD1LdipvAzLKnPICuYlMVzRt2JP0Ep9kx0wBMkKbDWJy7
YXrMGjtEkU/ttGM/RXyCSel93jYtZT3d7ptszTGAm9xhPiJo2yhneReHGEJBhyky/YbRj86nsdUL
T6fryhwR5NZaA3Z4EsasX8Rw6rhs54qhA6YlS5EOs9hAkKcRXVr4LftKgI1hSKjncmdSsDNbQi50
wwweu7oEGBfUzZ1QpjL2MujGx/AJi0PIg7LWwmrEdUODcILgUJlPbI1E79hRNn2JA3jZbpqWZrwt
TWhXLh3jaVozmuNmQ7TgUhnEGGm4AECNh66wyaot2fKfBMAXQekvK5ttDJtgXoKOpFyxd4E5fa5r
kinoHA+jw9Ga94Q9Et+AZoKiGi4+SOIjqazRxzHvg3ROn+pg8ClZtmSwGhNSEUU5JbOdhL/aErWx
0YQhiFakgq06GERoeGj8xZXS9n3nAOdQ8lUZLPlLnWIWOHJCHHTrBuqb3wg8ySLSVTcNWjxwpixH
qyz1qy81gj5WXRiaTk/rZjrBLZm68tAad0RksnzEAYe3rPazZFunifYUp618MtUi54A7T8pm6rN8
gyzRcNO4ndZGShOIIZkfD0FHo8ykmbY3bMqZ9CA7VpPGb77McQkqtFSl+jY2QZ8OwPHIhwHw2Cv2
iS4JexejttoPswaqgq/d7Ka6qc+mqZM8erWc8SdiwQ1ZciS6fRvONgVkCq0pXyoLYItjp3G0Dy39
IqXvu1GDKkD6Df7RVcke2WJNCfs1fftwnTfiEVfgdJCMWHyRDEo7CnalSVWKp07X4mvNDFN5Ow+F
TfFXVHc2q/npwpc5T8tCOgQEQ/9EiLEILd5LXmxZoIJi4VYFAOZFPvFGsQAxzyzLsLKWMz3NU07M
e9Mowou0LSPWbbaqSNWl+FruYS19ZSD8eaDl9+QSSFDogi5KYcX6oO9ZPM6EkI7WZjJgh9lGWW/7
uqGLINO21wZStn3OZDTG5bh/GmaWlLrrsnXZJzhjeLJJ2eiQHzOKnSV2qDSnwZSPhrYe2MbTb1aV
PbkmGmWZzCBhiBV13taGKHaDiOczQprANMMLG3RqgxpKrdTthoTE+oEdMGs9sAkIO+omGxPJiVAH
eQagWKer4TrKg3414vlz9GFS9lVkfInzQrhYjDDpSEz4cUFgA664RSo1Wj+DVKsfNdbkFoIUsIWm
aSrVQfODiC1jKHH7BLt1NJScG+S9QHJdkKk5kd2EZGmY0GZoNn13ZepIcmu6aW2nK3YBi8ZgUD2f
tGnTzcKeLO8uM1axrfXHgI9CtxglwvwAF1ppwgZYi+NtDob0J8KcRUj6ceiRZKoTCMn/os9ZlHNv
hl7EWlL2dm1v5LqEM5Pb/QzHcx7DEwyPB2XsDa9ncQaF24Q76IjdMx2vDqDeotaj4KYrhMaozSBT
9kC38WMxz7eyvSXE0oB+ouKV0T+KBANqeIZiEBdBUAFz6KgF9qns5/VPPkb5qFxfnqON0Hp5BZja
lQ/PsaRhLBq/tDe0PydIP6opbYeh7rxxTI3PKgd45siEWEfFzz2/641DxCZ09CiMJydoduyLdLIS
ZDO8LKWeZxet1smA+/1ZWolIvirbpLn58a1RPt4b5mtZgSj4is+g9vNBplkBCaIgwdjDD82kMKu5
7poyxUHAW0RycQy5sZOLQo6Ke1w9cL0yVXbDPg13EyhgDzHD9KTjXvn/rL/+X4tUMe1FVfrnOJXT
x6QJH5+G5+fyrUhb+frffRVpm+JIQXBt2KjWUEDyVv6BUlGPeNyygVxQRypNU+IPkbaiHKHeYwBr
JmrJdzAV6wgJr4K4G02QqbI42n9FpL2Ezb6ZK1BnY5VGni0vbgRLVuxlOnwzV3BG9TnD5jgcB3o5
WbOxSVfDDl8/MIsPnC9lLzGG3ImpZ/hW0HFgl29C35BPMZfdEf1935X1uVHP02YM+w6zUrtnI2a6
fIvIKzpO1FVJ16fW07vWajBekY4zsHW06dHxHqhUYAzyHEv2xUN88eZp7L+utm8hfO+Xwdcvh+ZU
4YWimEfT6cOXo6QdtvNEw3/MYg+ECWj+l7wu9zI88L/2SWJ5cQ06UtgUF6/Mh2znQKoVs8e679Fy
oLIBqT+XaNLTDioD78cfpX0zs8HZEUiFBTIr/k/9sLOYjAiL2EArKDf6L6Zf4RXO8qVXRd2Nlrbf
L159AzyiXBmlZ/Zd42Ij6B0TwjnbYFCvc1duRGTe829dERl5hrtyRklb3wXScEIW1iORI4LMBNBS
xWdc95NbaiGykbw6nURA8o8eDZw15V2mdc2xhpjR5fAwrjiuDx54nkejn++rKnrQKhNAbyLrP7nd
34r9WUFslMvgiXSUEOoyrN8MW1+nvTFplCYKywKDw1qcjaTGhS2HU39jF3dlZjxKbLlV7IMjmD1H
9NlTKoXPP34Yrx/0bpsHPxENusbUjfQdl+r7C6HQPwZZoFPsgt6D4qWawMuZd1bQALpR0i9phygh
Juk3TU/qbr4qQOL0fmxutJI9cWarn7SOvJ4RKIRebURgPs5x8JBNClHI+uEnF7ts+95e7OLCYBIS
CE2oPTKFvL9YUlotKWnHEPAMB2+9BUktD1eily/hc5yVbXRFn+Y4to3tjOAvquQbKaQ+3QnNgW8H
EC3mZM5ZqFVg2dAHCsHiDfgKf7J9/ebpcp0EwUOMErxKOjPd++vUg8okhdaUPLoOlyUKzfWQgX4g
A+uCQjT5nY1Cv5P9iTBa8C31/NBjcEROserIZfjxTftoYv5wLR+30jItkRS2iA9uCNEiHeDEVhxS
WB1hqRskdj/5uNc56cMzwmrAaKIfwyZJ/jCgSG1NrDk1bU9rZ5q/AdVXqyXsOhsYFeKSwoi6Bk9B
qENBoFiVmdHeCKdjIYcP5kS2YIxSdBVAnWDfl9/5ne4Gjb3O4uaKanFyoob0HjrfHte+Hn2yM7kD
No7qUptPrRYZUkzR1SmVnFBXsE+TWijUkLsTDBJQ7XNYGkJUS8pBsCacrqY50DRbtNbTqtCr2dEp
MzlqTWIhWIz9jx/E+8mcGhyDghMNzggFlwRb9PeDYkLm0hQtD2JG6DaLYB2X5/g/6Eic/fiDXj0d
7x8BaDHSr/Ds8EGa/mHZANleqbnPO63FJjXZ5BnNNsZyarouJo3OI5XqNh6HS1FRH++mgwZw2EfK
QeXdf6gR1OV6Q2Fihqa7nLbVq7at0RWlmx9f5zf+etN4f53LdvLNJCj7thmoJT1DOkenkzKsm8SM
XTnO7nwWaMfkaOmFJZBJfLz0F8b8rB7LybXK6i5YmPbEFUjnhmik1ThW2laj3XvG+RxFGIwJ8iws
fxNUhkAOjHChGyCWlFV7jhqzd0RJhmDZ9iNSkRJ9hM0HozCjPw37C2KjAHI7cArnlI9eGi/sJhfF
7djGj/6ibRrLYXqY9O6GaiTBMOwcXjJ6b+7oBxQxuyo4wcg4r5Mw/ckW+9tBxG5HF+x6WKY1VpD3
tyxpbbYbGmEqge6ftzTtdTRQkcZRslTXP348ryeMD8No2XNQuKcop3AUe/9ZIxH0XaMVJJPDftp1
3Xw7R6V2UtZTcBMOWG7SClhqPp01wUtgUiIuqHzg/WSBHVry7SnLGDwUvd4r9vSTi/t4RGTo4P55
tTWha6ZM8f7a0rhXMt2idRhn6HCCNZ2qk7m6/skd+LhT4VNohjCJmXyGAifr/afU6uKJNtJgFSt0
XUZz3JLak3gL6neOwsKbmu4wBGX5mFb6NS7hTzot+ljmuG8K2m8VCRvkPkXE5jTj3qr18DQF+0WX
yRQ/2VB870oN7Gj4JYWmKvaHyYW8BT9F7ux7llEwq0TZmmgQigxQkQIZp4URmoADfNDF7U8m/I91
IuyK7GIwfJk6q7L+cbLpraydC6T0XlaaN/5gMsXUbgZpQsvVQz+he8iqn3yk8r3PRLSFyphsKCa4
D8/FzkiuAXJoe3blb9AQkrIeleOupJvkIWs9LbLuS5j011UoHuPIeFRn8Bq+9Lmto8ANpaI4J5L3
JTa1YwW2SxRf/XjciG/2KZbKZhq5AZMwlYLX638zsY0SXAZZbSWvQQsWxWifdX/tx7wu8xAadJdn
wiAYRMOovsR6uOsAEDbIHtat4d/X1VyCWxQHtNAvcRiusxFJUV9U6Bei/WAkmzIEjKZDPaRm88Vg
vV2ZXQC8QrKPC/56Rru+ixMNz/PYkKYDhjHRm+cpk6+6SdwrsHYa/Fx9Te0y8IdVv4ixf3wHvkFc
mpZqcGwx2eTy7sCAff/m5FHUctoITa/pzSs10z/NiHIx6kioJ8fUTe2WWDI9PKMgi+KazmAK5cCp
J+Jx2qA5tPVwgHjGYkBh040S4Y4qqb2tSUkHrrRZGSAV7IaUK60+DZqWuPaJyZuceKrl+CDMLDlF
XjB4ke8/kiySQ6C1LnvNvlfU6EwJNKTREMtiVoMYTdQgGzVdyfmJ+n+JGac6r7vI67lQfHwXaTqe
jnF8mqSJTuoEmY9t64GIIk0iHzZti3ZMAv/AGWQ12mAqCYuc1yLXVGTu1aqQZIWiIOCJNhs92MPj
OsT/pAFuJEZU2al6+WWog4sivTNnm8yb5588Cu70u1ncog7IId3kaCdr4uPM0BmIeSGwsx9TMfts
dcBjxXZh+Ra/b/3+0zb3zXNx/pg9N//1ztb+3+//2Hz9c/BcLM7yd39Y5W3UTp+QekyH56ZL2/9h
sS7/5r/7l789v/6Wq6l8/uc/Hp+IqPKihtf/S/uuEEJ5w2QBfHPHvzG6e49P9eNvAGl/O38MHuvf
to/9cxp9/7f8XlHRcLCTm6hgVlrqHxrTG26W9p//MNWjr6dvjTXe4gDBa/M/tnf5aLG7UnHk0Ky/
HpqbomvDf/5DxUW/PGI8YVgZkfkrf6Wg8nGDQWSjwaRlY9VVKAN8dNbGcauOrCX+aihj9uLjhl7P
Ggg+5gfxk/2f8vFoYsi6wai0+EDgDtyK95NEAM+hKMlWWul5se7N/jAhhmQPuM4LfT3b1X3Gwbsd
bm1QX+Z8EWQz1ULtLgV3rUbjyZiWOCjU7Zun952ay7fV5+Wq6HlQ6+IfOHG+vyq/jGisZZW/KsMJ
jkd1DJ63dQfVXCtBvZop9phS5hq1sbaS3LGD3psgohIwUG6ALAm1/PTjC6Lk++EV5j5ZqmZRCzd4
JvqCSH67T85CExED1pUVbfUQMqQ4DnJdHLDQ+hegX2Wn1CV0J2nf4XM05l1UkObTzjoxO0kvjucw
f5DQTYGYU9ITrbP8EyGiY4Tw63Lsahbq4cEcv6RMhMxsjlHkZ9iMo2RwRgvSRq47KuIP25BWWoPe
GY8bqXduVcxeFepQZfQzmWKOXYLzR7aMifDMTro1/ZmdIR0GtTjMfuYhg/NE1bu6Na1IAvIWLSbM
n11g+JuuKk4bQyXmPme7dDdl0jEsJ3fuP0v5iQHb2xGDtisnJ1XFNrFv+q6/7TsqyjUNALcczWPR
svXojq0JQ0BfbLS69bIG/mobfCJqLDLj89TS3VmeXRik6Aj8HaQxL6E1bfuYUfThMuvJVNfM9Qhr
zUgCco6ydl3FFn4SQozpBXigIlyJGL9O1Gc9gKtGexnNwbMEn4nmoSz6tVahF9Jv2Rrs4ozSN/oH
JdWdjgAiJerXAT7dmL4kkD03SBtuDx9DunFZDYei1j/xPJ1Y0rZdayCcG3rPJPFXRUyrVJ9D8wJC
5ynUPxpOljtAfqR1wJaHN7O3VhyaXCm6TIZiK9XnyNzXhh0+9rHPefcz0M2HpvmS170T4IpNAvui
wX9iL1YYQiWU3s0scx3hPAt8AKCyrZeX5J490JGXzqaKJ2d2yYVEvMRBBXzagmzqHLX1SYDKRPEF
zyH1qbLkpmV9GS/WyPSZHUb4SZ2D4tHGJAHwHtkenjg4igqyW5rel6bSqdeIb/rjhhP6PRqkYmFb
BORWLC11tOfBTVYmuQvH0Yfum89kfCZglB1f77JLi2S4tYK8xGvrGUFGPoz4OMrSGB/pSadbzvp0
48aqD87CvoxOtU670Okhfqrn3jy0alZ9PZL8p5e/s+hLXTTFS/t+wXtdxL4UCDIihAb//b9okUR9
ypphsR3nkKiyOi2bvT/vOXx/vfzt/7KAeo/ZY/66lHpR93YF/e5H/GsxXfoIrFY0nkwu44/FVD5i
602NdVnBZeqtTJv/Wkypi9CE4C+47KUH8QdDhtVUUJsGmkGNml9p/ZXVVNGWo8jb7ZduWRpdPEVT
DGwudAzfz91Eaw8x+VEC6PN1h5LMvlLWwRpYVx0hPHWt2I3Ie20OGgpAx+7cOb5uqoiX8dbH6BAR
3G31YjEg4/DtEX3hbIXNLa0hSG760iLfAru89XkaBaWSIHa66LYbHtSoRYOMjEqeLynUOoM6XWhh
vdakXWm94EZJt+DJe/U8eApB6eY6tf6EV+isqMkhNV4y4vGSGpM97W3FONZjwLa2rJwjsvCmQXLT
cNpkyNqwWXbuKOK1Lm1kI67XsbJIE7v0fCTGxp4pDwyfZTu/blr5U7ZEiESBiUBTI7ejoeQi8i9t
emFYfet0fYLoAX2kFgxOirO0xpRrqnuFGGFUKccahBl5UreSyHaJTBHQyE61UQFFUJYXTbfoEAPK
jJK0MmJ5D5iaIk0cUxhEz9QJBEWVuJdhzvOYVnQYVgU+/9gf1qJJ1nQf3bolM9GoCRZpzrSo3beG
dq742pfENPYoZaG+TROpPIp6g8f3Glv4WkWGHQjBNok6nBMatAoMcKI4PqN9gPkO8R6yWGFF5xUT
fjz+pMxHmf7j2OK9g4QkU8F/LS9+GFtJLzdjVADdGufsum4hjgpBJnSvb8MlG0uVKy81jV2b5Ju0
vIDqtqEfc9Iio/YmWeudrEH36fv28RK0lUjyOupIAo0Tgjh8ba/1xXoc9UsILOAH48artOikyk/k
TmzqMj9RprUiWRCGS6eM5k96Gm4tc1jVin3e8gjLKXoRtX7Qk3vU3BTFdBeJ6Tog5ZUwEMTRLcc1
zSvi5tSyWV0B0mKT2CLW2td6ve41sZ9k+9QQwdk4kWI2AqoO26sYZgFDcjPbO6E8GHrvxHO3qwxi
MwvafPjoK7ROI9obRmWyYEv66NTKz8wKKq9fU+G1PmfttE2R0wQD5e9OYlOTdPPpjD/LsvzHqdTX
RQ5tjF/oAJtESaVMO6aLW1UNsMZfqXV9Vvti2yjDVT4+zLE+npQqEgs8ruZ95WvgPsP0TsLZEpbK
BkVP7AyGYLFCj6HVT/LINfbZdBGgUyZksNA9m+b8STVUTmnMD29m1+/sZ9WlivpuBmKU0IIAowX9
B2HIsgt/U4yYC/z+NR6plVEkz4HU3frcPr9WHrCWsMeqd4pZH7BHn89df0Hb5zgm5jPCVgh+oVq3
cAuptMRe3JTH9WxfkFnM3NUeGsvOEdQl+5jiJwKDn4xu9CofrptdL+VhmQmcBUaBrf7+upuySste
YQdT4aLCHKfhZOGCdbjTHVLZmo2Vn4aw8ZgXS5jEEthopyJslJ36WOabKkyxn0uEQtUV+RqlaTJm
SdsqQCObXcwZwkjPp6i/ZGLFlIX5KO4uS0m5nolRyGr1KdDHy0w0jq9ZrUcgcevAO+WDDVLHRzpR
DgHNL3IXdkA/WgnQH3D5eC5BcpfDIez7/WB1J6WBOCkycjYhfrymRfBQmTN6+6S/MpT0ok8FWFG9
fMmlOFzpWnk1tNKLjY7dtSLjBcbkZWPEdxmyp7rHGKErL5imN+EYQAngCoLquG6EM1u224b6zZAR
hWQRvm3iCgul4wnOeZENK/pNgTy4ch9STNFvc0rYA1xb4Y+rTG/PoAjvm5bVo5RVL7bsrYSCxgm7
7jau22vkyMzj4m5OqusgGi862NMe9j4XNQ713QpVubzVq/xSD4etDBw/b9H6yeUl3etdp2qeQfWt
jnXPiK19kMvHRTnsBwECO7UuMwUDLyojD9jfysY8EuHeCkJ5zaM/lRUQE/1i5o9u4WFve5PgAQya
+nQmF6etP6+aSV+3NuUjk+ZlcxfPl76hgdmwvLA7scvkOEaYzK4PmijBtFBIlHUF4dhK5lU45Blo
b3wFxIGNrbHv8OJWdXxfZWyy7SbOCXzG4DlroqIeZ7a3cWZ+KgKNeOuq8nJkmRTgevIBgJek9Kcl
9SWysmNfsm8FQgFfKp6sgBhZglmcgjTqnNcQtEmxb6tkC7piHRflZTYYhySIT4Q6DR70WqciYgO+
tMJ/33p20a2htHp+0OSsTHc0NrbaOG6zjlNYkkccO9vsmmi4u6DRT8dau0lbDKO6cafP1dWYde2K
UX1c+VBTVO0E0ZyxGpqOoCclOJlGw3Q6MrS8OrDSlS7mU+rdTmUUF4Bx6o1Zy4+CPOeVOtSHQpse
kyqEh9q1d3KKuJEyV+ESJ7evRXvdz9auJ5cLI0m0kpJjJLQ3BONAN1BGjozxFV6uu07tTuRx/JyN
Mx27nOiIVNtKw+iNsrzPKOkRv3CTtYNj1YlbC/tgdNJZkNxDf3WAKLu2H543ffRJy+D4MtoFuvk5
osvHHRtH+3KcNJiuxOS20IyV6kDFt0+sF3uWH8ZgdAJ1XCud/SXmzBRlJrYkXT/49jMSXce0cUee
19Z5qZwTLp93B4TWe6T8XqfhSdKoZKv4kK1rSqouCcZuAX4d9y3cktFT42fALvDzrVXS3Jn21aCH
TjQK0upe7Cj0FPW+Cy7NALK2VWPu/YRtwsE9cig6leEincXyATho6YQzUjLUxNMSVz9tI0McE9yg
i2yFJN2x0a+XxoUyfOGA5mamdtd2lmNMvNeJihFnn42Da6af5IBOPnPlbeWjgCehyguizwOBOVn3
MsaFm5X25xHwzhqt9GepNLZ4QbdJpBAlG7ccSPHsYrjxcGaRJm0PnjqRymYXxCeGVDchYAMVCbKb
iITv1ahO4kmqsXtZEN0LCsLroZhP9Dq/CumCe6i8ruxEui+m6bZI5qt5jPez35JjXdZgzgjHOw7a
BOdmatElMVB090P+pejmjTWb2xaxpgGE3ZUttlNBOF5KokLrKZP6Joulhf7YIg7ulBrrt08cH1J7
VO2fM3xPZLw8kz94ZefYeapY3cbxFHhFw9bERkW88hGmYSqng9S3V6k2s7XLVmzUT3HFvSQyJ3Vl
E7TGTghEMEV9lgyYLBVxFlb6+US+raVVKjnTWgAjZcKhM+iSRxpJ5LV6LbmI4HB7J7jl/k84+yqW
e7ZppW7jp0TRyA7sKpKzu3oOcicrQGYEjX/QQmXHvYlWPsVsRy39ySlMs6WM0GGJl8g2gmV7+bo7
+A8cWt9VZ/9aOfb3T/9uPZbf9FUGvPztvojy9qr4pmj7b/1LP/5F7wq8DJi8XcrFJLHmbw+Wr3vq
d2fV10t6LS7/6Dekj9Sguydqx6p6RH+UM96rXnPRbP7jt7TIg9//2rSPNINiooYM9fWH8yGf9+YO
/dk9+PHX+7by/e3vefcF/rTGvfQF6Bm+2VT+8WS+vQ0ffsu/boOiHi2iDyR4bD/ffH9bPUKxQ39Q
I9Pk9edX+/4gYxBkfKOT/JNx8Kc3QDWPECShdQRr8/pDHeLtfTCOXlsJlBq+/lB3/7XGASL/pYv+
77wMf34T5CMdXu/Skv39a767CZY4QmOGegF47+vPL/cy0Fnh/f1b90DRj+iC64pFB+Xrz7t7wIRg
GzqVMptW3PLz9Z7/QhMCrwPlbPGxiPeXXwiZh/36lK2vD5tf+OaFoNXFnCDLSIp/tTeBLsvSFPpb
o0DVjiy0EDra6K+P+f2yYJlHyJYBE/yy06JKc/Lv3gODpXGRf/NFv/68GwHL0oCkhtdkUTPx88sN
hKWu/LenRONIt4RuIFf5+hq8XxdMxgkTAfJ6NDvLzy83JcJA55L/3sugH5GA8Grm+d5UAOydZdGg
5v71g36luZCG6xIs+7dfBQXXA/osm6Lr68/7ydDCSSEWfZn8692Br6sBxbe/NwSsI7jZAMCRv37n
BpjmEXMuyRj676/BL7c9orNjfb2oD8eXv7BJVu0jxcZjsXgp3y6FzJNoNwRrxdd788t9edOWiSP+
u2OAndFyFmJC+e56gNFo8UOgkVZ/0alwuQ2q9rdnQ45KUORp2Xx3LjAJsUB3s+xBvt6GX240oEP5
2ycFTft/zJ1LU9swFIX/CsOiS0+chx1PBxalM+VRWqZNp2sRe7DJA8ZJFumv7ydLdqzEAdrLQlmS
cCTL0n3pHClADp+wv2oXvBsfxSOdLkWaK+/rIAx7A+mCGIRBwoY5jqF7JuibTqJ+qLli1ce/mUDv
pK4xHAYxVzT1h0eWA4kzE4U552uUiJqjihGkiSMpA1owSAloKasP27ktL0GUNIq4z4paivmaQgsu
2aNgia5F0rwJ4SjVGEoomq3Revp4HBCF9Ti728w3jx4bYofWxIrCo5BkeZiMOdfKLZ/FEY8NlZrL
towJ8C4+5IwBrRmUPX0YjKGIc3RStx1MAlj0OhkzY6AlZX7NfKolEIlIYrDXmlEEUVA4JPhH9rzD
cb8uE+35R6qNxMpDYkYzJt7lziHSc+kgYBFH0F4pp3WXkJCSjxGXo5A2FtG7QRjyAqVJQ5gEQ7JG
rbw3r9pNHbEQcCM0X9mMgX8FBFNP1CpwkZHo4/8oJ4WQ+eyTOg4iIcOuxDaUUszHNyNhx0E6H/oR
l+aFmsvTGTkn1NghY8YI18zHO39JiteTVtUGcDvZSkj0FX9OmDAKKK0j86prikQRfrkKaFg2hBHU
EbD+0P7wNJ1bDGNipTjWnsO6Uw/zBsr+fUJ6oU0I44BpHkEP24sWE04m4UASDuoxtsC7aYAx6PGK
3sFDwo3WcYcbH2ANWRqcnVlnlv6VleFYm7ciWAeRyZ8RtnW5xjG7kRFnjLA7b2aBd/FBnTpKBwJz
SGJIBAp/sPocLAcSpwGZpfn2X2KENyRaDVvjIi/maUXmKLJVS6D36g9qrsMhgOUwXKVnp5qr4fxQ
i/cM9E7Md+7sTVfZcevLOluu2rH/bh/wsGmnrfqp6j9eFlmpyikKsEpHaLupdY1np0gZciSBd6VK
s1Xu0E2q7eVdhw6kh02E9CI+97Ms2rBmr04K+6nIVdmGNTs/UthLVW7VUrWBbS1djMx1ZNNczTtH
2pTnpE1cq8Vic/JBLZ4/ntyoFZcmOiNkK6HSVm5UuYQNNXMHydTWxNjM0/kecFWvkAK/cnbYcXnt
m+b4rUrzbfcaMomltPvf04Kjz9qz0hJgpMB3m5TDBbKy3DrgpkwiB18+qnsXuIqmpcA/1KNarXPl
sOPs/rcU+2cxmxWOwbJBsBR4ohbFHNl1ummPiC1DSsF/rdeouTuMuD7eFv8qxf+N4vuFC9LF6wdj
jsFal84ctwUJad+/bB5BX9eDoL1zszcmxn5yetxsPUpx8cqNvPBbMX265+1ereYI91fuc1g6pLg9
brk77p4a0qG0mdviz1PphgM2tyDrk4JPyuJ5486gXeIiBe8WgtadriK+5vgFaVv6aAb9qvfQ4bnp
m5ql6LdqqcepBrJd1+Dkd2Lw7IEYR22dVWFrSSR9UvjP2Twvaphdz/WRNmLoZr3tyXlN7zXDUNrE
BR4rLTh2ww2zDWeFdE+On6v1ulgdtLDjBUmbqPyMmukHqftbvQbbwjt4mmtcwVH8d5hCk4yl9bAf
41OjtCUe6Qh9VSnj0x6czv0WaTPd9uh/hOkv+u6ufLPZxj3MQmuif9e/uSm2/sV0nqny/C8AAAD/
/w==</cx:binary>
              </cx:geoCache>
            </cx:geography>
          </cx:layoutPr>
          <cx:valueColors>
            <cx:minColor>
              <a:schemeClr val="accent1">
                <a:lumMod val="40000"/>
                <a:lumOff val="60000"/>
              </a:schemeClr>
            </cx:minColor>
            <cx:midColor>
              <a:schemeClr val="accent2">
                <a:lumMod val="75000"/>
              </a:schemeClr>
            </cx:midColor>
            <cx:maxColor>
              <a:schemeClr val="accent1">
                <a:lumMod val="50000"/>
              </a:schemeClr>
            </cx:maxColor>
          </cx:valueColors>
          <cx:valueColorPositions count="3"/>
        </cx:series>
      </cx:plotAreaRegion>
    </cx:plotArea>
    <cx:legend pos="t" align="ctr" overlay="0">
      <cx:spPr>
        <a:noFill/>
      </cx:spPr>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2.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335280</xdr:colOff>
      <xdr:row>5</xdr:row>
      <xdr:rowOff>45720</xdr:rowOff>
    </xdr:from>
    <xdr:to>
      <xdr:col>18</xdr:col>
      <xdr:colOff>30480</xdr:colOff>
      <xdr:row>20</xdr:row>
      <xdr:rowOff>45720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DC30B07-2F6A-4E13-AC79-36F4C73407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1280" y="9601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598</xdr:colOff>
      <xdr:row>20</xdr:row>
      <xdr:rowOff>55980</xdr:rowOff>
    </xdr:from>
    <xdr:to>
      <xdr:col>7</xdr:col>
      <xdr:colOff>305398</xdr:colOff>
      <xdr:row>35</xdr:row>
      <xdr:rowOff>55980</xdr:rowOff>
    </xdr:to>
    <xdr:graphicFrame macro="">
      <xdr:nvGraphicFramePr>
        <xdr:cNvPr id="2" name="Chart 1">
          <a:extLst>
            <a:ext uri="{FF2B5EF4-FFF2-40B4-BE49-F238E27FC236}">
              <a16:creationId xmlns:a16="http://schemas.microsoft.com/office/drawing/2014/main" id="{E60A54D0-8C42-4A62-974C-0774C7C8E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216797</xdr:colOff>
      <xdr:row>20</xdr:row>
      <xdr:rowOff>48360</xdr:rowOff>
    </xdr:from>
    <xdr:to>
      <xdr:col>15</xdr:col>
      <xdr:colOff>521597</xdr:colOff>
      <xdr:row>35</xdr:row>
      <xdr:rowOff>48360</xdr:rowOff>
    </xdr:to>
    <xdr:graphicFrame macro="">
      <xdr:nvGraphicFramePr>
        <xdr:cNvPr id="3" name="Chart 2">
          <a:extLst>
            <a:ext uri="{FF2B5EF4-FFF2-40B4-BE49-F238E27FC236}">
              <a16:creationId xmlns:a16="http://schemas.microsoft.com/office/drawing/2014/main" id="{5D54D39D-609E-439E-93D0-80C895B6A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224118</xdr:colOff>
      <xdr:row>20</xdr:row>
      <xdr:rowOff>9962</xdr:rowOff>
    </xdr:from>
    <xdr:to>
      <xdr:col>23</xdr:col>
      <xdr:colOff>528919</xdr:colOff>
      <xdr:row>35</xdr:row>
      <xdr:rowOff>9961</xdr:rowOff>
    </xdr:to>
    <xdr:graphicFrame macro="">
      <xdr:nvGraphicFramePr>
        <xdr:cNvPr id="4" name="Chart 3">
          <a:extLst>
            <a:ext uri="{FF2B5EF4-FFF2-40B4-BE49-F238E27FC236}">
              <a16:creationId xmlns:a16="http://schemas.microsoft.com/office/drawing/2014/main" id="{07016EE8-B0C5-47EB-A405-EF5574618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119530</xdr:colOff>
      <xdr:row>36</xdr:row>
      <xdr:rowOff>159373</xdr:rowOff>
    </xdr:from>
    <xdr:to>
      <xdr:col>7</xdr:col>
      <xdr:colOff>453558</xdr:colOff>
      <xdr:row>51</xdr:row>
      <xdr:rowOff>85840</xdr:rowOff>
    </xdr:to>
    <xdr:graphicFrame macro="">
      <xdr:nvGraphicFramePr>
        <xdr:cNvPr id="5" name="Chart 4">
          <a:extLst>
            <a:ext uri="{FF2B5EF4-FFF2-40B4-BE49-F238E27FC236}">
              <a16:creationId xmlns:a16="http://schemas.microsoft.com/office/drawing/2014/main" id="{C34937D8-DE4E-4471-8709-4C34007C1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164354</xdr:colOff>
      <xdr:row>37</xdr:row>
      <xdr:rowOff>54784</xdr:rowOff>
    </xdr:from>
    <xdr:to>
      <xdr:col>15</xdr:col>
      <xdr:colOff>498381</xdr:colOff>
      <xdr:row>51</xdr:row>
      <xdr:rowOff>160545</xdr:rowOff>
    </xdr:to>
    <xdr:graphicFrame macro="">
      <xdr:nvGraphicFramePr>
        <xdr:cNvPr id="6" name="Chart 5">
          <a:extLst>
            <a:ext uri="{FF2B5EF4-FFF2-40B4-BE49-F238E27FC236}">
              <a16:creationId xmlns:a16="http://schemas.microsoft.com/office/drawing/2014/main" id="{20276025-CA5D-4C72-8E39-BB41FEF54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268941</xdr:colOff>
      <xdr:row>36</xdr:row>
      <xdr:rowOff>114549</xdr:rowOff>
    </xdr:from>
    <xdr:to>
      <xdr:col>23</xdr:col>
      <xdr:colOff>602969</xdr:colOff>
      <xdr:row>51</xdr:row>
      <xdr:rowOff>41016</xdr:rowOff>
    </xdr:to>
    <xdr:graphicFrame macro="">
      <xdr:nvGraphicFramePr>
        <xdr:cNvPr id="7" name="Chart 6">
          <a:extLst>
            <a:ext uri="{FF2B5EF4-FFF2-40B4-BE49-F238E27FC236}">
              <a16:creationId xmlns:a16="http://schemas.microsoft.com/office/drawing/2014/main" id="{4C1FB855-1608-4533-8BB0-D0809DBBD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478119</xdr:colOff>
      <xdr:row>36</xdr:row>
      <xdr:rowOff>114550</xdr:rowOff>
    </xdr:from>
    <xdr:to>
      <xdr:col>32</xdr:col>
      <xdr:colOff>199558</xdr:colOff>
      <xdr:row>51</xdr:row>
      <xdr:rowOff>41017</xdr:rowOff>
    </xdr:to>
    <xdr:graphicFrame macro="">
      <xdr:nvGraphicFramePr>
        <xdr:cNvPr id="8" name="Chart 7">
          <a:extLst>
            <a:ext uri="{FF2B5EF4-FFF2-40B4-BE49-F238E27FC236}">
              <a16:creationId xmlns:a16="http://schemas.microsoft.com/office/drawing/2014/main" id="{EEBC7547-C923-4F50-A415-49592B0BC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xdr:row>
      <xdr:rowOff>1</xdr:rowOff>
    </xdr:from>
    <xdr:to>
      <xdr:col>3</xdr:col>
      <xdr:colOff>3403</xdr:colOff>
      <xdr:row>18</xdr:row>
      <xdr:rowOff>65521</xdr:rowOff>
    </xdr:to>
    <mc:AlternateContent xmlns:mc="http://schemas.openxmlformats.org/markup-compatibility/2006" xmlns:a14="http://schemas.microsoft.com/office/drawing/2010/main">
      <mc:Choice Requires="a14">
        <xdr:graphicFrame macro="">
          <xdr:nvGraphicFramePr>
            <xdr:cNvPr id="9" name="Zone">
              <a:extLst>
                <a:ext uri="{FF2B5EF4-FFF2-40B4-BE49-F238E27FC236}">
                  <a16:creationId xmlns:a16="http://schemas.microsoft.com/office/drawing/2014/main" id="{67FBE239-66AA-4121-8531-672B8969D5AC}"/>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0" y="896472"/>
              <a:ext cx="1818756"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168333</xdr:colOff>
      <xdr:row>5</xdr:row>
      <xdr:rowOff>6697</xdr:rowOff>
    </xdr:from>
    <xdr:to>
      <xdr:col>6</xdr:col>
      <xdr:colOff>161405</xdr:colOff>
      <xdr:row>18</xdr:row>
      <xdr:rowOff>72217</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7CEE2E36-4D20-4FC5-B5EC-5032C6C1823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83686" y="903168"/>
              <a:ext cx="1808425"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394392</xdr:colOff>
      <xdr:row>5</xdr:row>
      <xdr:rowOff>1848</xdr:rowOff>
    </xdr:from>
    <xdr:to>
      <xdr:col>9</xdr:col>
      <xdr:colOff>387465</xdr:colOff>
      <xdr:row>18</xdr:row>
      <xdr:rowOff>67368</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8BFE45D3-787F-4385-B883-3AC6BE23C5E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025098" y="898319"/>
              <a:ext cx="1808426"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43180</xdr:colOff>
      <xdr:row>5</xdr:row>
      <xdr:rowOff>66271</xdr:rowOff>
    </xdr:from>
    <xdr:to>
      <xdr:col>13</xdr:col>
      <xdr:colOff>36253</xdr:colOff>
      <xdr:row>18</xdr:row>
      <xdr:rowOff>131791</xdr:rowOff>
    </xdr:to>
    <mc:AlternateContent xmlns:mc="http://schemas.openxmlformats.org/markup-compatibility/2006" xmlns:a14="http://schemas.microsoft.com/office/drawing/2010/main">
      <mc:Choice Requires="a14">
        <xdr:graphicFrame macro="">
          <xdr:nvGraphicFramePr>
            <xdr:cNvPr id="12" name="Entry_Type">
              <a:extLst>
                <a:ext uri="{FF2B5EF4-FFF2-40B4-BE49-F238E27FC236}">
                  <a16:creationId xmlns:a16="http://schemas.microsoft.com/office/drawing/2014/main" id="{EFED83E4-049E-468D-9CEB-D93C906F352F}"/>
                </a:ext>
              </a:extLst>
            </xdr:cNvPr>
            <xdr:cNvGraphicFramePr/>
          </xdr:nvGraphicFramePr>
          <xdr:xfrm>
            <a:off x="0" y="0"/>
            <a:ext cx="0" cy="0"/>
          </xdr:xfrm>
          <a:graphic>
            <a:graphicData uri="http://schemas.microsoft.com/office/drawing/2010/slicer">
              <sle:slicer xmlns:sle="http://schemas.microsoft.com/office/drawing/2010/slicer" name="Entry_Type"/>
            </a:graphicData>
          </a:graphic>
        </xdr:graphicFrame>
      </mc:Choice>
      <mc:Fallback xmlns="">
        <xdr:sp macro="" textlink="">
          <xdr:nvSpPr>
            <xdr:cNvPr id="0" name=""/>
            <xdr:cNvSpPr>
              <a:spLocks noTextEdit="1"/>
            </xdr:cNvSpPr>
          </xdr:nvSpPr>
          <xdr:spPr>
            <a:xfrm>
              <a:off x="6094356" y="962742"/>
              <a:ext cx="1808426"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396240</xdr:colOff>
      <xdr:row>5</xdr:row>
      <xdr:rowOff>3695</xdr:rowOff>
    </xdr:from>
    <xdr:to>
      <xdr:col>16</xdr:col>
      <xdr:colOff>389313</xdr:colOff>
      <xdr:row>18</xdr:row>
      <xdr:rowOff>69215</xdr:rowOff>
    </xdr:to>
    <mc:AlternateContent xmlns:mc="http://schemas.openxmlformats.org/markup-compatibility/2006" xmlns:a14="http://schemas.microsoft.com/office/drawing/2010/main">
      <mc:Choice Requires="a14">
        <xdr:graphicFrame macro="">
          <xdr:nvGraphicFramePr>
            <xdr:cNvPr id="13" name="Site Classification">
              <a:extLst>
                <a:ext uri="{FF2B5EF4-FFF2-40B4-BE49-F238E27FC236}">
                  <a16:creationId xmlns:a16="http://schemas.microsoft.com/office/drawing/2014/main" id="{11DC3944-13A1-4873-A99D-B202DD85B05D}"/>
                </a:ext>
              </a:extLst>
            </xdr:cNvPr>
            <xdr:cNvGraphicFramePr/>
          </xdr:nvGraphicFramePr>
          <xdr:xfrm>
            <a:off x="0" y="0"/>
            <a:ext cx="0" cy="0"/>
          </xdr:xfrm>
          <a:graphic>
            <a:graphicData uri="http://schemas.microsoft.com/office/drawing/2010/slicer">
              <sle:slicer xmlns:sle="http://schemas.microsoft.com/office/drawing/2010/slicer" name="Site Classification"/>
            </a:graphicData>
          </a:graphic>
        </xdr:graphicFrame>
      </mc:Choice>
      <mc:Fallback xmlns="">
        <xdr:sp macro="" textlink="">
          <xdr:nvSpPr>
            <xdr:cNvPr id="0" name=""/>
            <xdr:cNvSpPr>
              <a:spLocks noTextEdit="1"/>
            </xdr:cNvSpPr>
          </xdr:nvSpPr>
          <xdr:spPr>
            <a:xfrm>
              <a:off x="8262769" y="900166"/>
              <a:ext cx="1808426"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10390</xdr:colOff>
      <xdr:row>5</xdr:row>
      <xdr:rowOff>45027</xdr:rowOff>
    </xdr:from>
    <xdr:to>
      <xdr:col>20</xdr:col>
      <xdr:colOff>3463</xdr:colOff>
      <xdr:row>18</xdr:row>
      <xdr:rowOff>110547</xdr:rowOff>
    </xdr:to>
    <mc:AlternateContent xmlns:mc="http://schemas.openxmlformats.org/markup-compatibility/2006" xmlns:a14="http://schemas.microsoft.com/office/drawing/2010/main">
      <mc:Choice Requires="a14">
        <xdr:graphicFrame macro="">
          <xdr:nvGraphicFramePr>
            <xdr:cNvPr id="14" name="popularity_Traffic">
              <a:extLst>
                <a:ext uri="{FF2B5EF4-FFF2-40B4-BE49-F238E27FC236}">
                  <a16:creationId xmlns:a16="http://schemas.microsoft.com/office/drawing/2014/main" id="{F4ADCB81-C852-446A-9391-DCAB86944B36}"/>
                </a:ext>
              </a:extLst>
            </xdr:cNvPr>
            <xdr:cNvGraphicFramePr/>
          </xdr:nvGraphicFramePr>
          <xdr:xfrm>
            <a:off x="0" y="0"/>
            <a:ext cx="0" cy="0"/>
          </xdr:xfrm>
          <a:graphic>
            <a:graphicData uri="http://schemas.microsoft.com/office/drawing/2010/slicer">
              <sle:slicer xmlns:sle="http://schemas.microsoft.com/office/drawing/2010/slicer" name="popularity_Traffic"/>
            </a:graphicData>
          </a:graphic>
        </xdr:graphicFrame>
      </mc:Choice>
      <mc:Fallback xmlns="">
        <xdr:sp macro="" textlink="">
          <xdr:nvSpPr>
            <xdr:cNvPr id="0" name=""/>
            <xdr:cNvSpPr>
              <a:spLocks noTextEdit="1"/>
            </xdr:cNvSpPr>
          </xdr:nvSpPr>
          <xdr:spPr>
            <a:xfrm>
              <a:off x="10297390" y="941498"/>
              <a:ext cx="1808426" cy="2396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0</xdr:colOff>
      <xdr:row>12</xdr:row>
      <xdr:rowOff>0</xdr:rowOff>
    </xdr:from>
    <xdr:to>
      <xdr:col>34</xdr:col>
      <xdr:colOff>336176</xdr:colOff>
      <xdr:row>27</xdr:row>
      <xdr:rowOff>53788</xdr:rowOff>
    </xdr:to>
    <xdr:graphicFrame macro="">
      <xdr:nvGraphicFramePr>
        <xdr:cNvPr id="15" name="Chart 14">
          <a:extLst>
            <a:ext uri="{FF2B5EF4-FFF2-40B4-BE49-F238E27FC236}">
              <a16:creationId xmlns:a16="http://schemas.microsoft.com/office/drawing/2014/main" id="{C0D7F085-8F43-473F-B3C5-570FC2F5E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xdr:row>
      <xdr:rowOff>10539</xdr:rowOff>
    </xdr:to>
    <xdr:sp macro="" textlink="">
      <xdr:nvSpPr>
        <xdr:cNvPr id="5" name="Rectangle 4">
          <a:extLst>
            <a:ext uri="{FF2B5EF4-FFF2-40B4-BE49-F238E27FC236}">
              <a16:creationId xmlns:a16="http://schemas.microsoft.com/office/drawing/2014/main" id="{BE6BC474-9870-CF3A-4525-0CD2B325A864}"/>
            </a:ext>
          </a:extLst>
        </xdr:cNvPr>
        <xdr:cNvSpPr/>
      </xdr:nvSpPr>
      <xdr:spPr>
        <a:xfrm>
          <a:off x="0" y="0"/>
          <a:ext cx="12192000" cy="559179"/>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180767</xdr:colOff>
      <xdr:row>0</xdr:row>
      <xdr:rowOff>158436</xdr:rowOff>
    </xdr:from>
    <xdr:to>
      <xdr:col>16</xdr:col>
      <xdr:colOff>50800</xdr:colOff>
      <xdr:row>2</xdr:row>
      <xdr:rowOff>120712</xdr:rowOff>
    </xdr:to>
    <xdr:sp macro="" textlink="">
      <xdr:nvSpPr>
        <xdr:cNvPr id="6" name="TextBox 5">
          <a:extLst>
            <a:ext uri="{FF2B5EF4-FFF2-40B4-BE49-F238E27FC236}">
              <a16:creationId xmlns:a16="http://schemas.microsoft.com/office/drawing/2014/main" id="{4B7DD919-7F08-5551-31F4-3E28155CF8E8}"/>
            </a:ext>
          </a:extLst>
        </xdr:cNvPr>
        <xdr:cNvSpPr txBox="1"/>
      </xdr:nvSpPr>
      <xdr:spPr>
        <a:xfrm>
          <a:off x="1399967" y="158436"/>
          <a:ext cx="8404433" cy="3280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Explore Bharat: Tourist Destination Analytics</a:t>
          </a:r>
        </a:p>
      </xdr:txBody>
    </xdr:sp>
    <xdr:clientData/>
  </xdr:twoCellAnchor>
  <xdr:twoCellAnchor>
    <xdr:from>
      <xdr:col>3</xdr:col>
      <xdr:colOff>5683</xdr:colOff>
      <xdr:row>9</xdr:row>
      <xdr:rowOff>20068</xdr:rowOff>
    </xdr:from>
    <xdr:to>
      <xdr:col>9</xdr:col>
      <xdr:colOff>22633</xdr:colOff>
      <xdr:row>20</xdr:row>
      <xdr:rowOff>136703</xdr:rowOff>
    </xdr:to>
    <xdr:graphicFrame macro="">
      <xdr:nvGraphicFramePr>
        <xdr:cNvPr id="9" name="Chart 8">
          <a:extLst>
            <a:ext uri="{FF2B5EF4-FFF2-40B4-BE49-F238E27FC236}">
              <a16:creationId xmlns:a16="http://schemas.microsoft.com/office/drawing/2014/main" id="{D8A2C84C-B4EC-46C6-929D-92B53DF29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30177</xdr:colOff>
      <xdr:row>9</xdr:row>
      <xdr:rowOff>29427</xdr:rowOff>
    </xdr:from>
    <xdr:to>
      <xdr:col>14</xdr:col>
      <xdr:colOff>603563</xdr:colOff>
      <xdr:row>20</xdr:row>
      <xdr:rowOff>143801</xdr:rowOff>
    </xdr:to>
    <xdr:graphicFrame macro="">
      <xdr:nvGraphicFramePr>
        <xdr:cNvPr id="10" name="Chart 9">
          <a:extLst>
            <a:ext uri="{FF2B5EF4-FFF2-40B4-BE49-F238E27FC236}">
              <a16:creationId xmlns:a16="http://schemas.microsoft.com/office/drawing/2014/main" id="{B0294F86-3D0D-4517-8449-E1E4DE144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16565</xdr:colOff>
      <xdr:row>20</xdr:row>
      <xdr:rowOff>144243</xdr:rowOff>
    </xdr:from>
    <xdr:to>
      <xdr:col>15</xdr:col>
      <xdr:colOff>8282</xdr:colOff>
      <xdr:row>32</xdr:row>
      <xdr:rowOff>152526</xdr:rowOff>
    </xdr:to>
    <xdr:graphicFrame macro="">
      <xdr:nvGraphicFramePr>
        <xdr:cNvPr id="13" name="Chart 12">
          <a:extLst>
            <a:ext uri="{FF2B5EF4-FFF2-40B4-BE49-F238E27FC236}">
              <a16:creationId xmlns:a16="http://schemas.microsoft.com/office/drawing/2014/main" id="{11DF5892-3CD5-410B-8CFC-7058E9303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25510</xdr:colOff>
      <xdr:row>24</xdr:row>
      <xdr:rowOff>85381</xdr:rowOff>
    </xdr:from>
    <xdr:to>
      <xdr:col>20</xdr:col>
      <xdr:colOff>63610</xdr:colOff>
      <xdr:row>38</xdr:row>
      <xdr:rowOff>153960</xdr:rowOff>
    </xdr:to>
    <xdr:graphicFrame macro="">
      <xdr:nvGraphicFramePr>
        <xdr:cNvPr id="14" name="Chart 13">
          <a:extLst>
            <a:ext uri="{FF2B5EF4-FFF2-40B4-BE49-F238E27FC236}">
              <a16:creationId xmlns:a16="http://schemas.microsoft.com/office/drawing/2014/main" id="{8331AF0E-CFE5-4337-A90E-39D888179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52190</xdr:colOff>
      <xdr:row>20</xdr:row>
      <xdr:rowOff>74348</xdr:rowOff>
    </xdr:from>
    <xdr:to>
      <xdr:col>9</xdr:col>
      <xdr:colOff>31313</xdr:colOff>
      <xdr:row>39</xdr:row>
      <xdr:rowOff>105665</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72A2C64C-3CFB-4C87-821A-BD43D3E01F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80990" y="3825733"/>
              <a:ext cx="3636723" cy="35951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9</xdr:row>
      <xdr:rowOff>4103</xdr:rowOff>
    </xdr:from>
    <xdr:to>
      <xdr:col>3</xdr:col>
      <xdr:colOff>20877</xdr:colOff>
      <xdr:row>19</xdr:row>
      <xdr:rowOff>157858</xdr:rowOff>
    </xdr:to>
    <mc:AlternateContent xmlns:mc="http://schemas.openxmlformats.org/markup-compatibility/2006">
      <mc:Choice xmlns:a14="http://schemas.microsoft.com/office/drawing/2010/main" Requires="a14">
        <xdr:graphicFrame macro="">
          <xdr:nvGraphicFramePr>
            <xdr:cNvPr id="17" name="Zone 1">
              <a:extLst>
                <a:ext uri="{FF2B5EF4-FFF2-40B4-BE49-F238E27FC236}">
                  <a16:creationId xmlns:a16="http://schemas.microsoft.com/office/drawing/2014/main" id="{E57876B5-B532-4E84-BE5C-20CB53F8A0BE}"/>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0" y="1692226"/>
              <a:ext cx="1849677" cy="2029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32426</xdr:colOff>
      <xdr:row>32</xdr:row>
      <xdr:rowOff>176450</xdr:rowOff>
    </xdr:from>
    <xdr:to>
      <xdr:col>15</xdr:col>
      <xdr:colOff>46989</xdr:colOff>
      <xdr:row>38</xdr:row>
      <xdr:rowOff>156501</xdr:rowOff>
    </xdr:to>
    <mc:AlternateContent xmlns:mc="http://schemas.openxmlformats.org/markup-compatibility/2006">
      <mc:Choice xmlns:a14="http://schemas.microsoft.com/office/drawing/2010/main" Requires="a14">
        <xdr:graphicFrame macro="">
          <xdr:nvGraphicFramePr>
            <xdr:cNvPr id="20" name="Entry_Type 1">
              <a:extLst>
                <a:ext uri="{FF2B5EF4-FFF2-40B4-BE49-F238E27FC236}">
                  <a16:creationId xmlns:a16="http://schemas.microsoft.com/office/drawing/2014/main" id="{500CBAA1-C9D3-483A-BA9E-CE052E3A075D}"/>
                </a:ext>
              </a:extLst>
            </xdr:cNvPr>
            <xdr:cNvGraphicFramePr/>
          </xdr:nvGraphicFramePr>
          <xdr:xfrm>
            <a:off x="0" y="0"/>
            <a:ext cx="0" cy="0"/>
          </xdr:xfrm>
          <a:graphic>
            <a:graphicData uri="http://schemas.microsoft.com/office/drawing/2010/slicer">
              <sle:slicer xmlns:sle="http://schemas.microsoft.com/office/drawing/2010/slicer" name="Entry_Type 1"/>
            </a:graphicData>
          </a:graphic>
        </xdr:graphicFrame>
      </mc:Choice>
      <mc:Fallback>
        <xdr:sp macro="" textlink="">
          <xdr:nvSpPr>
            <xdr:cNvPr id="0" name=""/>
            <xdr:cNvSpPr>
              <a:spLocks noTextEdit="1"/>
            </xdr:cNvSpPr>
          </xdr:nvSpPr>
          <xdr:spPr>
            <a:xfrm>
              <a:off x="7347626" y="6178665"/>
              <a:ext cx="1843363" cy="110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599872</xdr:colOff>
      <xdr:row>32</xdr:row>
      <xdr:rowOff>177838</xdr:rowOff>
    </xdr:from>
    <xdr:to>
      <xdr:col>11</xdr:col>
      <xdr:colOff>606816</xdr:colOff>
      <xdr:row>38</xdr:row>
      <xdr:rowOff>174281</xdr:rowOff>
    </xdr:to>
    <mc:AlternateContent xmlns:mc="http://schemas.openxmlformats.org/markup-compatibility/2006">
      <mc:Choice xmlns:a14="http://schemas.microsoft.com/office/drawing/2010/main" Requires="a14">
        <xdr:graphicFrame macro="">
          <xdr:nvGraphicFramePr>
            <xdr:cNvPr id="23" name="popularity_Traffic 1">
              <a:extLst>
                <a:ext uri="{FF2B5EF4-FFF2-40B4-BE49-F238E27FC236}">
                  <a16:creationId xmlns:a16="http://schemas.microsoft.com/office/drawing/2014/main" id="{224C08CF-7B14-4304-85AF-714CDABE1668}"/>
                </a:ext>
              </a:extLst>
            </xdr:cNvPr>
            <xdr:cNvGraphicFramePr/>
          </xdr:nvGraphicFramePr>
          <xdr:xfrm>
            <a:off x="0" y="0"/>
            <a:ext cx="0" cy="0"/>
          </xdr:xfrm>
          <a:graphic>
            <a:graphicData uri="http://schemas.microsoft.com/office/drawing/2010/slicer">
              <sle:slicer xmlns:sle="http://schemas.microsoft.com/office/drawing/2010/slicer" name="popularity_Traffic 1"/>
            </a:graphicData>
          </a:graphic>
        </xdr:graphicFrame>
      </mc:Choice>
      <mc:Fallback>
        <xdr:sp macro="" textlink="">
          <xdr:nvSpPr>
            <xdr:cNvPr id="0" name=""/>
            <xdr:cNvSpPr>
              <a:spLocks noTextEdit="1"/>
            </xdr:cNvSpPr>
          </xdr:nvSpPr>
          <xdr:spPr>
            <a:xfrm>
              <a:off x="5476672" y="6180053"/>
              <a:ext cx="1835744" cy="112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273</xdr:rowOff>
    </xdr:from>
    <xdr:to>
      <xdr:col>3</xdr:col>
      <xdr:colOff>14564</xdr:colOff>
      <xdr:row>38</xdr:row>
      <xdr:rowOff>143801</xdr:rowOff>
    </xdr:to>
    <mc:AlternateContent xmlns:mc="http://schemas.openxmlformats.org/markup-compatibility/2006">
      <mc:Choice xmlns:a14="http://schemas.microsoft.com/office/drawing/2010/main" Requires="a14">
        <xdr:graphicFrame macro="">
          <xdr:nvGraphicFramePr>
            <xdr:cNvPr id="25" name="Type 1">
              <a:extLst>
                <a:ext uri="{FF2B5EF4-FFF2-40B4-BE49-F238E27FC236}">
                  <a16:creationId xmlns:a16="http://schemas.microsoft.com/office/drawing/2014/main" id="{E2F2EB06-DA14-458D-B96A-7C26566E66B6}"/>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0" y="3751658"/>
              <a:ext cx="1843364" cy="351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599440</xdr:colOff>
      <xdr:row>9</xdr:row>
      <xdr:rowOff>4102</xdr:rowOff>
    </xdr:from>
    <xdr:to>
      <xdr:col>20</xdr:col>
      <xdr:colOff>40640</xdr:colOff>
      <xdr:row>24</xdr:row>
      <xdr:rowOff>72681</xdr:rowOff>
    </xdr:to>
    <xdr:graphicFrame macro="">
      <xdr:nvGraphicFramePr>
        <xdr:cNvPr id="27" name="Chart 26">
          <a:extLst>
            <a:ext uri="{FF2B5EF4-FFF2-40B4-BE49-F238E27FC236}">
              <a16:creationId xmlns:a16="http://schemas.microsoft.com/office/drawing/2014/main" id="{8432D88F-0FED-4C96-8826-B5499D14A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hnaz Rangrez" refreshedDate="46173.888928356479" createdVersion="8" refreshedVersion="8" minRefreshableVersion="3" recordCount="325" xr:uid="{17A7D5E4-0FEB-4567-9EA4-BD4B587D7AD5}">
  <cacheSource type="worksheet">
    <worksheetSource name="Table13"/>
  </cacheSource>
  <cacheFields count="25">
    <cacheField name="Zone" numFmtId="49">
      <sharedItems count="6">
        <s v="Northern"/>
        <s v="Western"/>
        <s v="Southern"/>
        <s v="Eastern"/>
        <s v="Central"/>
        <s v="North Eastern"/>
      </sharedItems>
    </cacheField>
    <cacheField name="State" numFmtId="49">
      <sharedItems count="33">
        <s v="Delhi"/>
        <s v="Maharastra"/>
        <s v="Karnataka"/>
        <s v="Telangana"/>
        <s v="West Bengal"/>
        <s v="Goa"/>
        <s v="Gujarat"/>
        <s v="Rajasthan"/>
        <s v="Punjab"/>
        <s v="Kerala"/>
        <s v="Maharashtra"/>
        <s v="Madhya Pradesh"/>
        <s v="Himachal Pradesh"/>
        <s v="Uttarakhand"/>
        <s v="Uttar Pradesh"/>
        <s v="Jammu and Kashmir"/>
        <s v="Ladakh"/>
        <s v="Odisha"/>
        <s v="Tamil Nadu"/>
        <s v="Andhra Pradesh"/>
        <s v="Sikkim"/>
        <s v="Assam"/>
        <s v="Arunachal Pradesh"/>
        <s v="Tripura"/>
        <s v="Chhattisgarh"/>
        <s v="Nagaland"/>
        <s v="Puducherry"/>
        <s v="Andaman and Nicobar Islands"/>
        <s v="Daman and Diu"/>
        <s v="Jharkhand"/>
        <s v="Bihar"/>
        <s v="Haryana"/>
        <s v="Meghalaya"/>
      </sharedItems>
    </cacheField>
    <cacheField name="City" numFmtId="49">
      <sharedItems count="213">
        <s v="Delhi"/>
        <s v="Mumbai"/>
        <s v="Lonavala"/>
        <s v="Bangalore"/>
        <s v="Hyderabad"/>
        <s v="Kolkata"/>
        <s v="Goa"/>
        <s v="Ahmedabad"/>
        <s v="Dwarka"/>
        <s v="Junagadh"/>
        <s v="Bhuj"/>
        <s v="Vadodara"/>
        <s v="Somnath"/>
        <s v="Rann of Kutch"/>
        <s v="Kevadia"/>
        <s v="Gandhinagar"/>
        <s v="Jaipur"/>
        <s v="Udaipur"/>
        <s v="Jaisalmer"/>
        <s v="Sawai Madhopur"/>
        <s v="Pushkar"/>
        <s v="Ajmer"/>
        <s v="Jodhpur"/>
        <s v="Chittorgarh"/>
        <s v="Mount Abu"/>
        <s v="Bikaner"/>
        <s v="Amritsar"/>
        <s v="Chandigarh"/>
        <s v="Alappuzha"/>
        <s v="Munnar"/>
        <s v="Kochi"/>
        <s v="Thiruvananthapuram"/>
        <s v="Kozhikode"/>
        <s v="Wayanad"/>
        <s v="Thekkady"/>
        <s v="Kumarakom"/>
        <s v="Varkala"/>
        <s v="Bekal"/>
        <s v="Kovalam"/>
        <s v="Kannur"/>
        <s v="Nelliyampathy"/>
        <s v="Mysore"/>
        <s v="Hampi"/>
        <s v="Coorg"/>
        <s v="Gokarna"/>
        <s v="Chikmagalur"/>
        <s v="Badami"/>
        <s v="Shivamogga"/>
        <s v="Mangalore"/>
        <s v="Murudeshwar"/>
        <s v="Bijapur"/>
        <s v="Bandipur"/>
        <s v="Halebidu"/>
        <s v="Pune"/>
        <s v="Aurangabad"/>
        <s v="Nashik"/>
        <s v="Shirdi"/>
        <s v="Alibaug"/>
        <s v="Ratnagiri"/>
        <s v="Nagpur"/>
        <s v="Kolhapur"/>
        <s v="Tarkarli"/>
        <s v="Satara"/>
        <s v="Matheran"/>
        <s v="Ajanta"/>
        <s v="Khajuraho"/>
        <s v="Bhopal"/>
        <s v="Indore"/>
        <s v="Gwalior"/>
        <s v="Ujjain"/>
        <s v="Jabalpur"/>
        <s v="Pachmarhi"/>
        <s v="Kanha"/>
        <s v="Bandhavgarh"/>
        <s v="Orchha"/>
        <s v="Mandu"/>
        <s v="Bhimbetka"/>
        <s v="Amarkantak"/>
        <s v="Chitrakoot"/>
        <s v="Shimla"/>
        <s v="Manali"/>
        <s v="dalhousie"/>
        <s v="Spiti Valley"/>
        <s v="Kullu"/>
        <s v="Chamba"/>
        <s v="Kinnaur"/>
        <s v="Kangra"/>
        <s v="Palampur"/>
        <s v="Mandi"/>
        <s v="Bir Billing"/>
        <s v="McLeod Ganj"/>
        <s v="Manikaran"/>
        <s v="Narkanda"/>
        <s v="Barot"/>
        <s v="Shoja"/>
        <s v="Kufri"/>
        <s v="Nainital"/>
        <s v="Rishikesh"/>
        <s v="Haridwar"/>
        <s v="Dehradun"/>
        <s v="Mussoorie"/>
        <s v="Auli"/>
        <s v="Badrinath"/>
        <s v="Almora"/>
        <s v="Ranikhet"/>
        <s v="Jim Corbett"/>
        <s v="Uttarkashi"/>
        <s v="Chopta"/>
        <s v="Joshimath"/>
        <s v="Agra"/>
        <s v="Varanasi"/>
        <s v="Lucknow"/>
        <s v="Mathura"/>
        <s v="Ayodhya"/>
        <s v="Vrindavan"/>
        <s v="Allahabad"/>
        <s v="Jhansi"/>
        <s v="Sarnath"/>
        <s v="Fatehpur Sikri"/>
        <s v="Noida"/>
        <s v="Aligarh"/>
        <s v="Meerut"/>
        <s v="Kanpur"/>
        <s v="Srinagar"/>
        <s v="Leh"/>
        <s v="Pahalgam"/>
        <s v="Jammu"/>
        <s v="Udhampur"/>
        <s v="Anantnag"/>
        <s v="Nubra Valley"/>
        <s v="Kargil"/>
        <s v="Diskit"/>
        <s v="Kishtwar"/>
        <s v="Hemis"/>
        <s v="Dras"/>
        <s v="Porbandar"/>
        <s v="Darjeeling"/>
        <s v="Siliguri"/>
        <s v="Sundarbans"/>
        <s v="Digha"/>
        <s v="Murshidabad"/>
        <s v="Bolpur"/>
        <s v="Hooghly"/>
        <s v="Jalpaiguri"/>
        <s v="Cooch Behar"/>
        <s v="Purulia"/>
        <s v="Puri"/>
        <s v="Konark"/>
        <s v="Bhubaneswar"/>
        <s v="Rourkela"/>
        <s v="Cuttack"/>
        <s v="Sambalpur"/>
        <s v="Chilika"/>
        <s v="Berhampur"/>
        <s v="Keonjhar"/>
        <s v="Balasore"/>
        <s v="Kendujhar"/>
        <s v="Chennai"/>
        <s v="Madurai"/>
        <s v="Rameswaram"/>
        <s v="Kanyakumari"/>
        <s v="Ooty"/>
        <s v="Coimbatore"/>
        <s v="Kodaikanal"/>
        <s v="Thanjavur"/>
        <s v="Mahabalipuram"/>
        <s v="Yercaud"/>
        <s v="Tirunelveli"/>
        <s v="Chidambaram"/>
        <s v="Vijayawada"/>
        <s v="Visakhapatnam"/>
        <s v="Srisailam"/>
        <s v="Rajahmundry"/>
        <s v="Anantapur"/>
        <s v="Kurnool"/>
        <s v="Amravati"/>
        <s v="Guntur"/>
        <s v="Kadapa"/>
        <s v="Puttaparthi"/>
        <s v="Vizianagaram"/>
        <s v="Gangtok"/>
        <s v="Pelling"/>
        <s v="Namchi"/>
        <s v="Ravangla"/>
        <s v="Guwahati"/>
        <s v="Kaziranga"/>
        <s v="Sivasagar"/>
        <s v="Majuli"/>
        <s v="Manas"/>
        <s v="Hajo"/>
        <s v="Tawang"/>
        <s v="Agartala"/>
        <s v="Dumboor"/>
        <s v="Unakoti"/>
        <s v="Bastar"/>
        <s v="DzÃ¼kou Valley"/>
        <s v="Puducherry"/>
        <s v="Auroville"/>
        <s v="Port Blair"/>
        <s v="Havelock Island"/>
        <s v="Neil Island"/>
        <s v="Baratang Island"/>
        <s v="Diu"/>
        <s v="Deoghar"/>
        <s v="Ranchi"/>
        <s v="Bodh Gaya"/>
        <s v="Patna"/>
        <s v="Gurugram"/>
        <s v="New Delhi"/>
        <s v="Kedarnath"/>
        <s v="Greater Noida"/>
        <s v="Bengaluru"/>
        <s v="Cherrapunji"/>
      </sharedItems>
    </cacheField>
    <cacheField name="Name" numFmtId="49">
      <sharedItems count="321">
        <s v="India Gate"/>
        <s v="Humayun's Tomb"/>
        <s v="Akshardham Temple"/>
        <s v="Waste to Wonder Park"/>
        <s v="Jantar Mantar"/>
        <s v="Chandni Chowk"/>
        <s v="Lotus Temple"/>
        <s v="Red Fort"/>
        <s v="Agrasen ki Baoli"/>
        <s v="Sunder Nursery"/>
        <s v="Garden of Five Senses"/>
        <s v="Lodhi Garden"/>
        <s v="National Gallery of Modern Art"/>
        <s v="National Zoological Park "/>
        <s v="Qutub Minar"/>
        <s v="National Science Centre"/>
        <s v="Marine Drive"/>
        <s v="Gateway of India"/>
        <s v="Chhatrapati Shivaji Maharaj Vastu Sangrahalaya"/>
        <s v="Sanjay Gandhi National Park"/>
        <s v="Siddhivinayak Temple"/>
        <s v="Mahalaxmi Temple"/>
        <s v="Haji Ali Dargah"/>
        <s v="Chowpatty Beach"/>
        <s v="Essel World"/>
        <s v="Elephanta Caves"/>
        <s v="Imagicaa"/>
        <s v="Bangalore Palace"/>
        <s v="Lalbagh Botanical Garden"/>
        <s v="Cubbon Park"/>
        <s v="Vidhana Soudha"/>
        <s v="ISKCON Temple Bangalore"/>
        <s v="Charminar"/>
        <s v="Golconda Fort"/>
        <s v="Hussain Sagar Lake"/>
        <s v="Ramoji Film City"/>
        <s v="Salar Jung Museum"/>
        <s v="Qutb Shahi Tombs"/>
        <s v="Birla Mandir"/>
        <s v="Chowmahalla Palace"/>
        <s v="Nehru Zoological Park"/>
        <s v="Lumbini Park"/>
        <s v="Victoria Memorial"/>
        <s v="Howrah Bridge"/>
        <s v="Indian Museum"/>
        <s v="Dakshineswar Kali Temple"/>
        <s v="Kalighat Kali Temple"/>
        <s v="Eden Gardens"/>
        <s v="Alipore Zoological Gardens"/>
        <s v="Science City Kolkata"/>
        <s v="Belur Math"/>
        <s v="Marble Palace"/>
        <s v="Calangute Beach"/>
        <s v="Basilica of Bom Jesus"/>
        <s v="Fort Aguada"/>
        <s v="Dudhsagar Falls"/>
        <s v="Anjuna Beach"/>
        <s v="Chapora Fort"/>
        <s v="Se Cathedral"/>
        <s v="Baga Beach"/>
        <s v="Arambol Beach"/>
        <s v="Palolem Beach"/>
        <s v="Colva Beach"/>
        <s v="Miramar Beach"/>
        <s v="Aguada Beach"/>
        <s v="Dr. Salim Ali Bird Santuary"/>
        <s v="Sabarmati Ashram"/>
        <s v="Dwarkadhish Temple"/>
        <s v="Gir National Park"/>
        <s v="White Desert"/>
        <s v="Laxmi Vilas Palace"/>
        <s v="Somnath Temple"/>
        <s v="Rann Utsav"/>
        <s v="Statue of Unity"/>
        <s v="Dandi Kutir"/>
        <s v="Sabarmati Riverfront"/>
        <s v="Manek Chowk"/>
        <s v="Kankaria Lake"/>
        <s v="Science City"/>
        <s v="Hawa Mahal"/>
        <s v="City Palace"/>
        <s v="Jaisalmer Fort"/>
        <s v="Ranthambore National Park"/>
        <s v="Pushkar Lake"/>
        <s v="Ajmer Sharif Dargah"/>
        <s v="Mehrangarh Fort"/>
        <s v="Chittorgarh Fort"/>
        <s v="Dilwara Temples"/>
        <s v="Junagarh Fort"/>
        <s v="Amber Fort"/>
        <s v="Jaigarh Fort"/>
        <s v="Lake Pichola"/>
        <s v="Golden Temple (Harmandir Sahib)"/>
        <s v="Jallianwala Bagh"/>
        <s v="Wagah Border"/>
        <s v="Rock Garden"/>
        <s v="Alappuzha Beach"/>
        <s v="Munnar Tea Gardens"/>
        <s v="Fort Kochi"/>
        <s v="Padmanabhaswamy Temple"/>
        <s v="Kozhikode Beach"/>
        <s v="Wayanad Wildlife Sanctuary"/>
        <s v="Periyar National Park"/>
        <s v="Kumarakom Bird Sanctuary"/>
        <s v="Varkala Beach"/>
        <s v="Bekal Fort"/>
        <s v="Kovalam Beach"/>
        <s v="St. Angelo Fort"/>
        <s v="Seethargundu Viewpoint"/>
        <s v="Kerala Folklore Museum"/>
        <s v="Wonderla Amusement Park"/>
        <s v="Mysore Palace"/>
        <s v="Hampi Archaeological Ruins"/>
        <s v="Abbey Falls"/>
        <s v="Om Beach"/>
        <s v="Mullayanagiri"/>
        <s v="Badami Cave Temples"/>
        <s v="Jog Falls"/>
        <s v="Panambur Beach"/>
        <s v="Murudeshwar Temple"/>
        <s v="Gol Gumbaz"/>
        <s v="Bandipur National Park"/>
        <s v="Halebidu Hoysaleswara Temple"/>
        <s v="Shaniwar Wada"/>
        <s v="Ajanta Caves"/>
        <s v="Sula Vineyards"/>
        <s v="Sai Baba Temple"/>
        <s v="Alibaug Beach"/>
        <s v="Ganapatipule Temple"/>
        <s v="Deekshabhoomi"/>
        <s v="Mahalakshmi Temple"/>
        <s v="Karla Caves"/>
        <s v="Tarkarli Beach"/>
        <s v="Kaas Plateau"/>
        <s v="Echo Point"/>
        <s v="Ellora Caves"/>
        <s v="Khajuraho Group of Monuments"/>
        <s v="Sanchi Stupa"/>
        <s v="Rajwada Palace"/>
        <s v="Gwalior Fort"/>
        <s v="Mahakaleshwar Jyotirlinga"/>
        <s v="Dhuandhar Falls"/>
        <s v="Bee Falls"/>
        <s v="Kanha National Park"/>
        <s v="Bandhavgarh National Park"/>
        <s v="Orchha Fort"/>
        <s v="Jahaz Mahal"/>
        <s v="Bhimbetka Rock Shelters"/>
        <s v="Narmada Udgam Temple"/>
        <s v="Chitrakoot Falls"/>
        <s v="The Ridge"/>
        <s v="Solang Valley"/>
        <s v="Dalai Lama Temple"/>
        <s v="Khajjiar Lake"/>
        <s v="Key Monastery"/>
        <s v="Great Himalayan National Park"/>
        <s v="Chamera Lake"/>
        <s v="Sangla Valley"/>
        <s v="Kangra Fort"/>
        <s v="Tea Gardens"/>
        <s v="Prashar Lake"/>
        <s v="Paragliding Site"/>
        <s v="Triund Trek"/>
        <s v="Manikaran Sahib"/>
        <s v="Hatu Peak"/>
        <s v="Barot Valley"/>
        <s v="Serolsar Lake"/>
        <s v="Kufri Fun World"/>
        <s v="Naini Lake"/>
        <s v="Laxman Jhula"/>
        <s v="Har Ki Pauri"/>
        <s v="Robber's Cave"/>
        <s v="Kempty Falls"/>
        <s v="Auli Ski Resort"/>
        <s v="Badrinath Temple"/>
        <s v="Binsar Wildlife Sanctuary"/>
        <s v="Chaubatia Gardens"/>
        <s v="Jim Corbett National Park"/>
        <s v="Gangotri Temple"/>
        <s v="Tungnath Temple"/>
        <s v="Valley of Flowers"/>
        <s v="Taj Mahal"/>
        <s v="Kashi Vishwanath Temple"/>
        <s v="Bara Imambara"/>
        <s v="Krishna Janmabhoomi"/>
        <s v="Ram Janmabhoomi"/>
        <s v="Banke Bihari Temple"/>
        <s v="Triveni Sangam"/>
        <s v="Jhansi Fort"/>
        <s v="Dhamek Stupa"/>
        <s v="Buland Darwaza"/>
        <s v="Okhla Bird Sanctuary"/>
        <s v="Aligarh Fort"/>
        <s v="Augarnath Temple"/>
        <s v="Allen Forest Zoo"/>
        <s v="Dal Lake"/>
        <s v="Pangong Tso"/>
        <s v="Betaab Valley"/>
        <s v="Vaishno Devi"/>
        <s v="Patnitop Height"/>
        <s v="Amarnath Cave"/>
        <s v="Thiksey Monastery"/>
        <s v="Nubra Valley"/>
        <s v="Kargil War Memorial"/>
        <s v="Diskit Monastery"/>
        <s v="Kishtwar National Park"/>
        <s v="Hemis National Park"/>
        <s v="Dras War Memorial"/>
        <s v="Magnetic Hill"/>
        <s v="Khardung La Pass"/>
        <s v="Prem Mandir"/>
        <s v="Kirti Mandir"/>
        <s v="Nand Gaon"/>
        <s v="Barsana Mandir"/>
        <s v="Tiger Hill"/>
        <s v="Jaldapara National Park"/>
        <s v="Sundarbans National Park"/>
        <s v="Digha Beach"/>
        <s v="Hazarduari Palace"/>
        <s v="Kankalitala Temple"/>
        <s v="Hangseswari Temple"/>
        <s v="Gorumara National Park"/>
        <s v="Cooch Behar Palace"/>
        <s v="Ayodhya Hills"/>
        <s v="Jagannath Temple"/>
        <s v="Sun Temple"/>
        <s v="Lingaraj Temple"/>
        <s v="Khandadhar Waterfall"/>
        <s v="Barabati Fort"/>
        <s v="Hirakud Dam"/>
        <s v="Chilika Lake"/>
        <s v="Tara Tarini Temple"/>
        <s v="Badaghagara Waterfall"/>
        <s v="Chandipur Beach"/>
        <s v="Sanaghagara Waterfall"/>
        <s v="Marina Beach"/>
        <s v="Meenakshi Amman Temple"/>
        <s v="Ramanathaswamy Temple"/>
        <s v="Vivekananda Rock Memorial"/>
        <s v="Ooty Lake"/>
        <s v="Marudamalai Temple"/>
        <s v="Kodaikanal Lake"/>
        <s v="Brihadeeswarar Temple"/>
        <s v="Shore Temple"/>
        <s v="Yercaud Lake"/>
        <s v="Nellaiappar Temple"/>
        <s v="Nataraja Temple"/>
        <s v="Kanaka Durga Temple"/>
        <s v="Rishikonda Beach"/>
        <s v="Mallikarjuna Swamy Temple"/>
        <s v="Papikondalu"/>
        <s v="Lepakshi"/>
        <s v="Belum Caves"/>
        <s v="Amaravathi Temple"/>
        <s v="Uppalapadu Bird Sanctuary"/>
        <s v="Gandikota Fort"/>
        <s v="Prasanthi Nilayam"/>
        <s v="Simhachalam Temple"/>
        <s v="Kailasagiri"/>
        <s v="Submarine Museum"/>
        <s v="Borra Caves"/>
        <s v="War Memorial"/>
        <s v="Indira Gandhi Zoological Park"/>
        <s v="Matsyadarshini Aquarium"/>
        <s v="Visakha Museum"/>
        <s v="Nathula Pass"/>
        <s v="Pemayangtse Monastery"/>
        <s v="Char Dham"/>
        <s v="Rumtek Monastery"/>
        <s v="Buddha Park"/>
        <s v="Baba Harbhajan Singh Temple"/>
        <s v="Tsomgo Lake"/>
        <s v="Kamakhya Temple"/>
        <s v="Kaziranga National Park"/>
        <s v="Umananda Island"/>
        <s v="Sivasagar Sivadol"/>
        <s v="Majuli Island"/>
        <s v="Manas National Park"/>
        <s v="Hayagriva Madhava Temple"/>
        <s v="Pobitora Wildlife Sanctuary"/>
        <s v="Tawang Monastery"/>
        <s v="Ujjayanta Palace"/>
        <s v="Dumboor Lake"/>
        <s v="Unakoti Rock Carvings"/>
        <s v="Chitrakote Falls"/>
        <s v="DzÃ¼kou Valley"/>
        <s v="Promenade Beach"/>
        <s v="Auroville"/>
        <s v="Paradise Beach"/>
        <s v="Cellular Jail"/>
        <s v="Radhanagar Beach"/>
        <s v="Bharatpur Beach"/>
        <s v="Limestone Caves"/>
        <s v="Naida Caves"/>
        <s v="Diu Fort"/>
        <s v="Baba Baidyanath Temple"/>
        <s v="Pahari Mandir"/>
        <s v="Mahabodhi Temple"/>
        <s v="Sanjay Gandhi Biological Park"/>
        <s v="Takhat Shri Harimandir Ji Patna Sahib"/>
        <s v="Budhha Smriti Park"/>
        <s v="Kingdom of Dreams"/>
        <s v="Ambience Mall"/>
        <s v="DLF CyberHub"/>
        <s v="Gurudwara Bangla Sahib"/>
        <s v="Kedarnath"/>
        <s v="DLF Mall of India"/>
        <s v="The Grand Venice Mall"/>
        <s v="Nandankanan Zoological Park"/>
        <s v="Orion Mall"/>
        <s v="Inorbit Mall Cyberabad"/>
        <s v="Jama Masjid"/>
        <s v="Buddh International Circuit"/>
        <s v="Phoenix Palassio"/>
        <s v="LuLu International Shopping Mall"/>
        <s v="Rail Museum"/>
        <s v="Living Root Bridge"/>
        <s v="Akshardham"/>
        <s v="Agra Fort"/>
        <s v="Madhya Pradesh Tribal Museum"/>
        <s v="Albert Hall Museum"/>
      </sharedItems>
    </cacheField>
    <cacheField name="Type" numFmtId="49">
      <sharedItems count="78">
        <s v="War Memorial"/>
        <s v="Tomb"/>
        <s v="Temple"/>
        <s v="Theme Park"/>
        <s v="Observatory"/>
        <s v="Market"/>
        <s v="Fort"/>
        <s v="Stepwell"/>
        <s v="Park"/>
        <s v="Museum"/>
        <s v="Zoo"/>
        <s v="Monument"/>
        <s v="Science"/>
        <s v="Promenade"/>
        <s v="National Park"/>
        <s v="Religious Shrine"/>
        <s v="Beach"/>
        <s v="Amusement Park"/>
        <s v="Palace"/>
        <s v="Botanical Garden"/>
        <s v="Government Building"/>
        <s v="Landmark"/>
        <s v="Lake"/>
        <s v="Film Studio"/>
        <s v="Tombs"/>
        <s v="Bridge"/>
        <s v="Cricket Ground"/>
        <s v="Site"/>
        <s v="Church"/>
        <s v="Waterfall"/>
        <s v="Bird Sanctuary"/>
        <s v="Historical"/>
        <s v="Cultural"/>
        <s v="Urban Development Project"/>
        <s v="Wildlife Sanctuary"/>
        <s v="Shrine"/>
        <s v="Religious Site"/>
        <s v="Memorial"/>
        <s v="Border Crossing"/>
        <s v="Sculpture Garden"/>
        <s v="Scenic Area"/>
        <s v="Viewpoint"/>
        <s v="Mountain Peak"/>
        <s v="Cave"/>
        <s v="Mausoleum"/>
        <s v="Vineyard"/>
        <s v="Valley"/>
        <s v="Temples"/>
        <s v="Prehistoric Site"/>
        <s v="Scenic Point"/>
        <s v="Monastery"/>
        <s v="Tea Plantation"/>
        <s v="Adventure Sport"/>
        <s v="Trekking"/>
        <s v="Gurudwara"/>
        <s v="Ski Resort"/>
        <s v="Suspension Bridge"/>
        <s v="Ghat"/>
        <s v="Orchard"/>
        <s v="Confluence"/>
        <s v="Hill"/>
        <s v="Gravity Hill"/>
        <s v="Village"/>
        <s v="Sunrise Point"/>
        <s v="Dam"/>
        <s v="Spiritual Center"/>
        <s v="Aquarium"/>
        <s v="Religious Complex"/>
        <s v="Island"/>
        <s v="River Island"/>
        <s v="Rock Carvings"/>
        <s v="Township"/>
        <s v="Natural Feature"/>
        <s v="Entertainment"/>
        <s v="Mall"/>
        <s v="Commercial Complex"/>
        <s v="Mosque"/>
        <s v="Race Track"/>
      </sharedItems>
    </cacheField>
    <cacheField name="Establishment_Year" numFmtId="0">
      <sharedItems containsMixedTypes="1" containsNumber="1" containsInteger="1" minValue="-3500" maxValue="2020" count="248">
        <n v="1921"/>
        <n v="1572"/>
        <n v="2005"/>
        <n v="2019"/>
        <n v="1724"/>
        <n v="1700"/>
        <n v="1986"/>
        <n v="1648"/>
        <n v="1400"/>
        <n v="1600"/>
        <n v="2003"/>
        <n v="1500"/>
        <n v="1954"/>
        <n v="1959"/>
        <n v="1192"/>
        <n v="1992"/>
        <n v="1513"/>
        <n v="1924"/>
        <n v="1922"/>
        <n v="1996"/>
        <n v="1881"/>
        <n v="1831"/>
        <n v="1431"/>
        <n v="1806"/>
        <n v="1987"/>
        <n v="2013"/>
        <n v="1878"/>
        <n v="1760"/>
        <n v="1870"/>
        <n v="1956"/>
        <n v="1997"/>
        <n v="1591"/>
        <n v="1563"/>
        <n v="1951"/>
        <n v="1976"/>
        <n v="1800"/>
        <n v="1963"/>
        <n v="1994"/>
        <n v="1943"/>
        <n v="1814"/>
        <n v="1855"/>
        <n v="1809"/>
        <n v="1864"/>
        <n v="1876"/>
        <n v="1898"/>
        <n v="1835"/>
        <n v="1613"/>
        <n v="1605"/>
        <n v="1612"/>
        <n v="1780"/>
        <n v="1890"/>
        <n v="1617"/>
        <n v="1640"/>
        <n v="1534"/>
        <n v="1545"/>
        <n v="1730"/>
        <n v="1812"/>
        <n v="1627"/>
        <n v="1604"/>
        <n v="1988"/>
        <n v="1915"/>
        <n v="-400"/>
        <n v="1965"/>
        <n v="1950"/>
        <n v="1752"/>
        <n v="2018"/>
        <n v="2012"/>
        <n v="1467"/>
        <n v="1451"/>
        <n v="2002"/>
        <n v="1799"/>
        <n v="1559"/>
        <n v="1156"/>
        <n v="1980"/>
        <n v="1236"/>
        <n v="1459"/>
        <n v="700"/>
        <n v="1100"/>
        <n v="1589"/>
        <n v="1592"/>
        <n v="1726"/>
        <n v="1362"/>
        <n v="1503"/>
        <n v="1966"/>
        <n v="1674"/>
        <n v="1972"/>
        <n v="1982"/>
        <n v="1728"/>
        <n v="1650"/>
        <n v="1714"/>
        <n v="1505"/>
        <n v="1706"/>
        <n v="2009"/>
        <n v="2016"/>
        <n v="1912"/>
        <n v="1577"/>
        <n v="1621"/>
        <n v="1681"/>
        <n v="600"/>
        <n v="1900"/>
        <n v="1863"/>
        <n v="1610"/>
        <n v="1656"/>
        <n v="1974"/>
        <n v="1121"/>
        <n v="1732"/>
        <n v="200"/>
        <n v="1999"/>
        <n v="1896"/>
        <n v="2001"/>
        <n v="1625"/>
        <n v="1414"/>
        <n v="1828"/>
        <n v="-850"/>
        <n v="-300"/>
        <n v="1747"/>
        <n v="900"/>
        <n v="-3500"/>
        <n v="1602"/>
        <n v="1968"/>
        <n v="1955"/>
        <n v="1958"/>
        <n v="1200"/>
        <n v="1889"/>
        <n v="1652"/>
        <n v="1967"/>
        <n v="1805"/>
        <n v="1984"/>
        <n v="1558"/>
        <n v="1427"/>
        <n v="400"/>
        <n v="1918"/>
        <n v="1655"/>
        <n v="1564"/>
        <n v="1981"/>
        <n v="1975"/>
        <n v="1527"/>
        <n v="1939"/>
        <n v="1819"/>
        <n v="1516"/>
        <n v="1810"/>
        <n v="1990"/>
        <n v="-820"/>
        <n v="1868"/>
        <n v="1936"/>
        <n v="1751"/>
        <n v="751"/>
        <n v="1632"/>
        <n v="1847"/>
        <n v="1784"/>
        <n v="1405"/>
        <n v="-500"/>
        <n v="1571"/>
        <n v="1524"/>
        <n v="1624"/>
        <n v="1971"/>
        <n v="1704"/>
        <n v="1829"/>
        <n v="1436"/>
        <n v="1765"/>
        <n v="1599"/>
        <n v="1430"/>
        <n v="1453"/>
        <n v="24"/>
        <n v="1351"/>
        <n v="1435"/>
        <n v="1871"/>
        <n v="1696"/>
        <n v="1947"/>
        <n v="1407"/>
        <n v="1941"/>
        <n v="1682"/>
        <n v="1837"/>
        <n v="1949"/>
        <n v="1887"/>
        <n v="1719"/>
        <s v="12th century"/>
        <n v="1250"/>
        <s v="11th century"/>
        <n v="1774"/>
        <n v="-987"/>
        <n v="1957"/>
        <n v="1497"/>
        <s v="Ancient"/>
        <n v="1483"/>
        <n v="1929"/>
        <n v="1413"/>
        <s v="6th century AD"/>
        <n v="1970"/>
        <n v="1824"/>
        <n v="110"/>
        <s v="7th century"/>
        <n v="1465"/>
        <s v="10th century"/>
        <n v="1544"/>
        <n v="1746"/>
        <s v="14th century"/>
        <n v="1849"/>
        <s v="16th century"/>
        <n v="1989"/>
        <n v="1469"/>
        <n v="198"/>
        <n v="1937"/>
        <n v="22"/>
        <n v="1977"/>
        <n v="1643"/>
        <n v="1991"/>
        <n v="1418"/>
        <n v="1705"/>
        <n v="211"/>
        <s v="1960s"/>
        <n v="213"/>
        <n v="1735"/>
        <n v="1905"/>
        <n v="1935"/>
        <n v="1734"/>
        <n v="1432"/>
        <n v="1756"/>
        <n v="1680"/>
        <n v="1901"/>
        <n v="1767"/>
        <n v="1679"/>
        <n v="1525"/>
        <n v="1938"/>
        <n v="1804"/>
        <n v="1906"/>
        <n v="1433"/>
        <n v="1793"/>
        <n v="1557"/>
        <n v="1783"/>
        <n v="1535"/>
        <n v="1646"/>
        <n v="1506"/>
        <n v="-260"/>
        <n v="1582"/>
        <n v="1454"/>
        <n v="2010"/>
        <n v="1803"/>
        <n v="1496"/>
        <n v="1579"/>
        <n v="1960"/>
        <n v="2004"/>
        <n v="1854"/>
        <n v="2011"/>
        <n v="2020"/>
        <n v="1973"/>
        <n v="1565"/>
        <n v="1727"/>
      </sharedItems>
    </cacheField>
    <cacheField name="Visit_Time_Hrs" numFmtId="0">
      <sharedItems containsSemiMixedTypes="0" containsString="0" containsNumber="1" minValue="0.5" maxValue="7"/>
    </cacheField>
    <cacheField name="Reiew_Rating" numFmtId="0">
      <sharedItems containsSemiMixedTypes="0" containsString="0" containsNumber="1" minValue="1.4" maxValue="4.9000000000000004"/>
    </cacheField>
    <cacheField name="Rating_Category" numFmtId="0">
      <sharedItems/>
    </cacheField>
    <cacheField name="Entrance_Fee_INR" numFmtId="0">
      <sharedItems containsSemiMixedTypes="0" containsString="0" containsNumber="1" containsInteger="1" minValue="0" maxValue="7500"/>
    </cacheField>
    <cacheField name="Entry_Type" numFmtId="0">
      <sharedItems count="2">
        <s v="Free"/>
        <s v="Paid"/>
      </sharedItems>
    </cacheField>
    <cacheField name="Airport_50km_Radius" numFmtId="49">
      <sharedItems count="2">
        <s v="Yes"/>
        <s v="No"/>
      </sharedItems>
    </cacheField>
    <cacheField name="Weekly_Off" numFmtId="49">
      <sharedItems count="8">
        <s v="Friday"/>
        <s v="Sunday"/>
        <s v="Monday"/>
        <s v="Tuesday"/>
        <s v="Wednesday"/>
        <s v="Thursday"/>
        <s v="Saturday"/>
        <s v="Yes"/>
      </sharedItems>
    </cacheField>
    <cacheField name="Significance" numFmtId="49">
      <sharedItems count="25">
        <s v="Historical"/>
        <s v="Religious"/>
        <s v="Environmental"/>
        <s v="Scientific"/>
        <s v="Market"/>
        <s v="Botanical"/>
        <s v="Artistic"/>
        <s v="Scenic"/>
        <s v="Wildlife"/>
        <s v="Recreational"/>
        <s v="Nature"/>
        <s v="Architectural"/>
        <s v="Entertainment"/>
        <s v="Sports"/>
        <s v="Educational"/>
        <s v="Cultural"/>
        <s v="Food"/>
        <s v="Spiritual"/>
        <s v="Archaeological"/>
        <s v="Adventure"/>
        <s v="Agricultural"/>
        <s v="Engineering Marvel"/>
        <s v="Natural Wonder"/>
        <s v="Trekking"/>
        <s v="Shopping"/>
      </sharedItems>
    </cacheField>
    <cacheField name="DSLR_Allowed" numFmtId="49">
      <sharedItems/>
    </cacheField>
    <cacheField name="Number_Review_Lakhs" numFmtId="164">
      <sharedItems containsSemiMixedTypes="0" containsString="0" containsNumber="1" minValue="0.01" maxValue="7.4"/>
    </cacheField>
    <cacheField name="Best_Time_to_visit" numFmtId="49">
      <sharedItems count="7">
        <s v="Evening"/>
        <s v="Afternoon"/>
        <s v="Morning"/>
        <s v="All"/>
        <s v="All "/>
        <s v="Anytime"/>
        <s v="Night"/>
      </sharedItems>
    </cacheField>
    <cacheField name="Popularity" numFmtId="0">
      <sharedItems/>
    </cacheField>
    <cacheField name="Visit_Duration" numFmtId="0">
      <sharedItems/>
    </cacheField>
    <cacheField name="Airport_Access" numFmtId="0">
      <sharedItems count="2">
        <s v="Accessible"/>
        <s v="Remote"/>
      </sharedItems>
    </cacheField>
    <cacheField name="Top_Rated" numFmtId="0">
      <sharedItems/>
    </cacheField>
    <cacheField name="Site Classification" numFmtId="0">
      <sharedItems count="5">
        <s v="Heritage &amp; Culture"/>
        <s v="Nature &amp; Wildlife"/>
        <s v="Science &amp; Education"/>
        <s v="Leisure &amp; Commerce"/>
        <s v="Other"/>
      </sharedItems>
    </cacheField>
    <cacheField name="Column1" numFmtId="0">
      <sharedItems/>
    </cacheField>
    <cacheField name="Star_rating" numFmtId="0">
      <sharedItems/>
    </cacheField>
    <cacheField name="popularity_Traffic" numFmtId="0">
      <sharedItems count="3">
        <s v="High Traffic"/>
        <s v="Medium Traffic"/>
        <s v="Low Traffic"/>
      </sharedItems>
    </cacheField>
  </cacheFields>
  <extLst>
    <ext xmlns:x14="http://schemas.microsoft.com/office/spreadsheetml/2009/9/main" uri="{725AE2AE-9491-48be-B2B4-4EB974FC3084}">
      <x14:pivotCacheDefinition pivotCacheId="1953484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x v="0"/>
    <x v="0"/>
    <x v="0"/>
    <x v="0"/>
    <x v="0"/>
    <x v="0"/>
    <n v="0.5"/>
    <n v="4.5999999999999996"/>
    <s v="Excellent"/>
    <n v="0"/>
    <x v="0"/>
    <x v="0"/>
    <x v="0"/>
    <x v="0"/>
    <s v="Yes"/>
    <n v="2.6"/>
    <x v="0"/>
    <s v="Highly Popular"/>
    <s v="Short Visit"/>
    <x v="0"/>
    <s v="No"/>
    <x v="0"/>
    <s v="★★★★★"/>
    <s v="5 / 5 Stars"/>
    <x v="0"/>
  </r>
  <r>
    <x v="0"/>
    <x v="0"/>
    <x v="0"/>
    <x v="1"/>
    <x v="1"/>
    <x v="1"/>
    <n v="2"/>
    <n v="4.5"/>
    <s v="Excellent"/>
    <n v="30"/>
    <x v="1"/>
    <x v="0"/>
    <x v="0"/>
    <x v="0"/>
    <s v="Yes"/>
    <n v="0.4"/>
    <x v="1"/>
    <s v="Less Popular"/>
    <s v="Short Visit"/>
    <x v="0"/>
    <s v="No"/>
    <x v="0"/>
    <s v="★★★★★"/>
    <s v="5 / 5 Stars"/>
    <x v="1"/>
  </r>
  <r>
    <x v="0"/>
    <x v="0"/>
    <x v="0"/>
    <x v="2"/>
    <x v="2"/>
    <x v="2"/>
    <n v="5"/>
    <n v="4.5999999999999996"/>
    <s v="Excellent"/>
    <n v="60"/>
    <x v="1"/>
    <x v="0"/>
    <x v="1"/>
    <x v="1"/>
    <s v="No"/>
    <n v="0.4"/>
    <x v="1"/>
    <s v="Less Popular"/>
    <s v="Medium Visit"/>
    <x v="0"/>
    <s v="No"/>
    <x v="0"/>
    <s v="★★★★★"/>
    <s v="5 / 5 Stars"/>
    <x v="1"/>
  </r>
  <r>
    <x v="0"/>
    <x v="0"/>
    <x v="0"/>
    <x v="3"/>
    <x v="3"/>
    <x v="3"/>
    <n v="2"/>
    <n v="4.0999999999999996"/>
    <s v="Good"/>
    <n v="50"/>
    <x v="1"/>
    <x v="0"/>
    <x v="2"/>
    <x v="2"/>
    <s v="Yes"/>
    <n v="0.27"/>
    <x v="0"/>
    <s v="Less Popular"/>
    <s v="Short Visit"/>
    <x v="0"/>
    <s v="No"/>
    <x v="1"/>
    <s v="★★★★☆"/>
    <s v="4 / 5 Stars"/>
    <x v="2"/>
  </r>
  <r>
    <x v="0"/>
    <x v="0"/>
    <x v="0"/>
    <x v="4"/>
    <x v="4"/>
    <x v="4"/>
    <n v="2"/>
    <n v="4.2"/>
    <s v="Good"/>
    <n v="15"/>
    <x v="1"/>
    <x v="0"/>
    <x v="1"/>
    <x v="3"/>
    <s v="Yes"/>
    <n v="0.31"/>
    <x v="2"/>
    <s v="Less Popular"/>
    <s v="Short Visit"/>
    <x v="0"/>
    <s v="No"/>
    <x v="2"/>
    <s v="★★★★☆"/>
    <s v="4 / 5 Stars"/>
    <x v="2"/>
  </r>
  <r>
    <x v="0"/>
    <x v="0"/>
    <x v="0"/>
    <x v="5"/>
    <x v="5"/>
    <x v="5"/>
    <n v="3"/>
    <n v="4.2"/>
    <s v="Good"/>
    <n v="0"/>
    <x v="0"/>
    <x v="0"/>
    <x v="1"/>
    <x v="4"/>
    <s v="Yes"/>
    <n v="0.25"/>
    <x v="1"/>
    <s v="Less Popular"/>
    <s v="Medium Visit"/>
    <x v="0"/>
    <s v="No"/>
    <x v="3"/>
    <s v="★★★★☆"/>
    <s v="4 / 5 Stars"/>
    <x v="2"/>
  </r>
  <r>
    <x v="0"/>
    <x v="0"/>
    <x v="0"/>
    <x v="6"/>
    <x v="2"/>
    <x v="6"/>
    <n v="1"/>
    <n v="4.5"/>
    <s v="Excellent"/>
    <n v="0"/>
    <x v="0"/>
    <x v="0"/>
    <x v="2"/>
    <x v="1"/>
    <s v="Yes"/>
    <n v="0.59"/>
    <x v="0"/>
    <s v="Popular"/>
    <s v="Short Visit"/>
    <x v="0"/>
    <s v="No"/>
    <x v="0"/>
    <s v="★★★★★"/>
    <s v="5 / 5 Stars"/>
    <x v="1"/>
  </r>
  <r>
    <x v="0"/>
    <x v="0"/>
    <x v="0"/>
    <x v="7"/>
    <x v="6"/>
    <x v="7"/>
    <n v="2"/>
    <n v="4.5"/>
    <s v="Excellent"/>
    <n v="35"/>
    <x v="1"/>
    <x v="0"/>
    <x v="3"/>
    <x v="0"/>
    <s v="Yes"/>
    <n v="1.5"/>
    <x v="1"/>
    <s v="Highly Popular"/>
    <s v="Short Visit"/>
    <x v="0"/>
    <s v="No"/>
    <x v="0"/>
    <s v="★★★★★"/>
    <s v="5 / 5 Stars"/>
    <x v="0"/>
  </r>
  <r>
    <x v="0"/>
    <x v="0"/>
    <x v="0"/>
    <x v="8"/>
    <x v="7"/>
    <x v="8"/>
    <n v="1"/>
    <n v="4.2"/>
    <s v="Good"/>
    <n v="0"/>
    <x v="0"/>
    <x v="0"/>
    <x v="4"/>
    <x v="0"/>
    <s v="Yes"/>
    <n v="0.41"/>
    <x v="1"/>
    <s v="Less Popular"/>
    <s v="Short Visit"/>
    <x v="0"/>
    <s v="No"/>
    <x v="0"/>
    <s v="★★★★☆"/>
    <s v="4 / 5 Stars"/>
    <x v="1"/>
  </r>
  <r>
    <x v="0"/>
    <x v="0"/>
    <x v="0"/>
    <x v="9"/>
    <x v="8"/>
    <x v="9"/>
    <n v="2"/>
    <n v="4.5999999999999996"/>
    <s v="Excellent"/>
    <n v="0"/>
    <x v="0"/>
    <x v="0"/>
    <x v="4"/>
    <x v="5"/>
    <s v="Yes"/>
    <n v="0.16"/>
    <x v="1"/>
    <s v="Less Popular"/>
    <s v="Short Visit"/>
    <x v="0"/>
    <s v="No"/>
    <x v="1"/>
    <s v="★★★★★"/>
    <s v="5 / 5 Stars"/>
    <x v="2"/>
  </r>
  <r>
    <x v="0"/>
    <x v="0"/>
    <x v="0"/>
    <x v="10"/>
    <x v="8"/>
    <x v="10"/>
    <n v="2"/>
    <n v="4.0999999999999996"/>
    <s v="Good"/>
    <n v="35"/>
    <x v="1"/>
    <x v="0"/>
    <x v="0"/>
    <x v="5"/>
    <s v="Yes"/>
    <n v="0.23"/>
    <x v="2"/>
    <s v="Less Popular"/>
    <s v="Short Visit"/>
    <x v="0"/>
    <s v="No"/>
    <x v="1"/>
    <s v="★★★★☆"/>
    <s v="4 / 5 Stars"/>
    <x v="2"/>
  </r>
  <r>
    <x v="0"/>
    <x v="0"/>
    <x v="0"/>
    <x v="11"/>
    <x v="8"/>
    <x v="11"/>
    <n v="1"/>
    <n v="4.5"/>
    <s v="Excellent"/>
    <n v="0"/>
    <x v="0"/>
    <x v="0"/>
    <x v="5"/>
    <x v="5"/>
    <s v="Yes"/>
    <n v="0.48"/>
    <x v="3"/>
    <s v="Less Popular"/>
    <s v="Short Visit"/>
    <x v="0"/>
    <s v="No"/>
    <x v="1"/>
    <s v="★★★★★"/>
    <s v="5 / 5 Stars"/>
    <x v="1"/>
  </r>
  <r>
    <x v="0"/>
    <x v="0"/>
    <x v="0"/>
    <x v="12"/>
    <x v="9"/>
    <x v="12"/>
    <n v="3"/>
    <n v="4.5"/>
    <s v="Excellent"/>
    <n v="20"/>
    <x v="1"/>
    <x v="0"/>
    <x v="2"/>
    <x v="6"/>
    <s v="Yes"/>
    <n v="0.08"/>
    <x v="3"/>
    <s v="Less Popular"/>
    <s v="Medium Visit"/>
    <x v="0"/>
    <s v="No"/>
    <x v="0"/>
    <s v="★★★★★"/>
    <s v="5 / 5 Stars"/>
    <x v="2"/>
  </r>
  <r>
    <x v="0"/>
    <x v="0"/>
    <x v="0"/>
    <x v="13"/>
    <x v="10"/>
    <x v="13"/>
    <n v="3"/>
    <n v="4.0999999999999996"/>
    <s v="Good"/>
    <n v="80"/>
    <x v="1"/>
    <x v="0"/>
    <x v="0"/>
    <x v="2"/>
    <s v="Yes"/>
    <n v="0.41"/>
    <x v="3"/>
    <s v="Less Popular"/>
    <s v="Medium Visit"/>
    <x v="0"/>
    <s v="No"/>
    <x v="1"/>
    <s v="★★★★☆"/>
    <s v="4 / 5 Stars"/>
    <x v="1"/>
  </r>
  <r>
    <x v="0"/>
    <x v="0"/>
    <x v="0"/>
    <x v="14"/>
    <x v="11"/>
    <x v="14"/>
    <n v="1"/>
    <n v="4.5"/>
    <s v="Excellent"/>
    <n v="35"/>
    <x v="1"/>
    <x v="0"/>
    <x v="2"/>
    <x v="0"/>
    <s v="Yes"/>
    <n v="1.37"/>
    <x v="1"/>
    <s v="Highly Popular"/>
    <s v="Short Visit"/>
    <x v="0"/>
    <s v="No"/>
    <x v="0"/>
    <s v="★★★★★"/>
    <s v="5 / 5 Stars"/>
    <x v="1"/>
  </r>
  <r>
    <x v="0"/>
    <x v="0"/>
    <x v="0"/>
    <x v="15"/>
    <x v="12"/>
    <x v="15"/>
    <n v="5"/>
    <n v="4.4000000000000004"/>
    <s v="Good"/>
    <n v="70"/>
    <x v="1"/>
    <x v="0"/>
    <x v="0"/>
    <x v="3"/>
    <s v="Yes"/>
    <n v="0.23"/>
    <x v="3"/>
    <s v="Less Popular"/>
    <s v="Medium Visit"/>
    <x v="0"/>
    <s v="No"/>
    <x v="2"/>
    <s v="★★★★☆"/>
    <s v="4 / 5 Stars"/>
    <x v="2"/>
  </r>
  <r>
    <x v="1"/>
    <x v="1"/>
    <x v="1"/>
    <x v="16"/>
    <x v="13"/>
    <x v="16"/>
    <n v="2"/>
    <n v="4.5"/>
    <s v="Excellent"/>
    <n v="0"/>
    <x v="0"/>
    <x v="0"/>
    <x v="2"/>
    <x v="7"/>
    <s v="Yes"/>
    <n v="1.5"/>
    <x v="0"/>
    <s v="Highly Popular"/>
    <s v="Short Visit"/>
    <x v="0"/>
    <s v="No"/>
    <x v="1"/>
    <s v="★★★★★"/>
    <s v="5 / 5 Stars"/>
    <x v="0"/>
  </r>
  <r>
    <x v="1"/>
    <x v="1"/>
    <x v="1"/>
    <x v="17"/>
    <x v="11"/>
    <x v="17"/>
    <n v="1"/>
    <n v="4.5999999999999996"/>
    <s v="Excellent"/>
    <n v="0"/>
    <x v="0"/>
    <x v="0"/>
    <x v="5"/>
    <x v="0"/>
    <s v="Yes"/>
    <n v="3.6"/>
    <x v="3"/>
    <s v="Highly Popular"/>
    <s v="Short Visit"/>
    <x v="0"/>
    <s v="No"/>
    <x v="0"/>
    <s v="★★★★★"/>
    <s v="5 / 5 Stars"/>
    <x v="0"/>
  </r>
  <r>
    <x v="1"/>
    <x v="1"/>
    <x v="1"/>
    <x v="18"/>
    <x v="9"/>
    <x v="18"/>
    <n v="1"/>
    <n v="4.5999999999999996"/>
    <s v="Excellent"/>
    <n v="500"/>
    <x v="1"/>
    <x v="0"/>
    <x v="2"/>
    <x v="0"/>
    <s v="Yes"/>
    <n v="0.34"/>
    <x v="3"/>
    <s v="Less Popular"/>
    <s v="Short Visit"/>
    <x v="0"/>
    <s v="No"/>
    <x v="0"/>
    <s v="★★★★★"/>
    <s v="5 / 5 Stars"/>
    <x v="2"/>
  </r>
  <r>
    <x v="1"/>
    <x v="1"/>
    <x v="1"/>
    <x v="19"/>
    <x v="14"/>
    <x v="19"/>
    <n v="3"/>
    <n v="4.3"/>
    <s v="Good"/>
    <n v="50"/>
    <x v="1"/>
    <x v="0"/>
    <x v="2"/>
    <x v="8"/>
    <s v="Yes"/>
    <n v="0.6"/>
    <x v="3"/>
    <s v="Popular"/>
    <s v="Medium Visit"/>
    <x v="0"/>
    <s v="No"/>
    <x v="1"/>
    <s v="★★★★☆"/>
    <s v="4 / 5 Stars"/>
    <x v="1"/>
  </r>
  <r>
    <x v="1"/>
    <x v="1"/>
    <x v="1"/>
    <x v="20"/>
    <x v="2"/>
    <x v="20"/>
    <n v="2"/>
    <n v="4.8"/>
    <s v="Excellent"/>
    <n v="0"/>
    <x v="0"/>
    <x v="0"/>
    <x v="6"/>
    <x v="1"/>
    <s v="No"/>
    <n v="1.05"/>
    <x v="3"/>
    <s v="Highly Popular"/>
    <s v="Short Visit"/>
    <x v="0"/>
    <s v="Yes"/>
    <x v="0"/>
    <s v="★★★★★"/>
    <s v="5 / 5 Stars"/>
    <x v="1"/>
  </r>
  <r>
    <x v="1"/>
    <x v="1"/>
    <x v="1"/>
    <x v="21"/>
    <x v="2"/>
    <x v="21"/>
    <n v="1"/>
    <n v="4.7"/>
    <s v="Excellent"/>
    <n v="0"/>
    <x v="0"/>
    <x v="0"/>
    <x v="4"/>
    <x v="1"/>
    <s v="No"/>
    <n v="0.33"/>
    <x v="3"/>
    <s v="Less Popular"/>
    <s v="Short Visit"/>
    <x v="0"/>
    <s v="Yes"/>
    <x v="0"/>
    <s v="★★★★★"/>
    <s v="5 / 5 Stars"/>
    <x v="2"/>
  </r>
  <r>
    <x v="1"/>
    <x v="1"/>
    <x v="1"/>
    <x v="22"/>
    <x v="15"/>
    <x v="22"/>
    <n v="2"/>
    <n v="4.4000000000000004"/>
    <s v="Good"/>
    <n v="0"/>
    <x v="0"/>
    <x v="0"/>
    <x v="2"/>
    <x v="1"/>
    <s v="No"/>
    <n v="0.16"/>
    <x v="3"/>
    <s v="Less Popular"/>
    <s v="Short Visit"/>
    <x v="0"/>
    <s v="No"/>
    <x v="0"/>
    <s v="★★★★☆"/>
    <s v="4 / 5 Stars"/>
    <x v="2"/>
  </r>
  <r>
    <x v="1"/>
    <x v="1"/>
    <x v="1"/>
    <x v="23"/>
    <x v="16"/>
    <x v="23"/>
    <n v="2"/>
    <n v="4.3"/>
    <s v="Good"/>
    <n v="0"/>
    <x v="0"/>
    <x v="0"/>
    <x v="1"/>
    <x v="9"/>
    <s v="Yes"/>
    <n v="0.05"/>
    <x v="0"/>
    <s v="Less Popular"/>
    <s v="Short Visit"/>
    <x v="0"/>
    <s v="No"/>
    <x v="3"/>
    <s v="★★★★☆"/>
    <s v="4 / 5 Stars"/>
    <x v="2"/>
  </r>
  <r>
    <x v="1"/>
    <x v="1"/>
    <x v="1"/>
    <x v="24"/>
    <x v="17"/>
    <x v="6"/>
    <n v="5"/>
    <n v="4.3"/>
    <s v="Good"/>
    <n v="1149"/>
    <x v="1"/>
    <x v="0"/>
    <x v="1"/>
    <x v="9"/>
    <s v="Yes"/>
    <n v="0.27"/>
    <x v="3"/>
    <s v="Less Popular"/>
    <s v="Medium Visit"/>
    <x v="0"/>
    <s v="No"/>
    <x v="3"/>
    <s v="★★★★☆"/>
    <s v="4 / 5 Stars"/>
    <x v="2"/>
  </r>
  <r>
    <x v="1"/>
    <x v="1"/>
    <x v="1"/>
    <x v="25"/>
    <x v="11"/>
    <x v="24"/>
    <n v="4"/>
    <n v="4.3"/>
    <s v="Good"/>
    <n v="550"/>
    <x v="1"/>
    <x v="0"/>
    <x v="4"/>
    <x v="0"/>
    <s v="Yes"/>
    <n v="0.35"/>
    <x v="4"/>
    <s v="Less Popular"/>
    <s v="Medium Visit"/>
    <x v="0"/>
    <s v="No"/>
    <x v="0"/>
    <s v="★★★★☆"/>
    <s v="4 / 5 Stars"/>
    <x v="2"/>
  </r>
  <r>
    <x v="1"/>
    <x v="1"/>
    <x v="2"/>
    <x v="26"/>
    <x v="17"/>
    <x v="25"/>
    <n v="5"/>
    <n v="1.4"/>
    <s v="Average"/>
    <n v="1149"/>
    <x v="1"/>
    <x v="1"/>
    <x v="2"/>
    <x v="9"/>
    <s v="Yes"/>
    <n v="0.95"/>
    <x v="3"/>
    <s v="Popular"/>
    <s v="Medium Visit"/>
    <x v="1"/>
    <s v="No"/>
    <x v="3"/>
    <s v="★☆☆☆☆"/>
    <s v="1 / 5 Stars"/>
    <x v="1"/>
  </r>
  <r>
    <x v="2"/>
    <x v="2"/>
    <x v="3"/>
    <x v="27"/>
    <x v="18"/>
    <x v="26"/>
    <n v="2"/>
    <n v="4.2"/>
    <s v="Good"/>
    <n v="500"/>
    <x v="1"/>
    <x v="0"/>
    <x v="2"/>
    <x v="0"/>
    <s v="Yes"/>
    <n v="0.9"/>
    <x v="2"/>
    <s v="Popular"/>
    <s v="Short Visit"/>
    <x v="0"/>
    <s v="No"/>
    <x v="0"/>
    <s v="★★★★☆"/>
    <s v="4 / 5 Stars"/>
    <x v="1"/>
  </r>
  <r>
    <x v="2"/>
    <x v="2"/>
    <x v="3"/>
    <x v="28"/>
    <x v="19"/>
    <x v="27"/>
    <n v="1.5"/>
    <n v="4.4000000000000004"/>
    <s v="Good"/>
    <n v="20"/>
    <x v="1"/>
    <x v="0"/>
    <x v="6"/>
    <x v="10"/>
    <s v="Yes"/>
    <n v="1.5"/>
    <x v="0"/>
    <s v="Highly Popular"/>
    <s v="Short Visit"/>
    <x v="0"/>
    <s v="No"/>
    <x v="1"/>
    <s v="★★★★☆"/>
    <s v="4 / 5 Stars"/>
    <x v="0"/>
  </r>
  <r>
    <x v="2"/>
    <x v="2"/>
    <x v="3"/>
    <x v="29"/>
    <x v="8"/>
    <x v="28"/>
    <n v="1"/>
    <n v="4.4000000000000004"/>
    <s v="Good"/>
    <n v="0"/>
    <x v="0"/>
    <x v="0"/>
    <x v="6"/>
    <x v="10"/>
    <s v="Yes"/>
    <n v="1.32"/>
    <x v="2"/>
    <s v="Highly Popular"/>
    <s v="Short Visit"/>
    <x v="0"/>
    <s v="No"/>
    <x v="1"/>
    <s v="★★★★☆"/>
    <s v="4 / 5 Stars"/>
    <x v="1"/>
  </r>
  <r>
    <x v="2"/>
    <x v="2"/>
    <x v="3"/>
    <x v="30"/>
    <x v="20"/>
    <x v="29"/>
    <n v="0.5"/>
    <n v="4.5999999999999996"/>
    <s v="Excellent"/>
    <n v="0"/>
    <x v="0"/>
    <x v="0"/>
    <x v="2"/>
    <x v="11"/>
    <s v="No"/>
    <n v="0.8"/>
    <x v="2"/>
    <s v="Popular"/>
    <s v="Short Visit"/>
    <x v="0"/>
    <s v="No"/>
    <x v="0"/>
    <s v="★★★★★"/>
    <s v="5 / 5 Stars"/>
    <x v="1"/>
  </r>
  <r>
    <x v="2"/>
    <x v="2"/>
    <x v="3"/>
    <x v="31"/>
    <x v="2"/>
    <x v="30"/>
    <n v="1"/>
    <n v="4.5999999999999996"/>
    <s v="Excellent"/>
    <n v="0"/>
    <x v="0"/>
    <x v="0"/>
    <x v="4"/>
    <x v="1"/>
    <s v="Yes"/>
    <n v="1.1399999999999999"/>
    <x v="0"/>
    <s v="Highly Popular"/>
    <s v="Short Visit"/>
    <x v="0"/>
    <s v="No"/>
    <x v="0"/>
    <s v="★★★★★"/>
    <s v="5 / 5 Stars"/>
    <x v="1"/>
  </r>
  <r>
    <x v="2"/>
    <x v="3"/>
    <x v="4"/>
    <x v="32"/>
    <x v="21"/>
    <x v="31"/>
    <n v="1"/>
    <n v="4.5"/>
    <s v="Excellent"/>
    <n v="25"/>
    <x v="1"/>
    <x v="0"/>
    <x v="0"/>
    <x v="0"/>
    <s v="Yes"/>
    <n v="2.1"/>
    <x v="2"/>
    <s v="Highly Popular"/>
    <s v="Short Visit"/>
    <x v="0"/>
    <s v="No"/>
    <x v="0"/>
    <s v="★★★★★"/>
    <s v="5 / 5 Stars"/>
    <x v="0"/>
  </r>
  <r>
    <x v="2"/>
    <x v="3"/>
    <x v="4"/>
    <x v="33"/>
    <x v="6"/>
    <x v="9"/>
    <n v="2"/>
    <n v="4.4000000000000004"/>
    <s v="Good"/>
    <n v="30"/>
    <x v="1"/>
    <x v="0"/>
    <x v="3"/>
    <x v="0"/>
    <s v="Yes"/>
    <n v="1.2"/>
    <x v="2"/>
    <s v="Highly Popular"/>
    <s v="Short Visit"/>
    <x v="0"/>
    <s v="No"/>
    <x v="0"/>
    <s v="★★★★☆"/>
    <s v="4 / 5 Stars"/>
    <x v="1"/>
  </r>
  <r>
    <x v="2"/>
    <x v="3"/>
    <x v="4"/>
    <x v="34"/>
    <x v="22"/>
    <x v="32"/>
    <n v="1"/>
    <n v="4.3"/>
    <s v="Good"/>
    <n v="0"/>
    <x v="0"/>
    <x v="0"/>
    <x v="4"/>
    <x v="7"/>
    <s v="Yes"/>
    <n v="0.5"/>
    <x v="0"/>
    <s v="Popular"/>
    <s v="Short Visit"/>
    <x v="0"/>
    <s v="No"/>
    <x v="1"/>
    <s v="★★★★☆"/>
    <s v="4 / 5 Stars"/>
    <x v="1"/>
  </r>
  <r>
    <x v="2"/>
    <x v="3"/>
    <x v="4"/>
    <x v="35"/>
    <x v="23"/>
    <x v="19"/>
    <n v="4"/>
    <n v="4.4000000000000004"/>
    <s v="Good"/>
    <n v="1150"/>
    <x v="1"/>
    <x v="0"/>
    <x v="0"/>
    <x v="12"/>
    <s v="Yes"/>
    <n v="0.45"/>
    <x v="3"/>
    <s v="Less Popular"/>
    <s v="Medium Visit"/>
    <x v="0"/>
    <s v="No"/>
    <x v="3"/>
    <s v="★★★★☆"/>
    <s v="4 / 5 Stars"/>
    <x v="1"/>
  </r>
  <r>
    <x v="2"/>
    <x v="3"/>
    <x v="4"/>
    <x v="36"/>
    <x v="9"/>
    <x v="33"/>
    <n v="2"/>
    <n v="4.4000000000000004"/>
    <s v="Good"/>
    <n v="20"/>
    <x v="1"/>
    <x v="0"/>
    <x v="5"/>
    <x v="0"/>
    <s v="Yes"/>
    <n v="0.67"/>
    <x v="3"/>
    <s v="Popular"/>
    <s v="Short Visit"/>
    <x v="0"/>
    <s v="No"/>
    <x v="0"/>
    <s v="★★★★☆"/>
    <s v="4 / 5 Stars"/>
    <x v="1"/>
  </r>
  <r>
    <x v="2"/>
    <x v="3"/>
    <x v="4"/>
    <x v="37"/>
    <x v="24"/>
    <x v="9"/>
    <n v="1"/>
    <n v="4.4000000000000004"/>
    <s v="Good"/>
    <n v="25"/>
    <x v="1"/>
    <x v="0"/>
    <x v="4"/>
    <x v="0"/>
    <s v="Yes"/>
    <n v="0.2"/>
    <x v="2"/>
    <s v="Less Popular"/>
    <s v="Short Visit"/>
    <x v="0"/>
    <s v="No"/>
    <x v="0"/>
    <s v="★★★★☆"/>
    <s v="4 / 5 Stars"/>
    <x v="2"/>
  </r>
  <r>
    <x v="2"/>
    <x v="3"/>
    <x v="4"/>
    <x v="38"/>
    <x v="2"/>
    <x v="34"/>
    <n v="1"/>
    <n v="4.7"/>
    <s v="Excellent"/>
    <n v="0"/>
    <x v="0"/>
    <x v="0"/>
    <x v="5"/>
    <x v="1"/>
    <s v="No"/>
    <n v="0.41"/>
    <x v="3"/>
    <s v="Less Popular"/>
    <s v="Short Visit"/>
    <x v="0"/>
    <s v="Yes"/>
    <x v="0"/>
    <s v="★★★★★"/>
    <s v="5 / 5 Stars"/>
    <x v="1"/>
  </r>
  <r>
    <x v="2"/>
    <x v="3"/>
    <x v="4"/>
    <x v="39"/>
    <x v="18"/>
    <x v="35"/>
    <n v="1.5"/>
    <n v="4.4000000000000004"/>
    <s v="Good"/>
    <n v="80"/>
    <x v="1"/>
    <x v="0"/>
    <x v="6"/>
    <x v="0"/>
    <s v="Yes"/>
    <n v="0.45"/>
    <x v="2"/>
    <s v="Less Popular"/>
    <s v="Short Visit"/>
    <x v="0"/>
    <s v="No"/>
    <x v="0"/>
    <s v="★★★★☆"/>
    <s v="4 / 5 Stars"/>
    <x v="1"/>
  </r>
  <r>
    <x v="2"/>
    <x v="3"/>
    <x v="4"/>
    <x v="40"/>
    <x v="10"/>
    <x v="36"/>
    <n v="3"/>
    <n v="4.2"/>
    <s v="Good"/>
    <n v="50"/>
    <x v="1"/>
    <x v="0"/>
    <x v="0"/>
    <x v="8"/>
    <s v="Yes"/>
    <n v="0.86"/>
    <x v="2"/>
    <s v="Popular"/>
    <s v="Medium Visit"/>
    <x v="0"/>
    <s v="No"/>
    <x v="1"/>
    <s v="★★★★☆"/>
    <s v="4 / 5 Stars"/>
    <x v="1"/>
  </r>
  <r>
    <x v="2"/>
    <x v="3"/>
    <x v="4"/>
    <x v="41"/>
    <x v="8"/>
    <x v="37"/>
    <n v="1"/>
    <n v="4.0999999999999996"/>
    <s v="Good"/>
    <n v="20"/>
    <x v="1"/>
    <x v="0"/>
    <x v="6"/>
    <x v="9"/>
    <s v="Yes"/>
    <n v="0.73"/>
    <x v="0"/>
    <s v="Popular"/>
    <s v="Short Visit"/>
    <x v="0"/>
    <s v="No"/>
    <x v="3"/>
    <s v="★★★★☆"/>
    <s v="4 / 5 Stars"/>
    <x v="1"/>
  </r>
  <r>
    <x v="3"/>
    <x v="4"/>
    <x v="5"/>
    <x v="42"/>
    <x v="9"/>
    <x v="0"/>
    <n v="1.5"/>
    <n v="4.5999999999999996"/>
    <s v="Excellent"/>
    <n v="30"/>
    <x v="1"/>
    <x v="0"/>
    <x v="2"/>
    <x v="0"/>
    <s v="Yes"/>
    <n v="0.73"/>
    <x v="2"/>
    <s v="Popular"/>
    <s v="Short Visit"/>
    <x v="0"/>
    <s v="No"/>
    <x v="0"/>
    <s v="★★★★★"/>
    <s v="5 / 5 Stars"/>
    <x v="1"/>
  </r>
  <r>
    <x v="3"/>
    <x v="4"/>
    <x v="5"/>
    <x v="43"/>
    <x v="25"/>
    <x v="38"/>
    <n v="0.5"/>
    <n v="4.5999999999999996"/>
    <s v="Excellent"/>
    <n v="0"/>
    <x v="0"/>
    <x v="0"/>
    <x v="0"/>
    <x v="11"/>
    <s v="No"/>
    <n v="1.2"/>
    <x v="5"/>
    <s v="Highly Popular"/>
    <s v="Short Visit"/>
    <x v="0"/>
    <s v="No"/>
    <x v="0"/>
    <s v="★★★★★"/>
    <s v="5 / 5 Stars"/>
    <x v="1"/>
  </r>
  <r>
    <x v="3"/>
    <x v="4"/>
    <x v="5"/>
    <x v="44"/>
    <x v="9"/>
    <x v="39"/>
    <n v="2"/>
    <n v="4.5999999999999996"/>
    <s v="Excellent"/>
    <n v="50"/>
    <x v="1"/>
    <x v="0"/>
    <x v="2"/>
    <x v="0"/>
    <s v="Yes"/>
    <n v="0.18"/>
    <x v="2"/>
    <s v="Less Popular"/>
    <s v="Short Visit"/>
    <x v="0"/>
    <s v="No"/>
    <x v="0"/>
    <s v="★★★★★"/>
    <s v="5 / 5 Stars"/>
    <x v="2"/>
  </r>
  <r>
    <x v="3"/>
    <x v="4"/>
    <x v="5"/>
    <x v="45"/>
    <x v="2"/>
    <x v="40"/>
    <n v="1"/>
    <n v="4.7"/>
    <s v="Excellent"/>
    <n v="0"/>
    <x v="0"/>
    <x v="0"/>
    <x v="0"/>
    <x v="1"/>
    <s v="Yes"/>
    <n v="0.82"/>
    <x v="2"/>
    <s v="Popular"/>
    <s v="Short Visit"/>
    <x v="0"/>
    <s v="Yes"/>
    <x v="0"/>
    <s v="★★★★★"/>
    <s v="5 / 5 Stars"/>
    <x v="1"/>
  </r>
  <r>
    <x v="3"/>
    <x v="4"/>
    <x v="5"/>
    <x v="46"/>
    <x v="2"/>
    <x v="41"/>
    <n v="1"/>
    <n v="4.4000000000000004"/>
    <s v="Good"/>
    <n v="0"/>
    <x v="0"/>
    <x v="0"/>
    <x v="4"/>
    <x v="1"/>
    <s v="Yes"/>
    <n v="0.5"/>
    <x v="2"/>
    <s v="Popular"/>
    <s v="Short Visit"/>
    <x v="0"/>
    <s v="No"/>
    <x v="0"/>
    <s v="★★★★☆"/>
    <s v="4 / 5 Stars"/>
    <x v="1"/>
  </r>
  <r>
    <x v="3"/>
    <x v="4"/>
    <x v="5"/>
    <x v="47"/>
    <x v="26"/>
    <x v="42"/>
    <n v="3"/>
    <n v="4.0999999999999996"/>
    <s v="Good"/>
    <n v="2500"/>
    <x v="1"/>
    <x v="0"/>
    <x v="5"/>
    <x v="13"/>
    <s v="Yes"/>
    <n v="0.1"/>
    <x v="3"/>
    <s v="Less Popular"/>
    <s v="Medium Visit"/>
    <x v="0"/>
    <s v="No"/>
    <x v="4"/>
    <s v="★★★★☆"/>
    <s v="4 / 5 Stars"/>
    <x v="2"/>
  </r>
  <r>
    <x v="3"/>
    <x v="4"/>
    <x v="5"/>
    <x v="48"/>
    <x v="10"/>
    <x v="43"/>
    <n v="2"/>
    <n v="4.3"/>
    <s v="Good"/>
    <n v="25"/>
    <x v="1"/>
    <x v="0"/>
    <x v="0"/>
    <x v="8"/>
    <s v="Yes"/>
    <n v="0.66"/>
    <x v="1"/>
    <s v="Popular"/>
    <s v="Short Visit"/>
    <x v="0"/>
    <s v="No"/>
    <x v="1"/>
    <s v="★★★★☆"/>
    <s v="4 / 5 Stars"/>
    <x v="1"/>
  </r>
  <r>
    <x v="3"/>
    <x v="4"/>
    <x v="5"/>
    <x v="49"/>
    <x v="12"/>
    <x v="30"/>
    <n v="3"/>
    <n v="4.4000000000000004"/>
    <s v="Good"/>
    <n v="60"/>
    <x v="1"/>
    <x v="0"/>
    <x v="6"/>
    <x v="14"/>
    <s v="Yes"/>
    <n v="0.88"/>
    <x v="3"/>
    <s v="Popular"/>
    <s v="Medium Visit"/>
    <x v="0"/>
    <s v="No"/>
    <x v="4"/>
    <s v="★★★★☆"/>
    <s v="4 / 5 Stars"/>
    <x v="1"/>
  </r>
  <r>
    <x v="3"/>
    <x v="4"/>
    <x v="5"/>
    <x v="50"/>
    <x v="27"/>
    <x v="44"/>
    <n v="1.5"/>
    <n v="4.7"/>
    <s v="Excellent"/>
    <n v="0"/>
    <x v="0"/>
    <x v="0"/>
    <x v="6"/>
    <x v="1"/>
    <s v="Yes"/>
    <n v="0.47"/>
    <x v="2"/>
    <s v="Less Popular"/>
    <s v="Short Visit"/>
    <x v="0"/>
    <s v="Yes"/>
    <x v="0"/>
    <s v="★★★★★"/>
    <s v="5 / 5 Stars"/>
    <x v="1"/>
  </r>
  <r>
    <x v="3"/>
    <x v="4"/>
    <x v="5"/>
    <x v="51"/>
    <x v="18"/>
    <x v="45"/>
    <n v="1"/>
    <n v="4.4000000000000004"/>
    <s v="Good"/>
    <n v="0"/>
    <x v="0"/>
    <x v="0"/>
    <x v="3"/>
    <x v="0"/>
    <s v="Yes"/>
    <n v="0.1"/>
    <x v="1"/>
    <s v="Less Popular"/>
    <s v="Short Visit"/>
    <x v="0"/>
    <s v="No"/>
    <x v="0"/>
    <s v="★★★★☆"/>
    <s v="4 / 5 Stars"/>
    <x v="2"/>
  </r>
  <r>
    <x v="2"/>
    <x v="5"/>
    <x v="6"/>
    <x v="52"/>
    <x v="16"/>
    <x v="46"/>
    <n v="2"/>
    <n v="4.4000000000000004"/>
    <s v="Good"/>
    <n v="0"/>
    <x v="0"/>
    <x v="0"/>
    <x v="1"/>
    <x v="7"/>
    <s v="Yes"/>
    <n v="0.26"/>
    <x v="0"/>
    <s v="Less Popular"/>
    <s v="Short Visit"/>
    <x v="0"/>
    <s v="No"/>
    <x v="1"/>
    <s v="★★★★☆"/>
    <s v="4 / 5 Stars"/>
    <x v="2"/>
  </r>
  <r>
    <x v="2"/>
    <x v="5"/>
    <x v="6"/>
    <x v="53"/>
    <x v="28"/>
    <x v="47"/>
    <n v="1"/>
    <n v="4.5"/>
    <s v="Excellent"/>
    <n v="0"/>
    <x v="0"/>
    <x v="0"/>
    <x v="0"/>
    <x v="0"/>
    <s v="Yes"/>
    <n v="0.59"/>
    <x v="1"/>
    <s v="Popular"/>
    <s v="Short Visit"/>
    <x v="0"/>
    <s v="No"/>
    <x v="0"/>
    <s v="★★★★★"/>
    <s v="5 / 5 Stars"/>
    <x v="1"/>
  </r>
  <r>
    <x v="2"/>
    <x v="5"/>
    <x v="6"/>
    <x v="54"/>
    <x v="6"/>
    <x v="48"/>
    <n v="1.5"/>
    <n v="4.2"/>
    <s v="Good"/>
    <n v="0"/>
    <x v="0"/>
    <x v="0"/>
    <x v="5"/>
    <x v="0"/>
    <s v="Yes"/>
    <n v="0.95"/>
    <x v="2"/>
    <s v="Popular"/>
    <s v="Short Visit"/>
    <x v="0"/>
    <s v="No"/>
    <x v="0"/>
    <s v="★★★★☆"/>
    <s v="4 / 5 Stars"/>
    <x v="1"/>
  </r>
  <r>
    <x v="2"/>
    <x v="5"/>
    <x v="6"/>
    <x v="55"/>
    <x v="29"/>
    <x v="49"/>
    <n v="3"/>
    <n v="4.5999999999999996"/>
    <s v="Excellent"/>
    <n v="500"/>
    <x v="1"/>
    <x v="0"/>
    <x v="6"/>
    <x v="10"/>
    <s v="Yes"/>
    <n v="0.3"/>
    <x v="1"/>
    <s v="Less Popular"/>
    <s v="Medium Visit"/>
    <x v="0"/>
    <s v="No"/>
    <x v="1"/>
    <s v="★★★★★"/>
    <s v="5 / 5 Stars"/>
    <x v="2"/>
  </r>
  <r>
    <x v="2"/>
    <x v="5"/>
    <x v="6"/>
    <x v="56"/>
    <x v="16"/>
    <x v="50"/>
    <n v="2"/>
    <n v="4.4000000000000004"/>
    <s v="Good"/>
    <n v="0"/>
    <x v="0"/>
    <x v="0"/>
    <x v="2"/>
    <x v="7"/>
    <s v="Yes"/>
    <n v="0.18"/>
    <x v="0"/>
    <s v="Less Popular"/>
    <s v="Short Visit"/>
    <x v="0"/>
    <s v="No"/>
    <x v="1"/>
    <s v="★★★★☆"/>
    <s v="4 / 5 Stars"/>
    <x v="2"/>
  </r>
  <r>
    <x v="2"/>
    <x v="5"/>
    <x v="6"/>
    <x v="57"/>
    <x v="6"/>
    <x v="51"/>
    <n v="1"/>
    <n v="4.2"/>
    <s v="Good"/>
    <n v="0"/>
    <x v="0"/>
    <x v="0"/>
    <x v="4"/>
    <x v="0"/>
    <s v="Yes"/>
    <n v="0.19"/>
    <x v="0"/>
    <s v="Less Popular"/>
    <s v="Short Visit"/>
    <x v="0"/>
    <s v="No"/>
    <x v="0"/>
    <s v="★★★★☆"/>
    <s v="4 / 5 Stars"/>
    <x v="2"/>
  </r>
  <r>
    <x v="2"/>
    <x v="5"/>
    <x v="6"/>
    <x v="58"/>
    <x v="28"/>
    <x v="52"/>
    <n v="1"/>
    <n v="4.5"/>
    <s v="Excellent"/>
    <n v="0"/>
    <x v="0"/>
    <x v="0"/>
    <x v="2"/>
    <x v="0"/>
    <s v="Yes"/>
    <n v="0.05"/>
    <x v="1"/>
    <s v="Less Popular"/>
    <s v="Short Visit"/>
    <x v="0"/>
    <s v="No"/>
    <x v="0"/>
    <s v="★★★★★"/>
    <s v="5 / 5 Stars"/>
    <x v="2"/>
  </r>
  <r>
    <x v="2"/>
    <x v="5"/>
    <x v="6"/>
    <x v="59"/>
    <x v="16"/>
    <x v="53"/>
    <n v="2"/>
    <n v="4.5"/>
    <s v="Excellent"/>
    <n v="0"/>
    <x v="0"/>
    <x v="0"/>
    <x v="5"/>
    <x v="7"/>
    <s v="Yes"/>
    <n v="0.35"/>
    <x v="0"/>
    <s v="Less Popular"/>
    <s v="Short Visit"/>
    <x v="0"/>
    <s v="No"/>
    <x v="1"/>
    <s v="★★★★★"/>
    <s v="5 / 5 Stars"/>
    <x v="2"/>
  </r>
  <r>
    <x v="2"/>
    <x v="5"/>
    <x v="6"/>
    <x v="60"/>
    <x v="16"/>
    <x v="54"/>
    <n v="2"/>
    <n v="4.5999999999999996"/>
    <s v="Excellent"/>
    <n v="0"/>
    <x v="0"/>
    <x v="0"/>
    <x v="1"/>
    <x v="7"/>
    <s v="Yes"/>
    <n v="0.1"/>
    <x v="0"/>
    <s v="Less Popular"/>
    <s v="Short Visit"/>
    <x v="0"/>
    <s v="No"/>
    <x v="1"/>
    <s v="★★★★★"/>
    <s v="5 / 5 Stars"/>
    <x v="2"/>
  </r>
  <r>
    <x v="2"/>
    <x v="5"/>
    <x v="6"/>
    <x v="61"/>
    <x v="16"/>
    <x v="55"/>
    <n v="2"/>
    <n v="4.5999999999999996"/>
    <s v="Excellent"/>
    <n v="0"/>
    <x v="0"/>
    <x v="0"/>
    <x v="2"/>
    <x v="7"/>
    <s v="Yes"/>
    <n v="0.27"/>
    <x v="0"/>
    <s v="Less Popular"/>
    <s v="Short Visit"/>
    <x v="0"/>
    <s v="No"/>
    <x v="1"/>
    <s v="★★★★★"/>
    <s v="5 / 5 Stars"/>
    <x v="2"/>
  </r>
  <r>
    <x v="2"/>
    <x v="5"/>
    <x v="6"/>
    <x v="62"/>
    <x v="16"/>
    <x v="56"/>
    <n v="2"/>
    <n v="4.3"/>
    <s v="Good"/>
    <n v="0"/>
    <x v="0"/>
    <x v="0"/>
    <x v="4"/>
    <x v="7"/>
    <s v="Yes"/>
    <n v="0.1"/>
    <x v="0"/>
    <s v="Less Popular"/>
    <s v="Short Visit"/>
    <x v="0"/>
    <s v="No"/>
    <x v="1"/>
    <s v="★★★★☆"/>
    <s v="4 / 5 Stars"/>
    <x v="2"/>
  </r>
  <r>
    <x v="2"/>
    <x v="5"/>
    <x v="6"/>
    <x v="63"/>
    <x v="16"/>
    <x v="57"/>
    <n v="1.5"/>
    <n v="4.2"/>
    <s v="Good"/>
    <n v="0"/>
    <x v="0"/>
    <x v="0"/>
    <x v="3"/>
    <x v="7"/>
    <s v="Yes"/>
    <n v="0.3"/>
    <x v="0"/>
    <s v="Less Popular"/>
    <s v="Short Visit"/>
    <x v="0"/>
    <s v="No"/>
    <x v="1"/>
    <s v="★★★★☆"/>
    <s v="4 / 5 Stars"/>
    <x v="2"/>
  </r>
  <r>
    <x v="2"/>
    <x v="5"/>
    <x v="6"/>
    <x v="64"/>
    <x v="16"/>
    <x v="58"/>
    <n v="2"/>
    <n v="4.5"/>
    <s v="Excellent"/>
    <n v="0"/>
    <x v="0"/>
    <x v="0"/>
    <x v="1"/>
    <x v="7"/>
    <s v="Yes"/>
    <n v="0.01"/>
    <x v="0"/>
    <s v="Less Popular"/>
    <s v="Short Visit"/>
    <x v="0"/>
    <s v="No"/>
    <x v="1"/>
    <s v="★★★★★"/>
    <s v="5 / 5 Stars"/>
    <x v="2"/>
  </r>
  <r>
    <x v="2"/>
    <x v="5"/>
    <x v="6"/>
    <x v="65"/>
    <x v="30"/>
    <x v="59"/>
    <n v="2"/>
    <n v="3.9"/>
    <s v="Average"/>
    <n v="10"/>
    <x v="1"/>
    <x v="0"/>
    <x v="0"/>
    <x v="8"/>
    <s v="Yes"/>
    <n v="0.03"/>
    <x v="1"/>
    <s v="Less Popular"/>
    <s v="Short Visit"/>
    <x v="0"/>
    <s v="No"/>
    <x v="1"/>
    <s v="★★★★☆"/>
    <s v="4 / 5 Stars"/>
    <x v="2"/>
  </r>
  <r>
    <x v="1"/>
    <x v="6"/>
    <x v="7"/>
    <x v="66"/>
    <x v="31"/>
    <x v="60"/>
    <n v="1.5"/>
    <n v="4.5999999999999996"/>
    <s v="Excellent"/>
    <n v="0"/>
    <x v="0"/>
    <x v="0"/>
    <x v="1"/>
    <x v="0"/>
    <s v="Yes"/>
    <n v="0.35"/>
    <x v="2"/>
    <s v="Less Popular"/>
    <s v="Short Visit"/>
    <x v="0"/>
    <s v="No"/>
    <x v="0"/>
    <s v="★★★★★"/>
    <s v="5 / 5 Stars"/>
    <x v="2"/>
  </r>
  <r>
    <x v="1"/>
    <x v="6"/>
    <x v="8"/>
    <x v="67"/>
    <x v="2"/>
    <x v="61"/>
    <n v="2"/>
    <n v="4.7"/>
    <s v="Excellent"/>
    <n v="0"/>
    <x v="0"/>
    <x v="1"/>
    <x v="3"/>
    <x v="1"/>
    <s v="No"/>
    <n v="0.59"/>
    <x v="0"/>
    <s v="Popular"/>
    <s v="Short Visit"/>
    <x v="1"/>
    <s v="Yes"/>
    <x v="0"/>
    <s v="★★★★★"/>
    <s v="5 / 5 Stars"/>
    <x v="1"/>
  </r>
  <r>
    <x v="1"/>
    <x v="6"/>
    <x v="9"/>
    <x v="68"/>
    <x v="14"/>
    <x v="62"/>
    <n v="3"/>
    <n v="4.5"/>
    <s v="Excellent"/>
    <n v="3500"/>
    <x v="1"/>
    <x v="1"/>
    <x v="5"/>
    <x v="8"/>
    <s v="Yes"/>
    <n v="0.08"/>
    <x v="2"/>
    <s v="Less Popular"/>
    <s v="Medium Visit"/>
    <x v="1"/>
    <s v="No"/>
    <x v="1"/>
    <s v="★★★★★"/>
    <s v="5 / 5 Stars"/>
    <x v="2"/>
  </r>
  <r>
    <x v="1"/>
    <x v="6"/>
    <x v="10"/>
    <x v="69"/>
    <x v="27"/>
    <x v="63"/>
    <n v="2.5"/>
    <n v="4.5999999999999996"/>
    <s v="Excellent"/>
    <n v="0"/>
    <x v="0"/>
    <x v="0"/>
    <x v="1"/>
    <x v="10"/>
    <s v="Yes"/>
    <n v="0.12"/>
    <x v="0"/>
    <s v="Less Popular"/>
    <s v="Medium Visit"/>
    <x v="0"/>
    <s v="No"/>
    <x v="1"/>
    <s v="★★★★★"/>
    <s v="5 / 5 Stars"/>
    <x v="2"/>
  </r>
  <r>
    <x v="1"/>
    <x v="6"/>
    <x v="11"/>
    <x v="70"/>
    <x v="18"/>
    <x v="50"/>
    <n v="2"/>
    <n v="4.4000000000000004"/>
    <s v="Good"/>
    <n v="200"/>
    <x v="1"/>
    <x v="0"/>
    <x v="2"/>
    <x v="0"/>
    <s v="Yes"/>
    <n v="0.17"/>
    <x v="1"/>
    <s v="Less Popular"/>
    <s v="Short Visit"/>
    <x v="0"/>
    <s v="No"/>
    <x v="0"/>
    <s v="★★★★☆"/>
    <s v="4 / 5 Stars"/>
    <x v="2"/>
  </r>
  <r>
    <x v="1"/>
    <x v="6"/>
    <x v="12"/>
    <x v="71"/>
    <x v="2"/>
    <x v="33"/>
    <n v="2"/>
    <n v="4.8"/>
    <s v="Excellent"/>
    <n v="0"/>
    <x v="0"/>
    <x v="1"/>
    <x v="0"/>
    <x v="1"/>
    <s v="No"/>
    <n v="0.39"/>
    <x v="2"/>
    <s v="Less Popular"/>
    <s v="Short Visit"/>
    <x v="1"/>
    <s v="Yes"/>
    <x v="0"/>
    <s v="★★★★★"/>
    <s v="5 / 5 Stars"/>
    <x v="2"/>
  </r>
  <r>
    <x v="1"/>
    <x v="6"/>
    <x v="13"/>
    <x v="72"/>
    <x v="32"/>
    <x v="64"/>
    <n v="3"/>
    <n v="4.9000000000000004"/>
    <s v="Excellent"/>
    <n v="7500"/>
    <x v="1"/>
    <x v="0"/>
    <x v="5"/>
    <x v="15"/>
    <s v="Yes"/>
    <n v="0.1"/>
    <x v="0"/>
    <s v="Less Popular"/>
    <s v="Medium Visit"/>
    <x v="0"/>
    <s v="Yes"/>
    <x v="4"/>
    <s v="★★★★★"/>
    <s v="5 / 5 Stars"/>
    <x v="2"/>
  </r>
  <r>
    <x v="1"/>
    <x v="6"/>
    <x v="14"/>
    <x v="73"/>
    <x v="11"/>
    <x v="65"/>
    <n v="3"/>
    <n v="4.5999999999999996"/>
    <s v="Excellent"/>
    <n v="350"/>
    <x v="1"/>
    <x v="1"/>
    <x v="2"/>
    <x v="0"/>
    <s v="Yes"/>
    <n v="0.67"/>
    <x v="3"/>
    <s v="Popular"/>
    <s v="Medium Visit"/>
    <x v="1"/>
    <s v="No"/>
    <x v="0"/>
    <s v="★★★★★"/>
    <s v="5 / 5 Stars"/>
    <x v="1"/>
  </r>
  <r>
    <x v="1"/>
    <x v="6"/>
    <x v="15"/>
    <x v="74"/>
    <x v="9"/>
    <x v="25"/>
    <n v="1.5"/>
    <n v="4.5"/>
    <s v="Excellent"/>
    <n v="0"/>
    <x v="0"/>
    <x v="1"/>
    <x v="4"/>
    <x v="0"/>
    <s v="Yes"/>
    <n v="0.05"/>
    <x v="3"/>
    <s v="Less Popular"/>
    <s v="Short Visit"/>
    <x v="1"/>
    <s v="No"/>
    <x v="0"/>
    <s v="★★★★★"/>
    <s v="5 / 5 Stars"/>
    <x v="2"/>
  </r>
  <r>
    <x v="1"/>
    <x v="6"/>
    <x v="7"/>
    <x v="75"/>
    <x v="33"/>
    <x v="66"/>
    <n v="1"/>
    <n v="4.5999999999999996"/>
    <s v="Excellent"/>
    <n v="0"/>
    <x v="0"/>
    <x v="0"/>
    <x v="6"/>
    <x v="9"/>
    <s v="Yes"/>
    <n v="0.1"/>
    <x v="0"/>
    <s v="Less Popular"/>
    <s v="Short Visit"/>
    <x v="0"/>
    <s v="No"/>
    <x v="3"/>
    <s v="★★★★★"/>
    <s v="5 / 5 Stars"/>
    <x v="2"/>
  </r>
  <r>
    <x v="1"/>
    <x v="6"/>
    <x v="7"/>
    <x v="76"/>
    <x v="5"/>
    <x v="67"/>
    <n v="2"/>
    <n v="4.4000000000000004"/>
    <s v="Good"/>
    <n v="0"/>
    <x v="0"/>
    <x v="0"/>
    <x v="6"/>
    <x v="16"/>
    <s v="Yes"/>
    <n v="0.49"/>
    <x v="6"/>
    <s v="Less Popular"/>
    <s v="Short Visit"/>
    <x v="0"/>
    <s v="No"/>
    <x v="4"/>
    <s v="★★★★☆"/>
    <s v="4 / 5 Stars"/>
    <x v="1"/>
  </r>
  <r>
    <x v="1"/>
    <x v="6"/>
    <x v="7"/>
    <x v="77"/>
    <x v="22"/>
    <x v="68"/>
    <n v="3"/>
    <n v="4.5"/>
    <s v="Excellent"/>
    <n v="10"/>
    <x v="1"/>
    <x v="0"/>
    <x v="1"/>
    <x v="9"/>
    <s v="Yes"/>
    <n v="0.3"/>
    <x v="1"/>
    <s v="Less Popular"/>
    <s v="Medium Visit"/>
    <x v="0"/>
    <s v="No"/>
    <x v="3"/>
    <s v="★★★★★"/>
    <s v="5 / 5 Stars"/>
    <x v="2"/>
  </r>
  <r>
    <x v="1"/>
    <x v="6"/>
    <x v="7"/>
    <x v="78"/>
    <x v="12"/>
    <x v="69"/>
    <n v="7"/>
    <n v="4.4000000000000004"/>
    <s v="Good"/>
    <n v="500"/>
    <x v="1"/>
    <x v="0"/>
    <x v="2"/>
    <x v="14"/>
    <s v="Yes"/>
    <n v="0.11"/>
    <x v="3"/>
    <s v="Less Popular"/>
    <s v="Full Day"/>
    <x v="0"/>
    <s v="No"/>
    <x v="4"/>
    <s v="★★★★☆"/>
    <s v="4 / 5 Stars"/>
    <x v="2"/>
  </r>
  <r>
    <x v="0"/>
    <x v="7"/>
    <x v="16"/>
    <x v="79"/>
    <x v="18"/>
    <x v="70"/>
    <n v="1"/>
    <n v="4.4000000000000004"/>
    <s v="Good"/>
    <n v="50"/>
    <x v="1"/>
    <x v="0"/>
    <x v="5"/>
    <x v="11"/>
    <s v="Yes"/>
    <n v="1.3"/>
    <x v="2"/>
    <s v="Highly Popular"/>
    <s v="Short Visit"/>
    <x v="0"/>
    <s v="No"/>
    <x v="0"/>
    <s v="★★★★☆"/>
    <s v="4 / 5 Stars"/>
    <x v="1"/>
  </r>
  <r>
    <x v="0"/>
    <x v="7"/>
    <x v="17"/>
    <x v="80"/>
    <x v="18"/>
    <x v="71"/>
    <n v="2"/>
    <n v="4.4000000000000004"/>
    <s v="Good"/>
    <n v="300"/>
    <x v="1"/>
    <x v="0"/>
    <x v="6"/>
    <x v="0"/>
    <s v="Yes"/>
    <n v="0.51"/>
    <x v="3"/>
    <s v="Popular"/>
    <s v="Short Visit"/>
    <x v="0"/>
    <s v="No"/>
    <x v="0"/>
    <s v="★★★★☆"/>
    <s v="4 / 5 Stars"/>
    <x v="1"/>
  </r>
  <r>
    <x v="0"/>
    <x v="7"/>
    <x v="18"/>
    <x v="81"/>
    <x v="6"/>
    <x v="72"/>
    <n v="2.5"/>
    <n v="4.4000000000000004"/>
    <s v="Good"/>
    <n v="50"/>
    <x v="1"/>
    <x v="1"/>
    <x v="4"/>
    <x v="0"/>
    <s v="Yes"/>
    <n v="0.56000000000000005"/>
    <x v="3"/>
    <s v="Popular"/>
    <s v="Medium Visit"/>
    <x v="1"/>
    <s v="No"/>
    <x v="0"/>
    <s v="★★★★☆"/>
    <s v="4 / 5 Stars"/>
    <x v="1"/>
  </r>
  <r>
    <x v="0"/>
    <x v="7"/>
    <x v="19"/>
    <x v="82"/>
    <x v="34"/>
    <x v="73"/>
    <n v="3"/>
    <n v="4.5999999999999996"/>
    <s v="Excellent"/>
    <n v="500"/>
    <x v="1"/>
    <x v="1"/>
    <x v="3"/>
    <x v="8"/>
    <s v="Yes"/>
    <n v="0.09"/>
    <x v="3"/>
    <s v="Less Popular"/>
    <s v="Medium Visit"/>
    <x v="1"/>
    <s v="No"/>
    <x v="1"/>
    <s v="★★★★★"/>
    <s v="5 / 5 Stars"/>
    <x v="2"/>
  </r>
  <r>
    <x v="0"/>
    <x v="7"/>
    <x v="20"/>
    <x v="83"/>
    <x v="2"/>
    <x v="8"/>
    <n v="1.5"/>
    <n v="4.4000000000000004"/>
    <s v="Good"/>
    <n v="0"/>
    <x v="0"/>
    <x v="1"/>
    <x v="3"/>
    <x v="1"/>
    <s v="Yes"/>
    <n v="1.6"/>
    <x v="3"/>
    <s v="Highly Popular"/>
    <s v="Short Visit"/>
    <x v="1"/>
    <s v="No"/>
    <x v="0"/>
    <s v="★★★★☆"/>
    <s v="4 / 5 Stars"/>
    <x v="0"/>
  </r>
  <r>
    <x v="0"/>
    <x v="7"/>
    <x v="21"/>
    <x v="84"/>
    <x v="35"/>
    <x v="74"/>
    <n v="1"/>
    <n v="4.5999999999999996"/>
    <s v="Excellent"/>
    <n v="0"/>
    <x v="0"/>
    <x v="0"/>
    <x v="0"/>
    <x v="1"/>
    <s v="No"/>
    <n v="0.35"/>
    <x v="3"/>
    <s v="Less Popular"/>
    <s v="Short Visit"/>
    <x v="0"/>
    <s v="No"/>
    <x v="0"/>
    <s v="★★★★★"/>
    <s v="5 / 5 Stars"/>
    <x v="2"/>
  </r>
  <r>
    <x v="0"/>
    <x v="7"/>
    <x v="22"/>
    <x v="85"/>
    <x v="6"/>
    <x v="75"/>
    <n v="2"/>
    <n v="4.5999999999999996"/>
    <s v="Excellent"/>
    <n v="100"/>
    <x v="1"/>
    <x v="0"/>
    <x v="2"/>
    <x v="0"/>
    <s v="Yes"/>
    <n v="0.64"/>
    <x v="3"/>
    <s v="Popular"/>
    <s v="Short Visit"/>
    <x v="0"/>
    <s v="No"/>
    <x v="0"/>
    <s v="★★★★★"/>
    <s v="5 / 5 Stars"/>
    <x v="1"/>
  </r>
  <r>
    <x v="0"/>
    <x v="7"/>
    <x v="23"/>
    <x v="86"/>
    <x v="6"/>
    <x v="76"/>
    <n v="2"/>
    <n v="4.5999999999999996"/>
    <s v="Excellent"/>
    <n v="40"/>
    <x v="1"/>
    <x v="1"/>
    <x v="3"/>
    <x v="0"/>
    <s v="Yes"/>
    <n v="1.9"/>
    <x v="3"/>
    <s v="Highly Popular"/>
    <s v="Short Visit"/>
    <x v="1"/>
    <s v="No"/>
    <x v="0"/>
    <s v="★★★★★"/>
    <s v="5 / 5 Stars"/>
    <x v="0"/>
  </r>
  <r>
    <x v="0"/>
    <x v="7"/>
    <x v="24"/>
    <x v="87"/>
    <x v="2"/>
    <x v="77"/>
    <n v="1"/>
    <n v="4.5999999999999996"/>
    <s v="Excellent"/>
    <n v="0"/>
    <x v="0"/>
    <x v="1"/>
    <x v="4"/>
    <x v="1"/>
    <s v="No"/>
    <n v="0.05"/>
    <x v="3"/>
    <s v="Less Popular"/>
    <s v="Short Visit"/>
    <x v="1"/>
    <s v="No"/>
    <x v="0"/>
    <s v="★★★★★"/>
    <s v="5 / 5 Stars"/>
    <x v="2"/>
  </r>
  <r>
    <x v="0"/>
    <x v="7"/>
    <x v="25"/>
    <x v="88"/>
    <x v="6"/>
    <x v="78"/>
    <n v="2"/>
    <n v="4.5"/>
    <s v="Excellent"/>
    <n v="50"/>
    <x v="1"/>
    <x v="0"/>
    <x v="0"/>
    <x v="0"/>
    <s v="Yes"/>
    <n v="0.32"/>
    <x v="3"/>
    <s v="Less Popular"/>
    <s v="Short Visit"/>
    <x v="0"/>
    <s v="No"/>
    <x v="0"/>
    <s v="★★★★★"/>
    <s v="5 / 5 Stars"/>
    <x v="2"/>
  </r>
  <r>
    <x v="0"/>
    <x v="7"/>
    <x v="16"/>
    <x v="89"/>
    <x v="6"/>
    <x v="79"/>
    <n v="2"/>
    <n v="4.5999999999999996"/>
    <s v="Excellent"/>
    <n v="100"/>
    <x v="1"/>
    <x v="0"/>
    <x v="6"/>
    <x v="0"/>
    <s v="Yes"/>
    <n v="1.5"/>
    <x v="3"/>
    <s v="Highly Popular"/>
    <s v="Short Visit"/>
    <x v="0"/>
    <s v="No"/>
    <x v="0"/>
    <s v="★★★★★"/>
    <s v="5 / 5 Stars"/>
    <x v="0"/>
  </r>
  <r>
    <x v="0"/>
    <x v="7"/>
    <x v="16"/>
    <x v="90"/>
    <x v="6"/>
    <x v="80"/>
    <n v="1.5"/>
    <n v="4.5"/>
    <s v="Excellent"/>
    <n v="35"/>
    <x v="1"/>
    <x v="0"/>
    <x v="1"/>
    <x v="0"/>
    <s v="Yes"/>
    <n v="0.3"/>
    <x v="3"/>
    <s v="Less Popular"/>
    <s v="Short Visit"/>
    <x v="0"/>
    <s v="No"/>
    <x v="0"/>
    <s v="★★★★★"/>
    <s v="5 / 5 Stars"/>
    <x v="2"/>
  </r>
  <r>
    <x v="0"/>
    <x v="7"/>
    <x v="17"/>
    <x v="91"/>
    <x v="22"/>
    <x v="81"/>
    <n v="1"/>
    <n v="4.5999999999999996"/>
    <s v="Excellent"/>
    <n v="0"/>
    <x v="0"/>
    <x v="0"/>
    <x v="3"/>
    <x v="10"/>
    <s v="Yes"/>
    <n v="0.5"/>
    <x v="3"/>
    <s v="Popular"/>
    <s v="Short Visit"/>
    <x v="0"/>
    <s v="No"/>
    <x v="1"/>
    <s v="★★★★★"/>
    <s v="5 / 5 Stars"/>
    <x v="1"/>
  </r>
  <r>
    <x v="0"/>
    <x v="8"/>
    <x v="26"/>
    <x v="92"/>
    <x v="36"/>
    <x v="58"/>
    <n v="1.5"/>
    <n v="4.9000000000000004"/>
    <s v="Excellent"/>
    <n v="0"/>
    <x v="0"/>
    <x v="0"/>
    <x v="1"/>
    <x v="17"/>
    <s v="Yes"/>
    <n v="1.9"/>
    <x v="3"/>
    <s v="Highly Popular"/>
    <s v="Short Visit"/>
    <x v="0"/>
    <s v="Yes"/>
    <x v="4"/>
    <s v="★★★★★"/>
    <s v="5 / 5 Stars"/>
    <x v="0"/>
  </r>
  <r>
    <x v="0"/>
    <x v="8"/>
    <x v="26"/>
    <x v="93"/>
    <x v="37"/>
    <x v="33"/>
    <n v="1"/>
    <n v="4.8"/>
    <s v="Excellent"/>
    <n v="0"/>
    <x v="0"/>
    <x v="0"/>
    <x v="3"/>
    <x v="0"/>
    <s v="Yes"/>
    <n v="0.3"/>
    <x v="1"/>
    <s v="Less Popular"/>
    <s v="Short Visit"/>
    <x v="0"/>
    <s v="Yes"/>
    <x v="0"/>
    <s v="★★★★★"/>
    <s v="5 / 5 Stars"/>
    <x v="2"/>
  </r>
  <r>
    <x v="0"/>
    <x v="8"/>
    <x v="26"/>
    <x v="94"/>
    <x v="38"/>
    <x v="63"/>
    <n v="2"/>
    <n v="4.8"/>
    <s v="Excellent"/>
    <n v="0"/>
    <x v="0"/>
    <x v="0"/>
    <x v="3"/>
    <x v="15"/>
    <s v="Yes"/>
    <n v="0.17"/>
    <x v="0"/>
    <s v="Less Popular"/>
    <s v="Short Visit"/>
    <x v="0"/>
    <s v="Yes"/>
    <x v="4"/>
    <s v="★★★★★"/>
    <s v="5 / 5 Stars"/>
    <x v="2"/>
  </r>
  <r>
    <x v="0"/>
    <x v="8"/>
    <x v="27"/>
    <x v="95"/>
    <x v="39"/>
    <x v="34"/>
    <n v="2"/>
    <n v="4.5"/>
    <s v="Excellent"/>
    <n v="30"/>
    <x v="1"/>
    <x v="0"/>
    <x v="1"/>
    <x v="6"/>
    <s v="Yes"/>
    <n v="0.5"/>
    <x v="3"/>
    <s v="Popular"/>
    <s v="Short Visit"/>
    <x v="0"/>
    <s v="No"/>
    <x v="0"/>
    <s v="★★★★★"/>
    <s v="5 / 5 Stars"/>
    <x v="1"/>
  </r>
  <r>
    <x v="2"/>
    <x v="9"/>
    <x v="28"/>
    <x v="96"/>
    <x v="16"/>
    <x v="75"/>
    <n v="1.5"/>
    <n v="4.5"/>
    <s v="Excellent"/>
    <n v="0"/>
    <x v="0"/>
    <x v="0"/>
    <x v="3"/>
    <x v="9"/>
    <s v="Yes"/>
    <n v="0.11"/>
    <x v="3"/>
    <s v="Less Popular"/>
    <s v="Short Visit"/>
    <x v="0"/>
    <s v="No"/>
    <x v="3"/>
    <s v="★★★★★"/>
    <s v="5 / 5 Stars"/>
    <x v="2"/>
  </r>
  <r>
    <x v="2"/>
    <x v="9"/>
    <x v="29"/>
    <x v="97"/>
    <x v="40"/>
    <x v="73"/>
    <n v="2"/>
    <n v="4.3"/>
    <s v="Good"/>
    <n v="0"/>
    <x v="0"/>
    <x v="1"/>
    <x v="5"/>
    <x v="10"/>
    <s v="Yes"/>
    <n v="0.3"/>
    <x v="3"/>
    <s v="Less Popular"/>
    <s v="Short Visit"/>
    <x v="1"/>
    <s v="No"/>
    <x v="1"/>
    <s v="★★★★☆"/>
    <s v="4 / 5 Stars"/>
    <x v="2"/>
  </r>
  <r>
    <x v="2"/>
    <x v="9"/>
    <x v="30"/>
    <x v="98"/>
    <x v="27"/>
    <x v="82"/>
    <n v="1"/>
    <n v="4.4000000000000004"/>
    <s v="Good"/>
    <n v="0"/>
    <x v="0"/>
    <x v="0"/>
    <x v="6"/>
    <x v="0"/>
    <s v="Yes"/>
    <n v="0.1"/>
    <x v="3"/>
    <s v="Less Popular"/>
    <s v="Short Visit"/>
    <x v="0"/>
    <s v="No"/>
    <x v="0"/>
    <s v="★★★★☆"/>
    <s v="4 / 5 Stars"/>
    <x v="2"/>
  </r>
  <r>
    <x v="2"/>
    <x v="9"/>
    <x v="31"/>
    <x v="99"/>
    <x v="2"/>
    <x v="83"/>
    <n v="1"/>
    <n v="4.7"/>
    <s v="Excellent"/>
    <n v="0"/>
    <x v="0"/>
    <x v="0"/>
    <x v="6"/>
    <x v="1"/>
    <s v="No"/>
    <n v="0.46"/>
    <x v="3"/>
    <s v="Less Popular"/>
    <s v="Short Visit"/>
    <x v="0"/>
    <s v="Yes"/>
    <x v="0"/>
    <s v="★★★★★"/>
    <s v="5 / 5 Stars"/>
    <x v="1"/>
  </r>
  <r>
    <x v="2"/>
    <x v="9"/>
    <x v="32"/>
    <x v="100"/>
    <x v="16"/>
    <x v="84"/>
    <n v="1.5"/>
    <n v="3.9"/>
    <s v="Average"/>
    <n v="0"/>
    <x v="0"/>
    <x v="0"/>
    <x v="4"/>
    <x v="9"/>
    <s v="Yes"/>
    <n v="5.8999999999999997E-2"/>
    <x v="3"/>
    <s v="Less Popular"/>
    <s v="Short Visit"/>
    <x v="0"/>
    <s v="No"/>
    <x v="3"/>
    <s v="★★★★☆"/>
    <s v="4 / 5 Stars"/>
    <x v="2"/>
  </r>
  <r>
    <x v="2"/>
    <x v="9"/>
    <x v="33"/>
    <x v="101"/>
    <x v="34"/>
    <x v="85"/>
    <n v="3"/>
    <n v="4.5"/>
    <s v="Excellent"/>
    <n v="300"/>
    <x v="1"/>
    <x v="1"/>
    <x v="6"/>
    <x v="8"/>
    <s v="Yes"/>
    <n v="2.2000000000000002"/>
    <x v="3"/>
    <s v="Highly Popular"/>
    <s v="Medium Visit"/>
    <x v="1"/>
    <s v="No"/>
    <x v="1"/>
    <s v="★★★★★"/>
    <s v="5 / 5 Stars"/>
    <x v="0"/>
  </r>
  <r>
    <x v="2"/>
    <x v="9"/>
    <x v="34"/>
    <x v="102"/>
    <x v="14"/>
    <x v="86"/>
    <n v="3"/>
    <n v="4.3"/>
    <s v="Good"/>
    <n v="50"/>
    <x v="1"/>
    <x v="1"/>
    <x v="1"/>
    <x v="8"/>
    <s v="Yes"/>
    <n v="0.14000000000000001"/>
    <x v="3"/>
    <s v="Less Popular"/>
    <s v="Medium Visit"/>
    <x v="1"/>
    <s v="No"/>
    <x v="1"/>
    <s v="★★★★☆"/>
    <s v="4 / 5 Stars"/>
    <x v="2"/>
  </r>
  <r>
    <x v="2"/>
    <x v="9"/>
    <x v="35"/>
    <x v="103"/>
    <x v="30"/>
    <x v="85"/>
    <n v="2"/>
    <n v="3.8"/>
    <s v="Average"/>
    <n v="50"/>
    <x v="1"/>
    <x v="0"/>
    <x v="4"/>
    <x v="8"/>
    <s v="Yes"/>
    <n v="0.1"/>
    <x v="3"/>
    <s v="Less Popular"/>
    <s v="Short Visit"/>
    <x v="0"/>
    <s v="No"/>
    <x v="1"/>
    <s v="★★★★☆"/>
    <s v="4 / 5 Stars"/>
    <x v="2"/>
  </r>
  <r>
    <x v="2"/>
    <x v="9"/>
    <x v="36"/>
    <x v="104"/>
    <x v="16"/>
    <x v="87"/>
    <n v="2"/>
    <n v="4.5999999999999996"/>
    <s v="Excellent"/>
    <n v="0"/>
    <x v="0"/>
    <x v="0"/>
    <x v="5"/>
    <x v="9"/>
    <s v="Yes"/>
    <n v="0.1"/>
    <x v="3"/>
    <s v="Less Popular"/>
    <s v="Short Visit"/>
    <x v="0"/>
    <s v="No"/>
    <x v="3"/>
    <s v="★★★★★"/>
    <s v="5 / 5 Stars"/>
    <x v="2"/>
  </r>
  <r>
    <x v="2"/>
    <x v="9"/>
    <x v="37"/>
    <x v="105"/>
    <x v="6"/>
    <x v="88"/>
    <n v="1.5"/>
    <n v="4.5"/>
    <s v="Excellent"/>
    <n v="20"/>
    <x v="1"/>
    <x v="1"/>
    <x v="6"/>
    <x v="0"/>
    <s v="Yes"/>
    <n v="0.22"/>
    <x v="3"/>
    <s v="Less Popular"/>
    <s v="Short Visit"/>
    <x v="1"/>
    <s v="No"/>
    <x v="0"/>
    <s v="★★★★★"/>
    <s v="5 / 5 Stars"/>
    <x v="2"/>
  </r>
  <r>
    <x v="2"/>
    <x v="9"/>
    <x v="38"/>
    <x v="106"/>
    <x v="16"/>
    <x v="89"/>
    <n v="2"/>
    <n v="4.4000000000000004"/>
    <s v="Good"/>
    <n v="0"/>
    <x v="0"/>
    <x v="0"/>
    <x v="6"/>
    <x v="9"/>
    <s v="Yes"/>
    <n v="0.68"/>
    <x v="3"/>
    <s v="Popular"/>
    <s v="Short Visit"/>
    <x v="0"/>
    <s v="No"/>
    <x v="3"/>
    <s v="★★★★☆"/>
    <s v="4 / 5 Stars"/>
    <x v="1"/>
  </r>
  <r>
    <x v="2"/>
    <x v="9"/>
    <x v="39"/>
    <x v="107"/>
    <x v="6"/>
    <x v="90"/>
    <n v="1"/>
    <n v="4.4000000000000004"/>
    <s v="Good"/>
    <n v="20"/>
    <x v="1"/>
    <x v="0"/>
    <x v="2"/>
    <x v="0"/>
    <s v="Yes"/>
    <n v="0.11"/>
    <x v="3"/>
    <s v="Less Popular"/>
    <s v="Short Visit"/>
    <x v="0"/>
    <s v="No"/>
    <x v="0"/>
    <s v="★★★★☆"/>
    <s v="4 / 5 Stars"/>
    <x v="2"/>
  </r>
  <r>
    <x v="2"/>
    <x v="9"/>
    <x v="40"/>
    <x v="108"/>
    <x v="41"/>
    <x v="91"/>
    <n v="1"/>
    <n v="4.5"/>
    <s v="Excellent"/>
    <n v="0"/>
    <x v="0"/>
    <x v="1"/>
    <x v="5"/>
    <x v="10"/>
    <s v="Yes"/>
    <n v="0.03"/>
    <x v="2"/>
    <s v="Less Popular"/>
    <s v="Short Visit"/>
    <x v="1"/>
    <s v="No"/>
    <x v="1"/>
    <s v="★★★★★"/>
    <s v="5 / 5 Stars"/>
    <x v="2"/>
  </r>
  <r>
    <x v="2"/>
    <x v="9"/>
    <x v="30"/>
    <x v="109"/>
    <x v="32"/>
    <x v="92"/>
    <n v="1.5"/>
    <n v="4.4000000000000004"/>
    <s v="Good"/>
    <n v="100"/>
    <x v="1"/>
    <x v="0"/>
    <x v="2"/>
    <x v="15"/>
    <s v="Yes"/>
    <n v="0.1"/>
    <x v="3"/>
    <s v="Less Popular"/>
    <s v="Short Visit"/>
    <x v="0"/>
    <s v="No"/>
    <x v="4"/>
    <s v="★★★★☆"/>
    <s v="4 / 5 Stars"/>
    <x v="2"/>
  </r>
  <r>
    <x v="2"/>
    <x v="9"/>
    <x v="30"/>
    <x v="110"/>
    <x v="17"/>
    <x v="93"/>
    <n v="5.5"/>
    <n v="4.5999999999999996"/>
    <s v="Excellent"/>
    <n v="750"/>
    <x v="1"/>
    <x v="0"/>
    <x v="6"/>
    <x v="12"/>
    <s v="Yes"/>
    <n v="0.41"/>
    <x v="3"/>
    <s v="Less Popular"/>
    <s v="Full Day"/>
    <x v="0"/>
    <s v="No"/>
    <x v="3"/>
    <s v="★★★★★"/>
    <s v="5 / 5 Stars"/>
    <x v="1"/>
  </r>
  <r>
    <x v="2"/>
    <x v="2"/>
    <x v="41"/>
    <x v="111"/>
    <x v="18"/>
    <x v="94"/>
    <n v="2"/>
    <n v="4.5999999999999996"/>
    <s v="Excellent"/>
    <n v="50"/>
    <x v="1"/>
    <x v="0"/>
    <x v="5"/>
    <x v="0"/>
    <s v="Yes"/>
    <n v="2.5"/>
    <x v="3"/>
    <s v="Highly Popular"/>
    <s v="Short Visit"/>
    <x v="0"/>
    <s v="No"/>
    <x v="0"/>
    <s v="★★★★★"/>
    <s v="5 / 5 Stars"/>
    <x v="0"/>
  </r>
  <r>
    <x v="2"/>
    <x v="2"/>
    <x v="42"/>
    <x v="112"/>
    <x v="27"/>
    <x v="45"/>
    <n v="3"/>
    <n v="4.7"/>
    <s v="Excellent"/>
    <n v="0"/>
    <x v="0"/>
    <x v="1"/>
    <x v="2"/>
    <x v="0"/>
    <s v="Yes"/>
    <n v="0.05"/>
    <x v="3"/>
    <s v="Less Popular"/>
    <s v="Medium Visit"/>
    <x v="1"/>
    <s v="Yes"/>
    <x v="0"/>
    <s v="★★★★★"/>
    <s v="5 / 5 Stars"/>
    <x v="2"/>
  </r>
  <r>
    <x v="2"/>
    <x v="2"/>
    <x v="43"/>
    <x v="113"/>
    <x v="29"/>
    <x v="95"/>
    <n v="1"/>
    <n v="4.0999999999999996"/>
    <s v="Good"/>
    <n v="0"/>
    <x v="0"/>
    <x v="1"/>
    <x v="3"/>
    <x v="10"/>
    <s v="Yes"/>
    <n v="0.03"/>
    <x v="2"/>
    <s v="Less Popular"/>
    <s v="Short Visit"/>
    <x v="1"/>
    <s v="No"/>
    <x v="1"/>
    <s v="★★★★☆"/>
    <s v="4 / 5 Stars"/>
    <x v="2"/>
  </r>
  <r>
    <x v="2"/>
    <x v="2"/>
    <x v="44"/>
    <x v="114"/>
    <x v="16"/>
    <x v="96"/>
    <n v="2"/>
    <n v="4.5"/>
    <s v="Excellent"/>
    <n v="0"/>
    <x v="0"/>
    <x v="1"/>
    <x v="3"/>
    <x v="10"/>
    <s v="Yes"/>
    <n v="0.09"/>
    <x v="3"/>
    <s v="Less Popular"/>
    <s v="Short Visit"/>
    <x v="1"/>
    <s v="No"/>
    <x v="1"/>
    <s v="★★★★★"/>
    <s v="5 / 5 Stars"/>
    <x v="2"/>
  </r>
  <r>
    <x v="2"/>
    <x v="2"/>
    <x v="45"/>
    <x v="115"/>
    <x v="42"/>
    <x v="97"/>
    <n v="3"/>
    <n v="4.5"/>
    <s v="Excellent"/>
    <n v="0"/>
    <x v="0"/>
    <x v="1"/>
    <x v="2"/>
    <x v="10"/>
    <s v="Yes"/>
    <n v="0.05"/>
    <x v="3"/>
    <s v="Less Popular"/>
    <s v="Medium Visit"/>
    <x v="1"/>
    <s v="No"/>
    <x v="1"/>
    <s v="★★★★★"/>
    <s v="5 / 5 Stars"/>
    <x v="2"/>
  </r>
  <r>
    <x v="2"/>
    <x v="2"/>
    <x v="46"/>
    <x v="116"/>
    <x v="43"/>
    <x v="98"/>
    <n v="1.5"/>
    <n v="4.5999999999999996"/>
    <s v="Excellent"/>
    <n v="30"/>
    <x v="1"/>
    <x v="1"/>
    <x v="4"/>
    <x v="1"/>
    <s v="No"/>
    <n v="0.2"/>
    <x v="3"/>
    <s v="Less Popular"/>
    <s v="Short Visit"/>
    <x v="1"/>
    <s v="No"/>
    <x v="0"/>
    <s v="★★★★★"/>
    <s v="5 / 5 Stars"/>
    <x v="2"/>
  </r>
  <r>
    <x v="2"/>
    <x v="2"/>
    <x v="47"/>
    <x v="117"/>
    <x v="29"/>
    <x v="99"/>
    <n v="1.5"/>
    <n v="4.5999999999999996"/>
    <s v="Excellent"/>
    <n v="30"/>
    <x v="1"/>
    <x v="1"/>
    <x v="1"/>
    <x v="10"/>
    <s v="Yes"/>
    <n v="0.23"/>
    <x v="2"/>
    <s v="Less Popular"/>
    <s v="Short Visit"/>
    <x v="1"/>
    <s v="No"/>
    <x v="1"/>
    <s v="★★★★★"/>
    <s v="5 / 5 Stars"/>
    <x v="2"/>
  </r>
  <r>
    <x v="2"/>
    <x v="2"/>
    <x v="48"/>
    <x v="118"/>
    <x v="16"/>
    <x v="100"/>
    <n v="1.5"/>
    <n v="4.5"/>
    <s v="Excellent"/>
    <n v="0"/>
    <x v="0"/>
    <x v="0"/>
    <x v="1"/>
    <x v="9"/>
    <s v="Yes"/>
    <n v="0.1"/>
    <x v="3"/>
    <s v="Less Popular"/>
    <s v="Short Visit"/>
    <x v="0"/>
    <s v="No"/>
    <x v="3"/>
    <s v="★★★★★"/>
    <s v="5 / 5 Stars"/>
    <x v="2"/>
  </r>
  <r>
    <x v="2"/>
    <x v="2"/>
    <x v="49"/>
    <x v="119"/>
    <x v="2"/>
    <x v="101"/>
    <n v="1"/>
    <n v="4.7"/>
    <s v="Excellent"/>
    <n v="0"/>
    <x v="0"/>
    <x v="0"/>
    <x v="3"/>
    <x v="1"/>
    <s v="No"/>
    <n v="0.49"/>
    <x v="3"/>
    <s v="Less Popular"/>
    <s v="Short Visit"/>
    <x v="0"/>
    <s v="Yes"/>
    <x v="0"/>
    <s v="★★★★★"/>
    <s v="5 / 5 Stars"/>
    <x v="1"/>
  </r>
  <r>
    <x v="2"/>
    <x v="2"/>
    <x v="50"/>
    <x v="120"/>
    <x v="44"/>
    <x v="102"/>
    <n v="1.5"/>
    <n v="4.5"/>
    <s v="Excellent"/>
    <n v="20"/>
    <x v="1"/>
    <x v="1"/>
    <x v="3"/>
    <x v="0"/>
    <s v="Yes"/>
    <n v="0.25"/>
    <x v="3"/>
    <s v="Less Popular"/>
    <s v="Short Visit"/>
    <x v="1"/>
    <s v="No"/>
    <x v="0"/>
    <s v="★★★★★"/>
    <s v="5 / 5 Stars"/>
    <x v="2"/>
  </r>
  <r>
    <x v="2"/>
    <x v="2"/>
    <x v="51"/>
    <x v="121"/>
    <x v="14"/>
    <x v="103"/>
    <n v="3"/>
    <n v="4.4000000000000004"/>
    <s v="Good"/>
    <n v="300"/>
    <x v="1"/>
    <x v="1"/>
    <x v="2"/>
    <x v="8"/>
    <s v="Yes"/>
    <n v="0.15"/>
    <x v="2"/>
    <s v="Less Popular"/>
    <s v="Medium Visit"/>
    <x v="1"/>
    <s v="No"/>
    <x v="1"/>
    <s v="★★★★☆"/>
    <s v="4 / 5 Stars"/>
    <x v="2"/>
  </r>
  <r>
    <x v="2"/>
    <x v="2"/>
    <x v="52"/>
    <x v="122"/>
    <x v="2"/>
    <x v="104"/>
    <n v="1"/>
    <n v="4.7"/>
    <s v="Excellent"/>
    <n v="15"/>
    <x v="1"/>
    <x v="1"/>
    <x v="6"/>
    <x v="1"/>
    <s v="No"/>
    <n v="0.11"/>
    <x v="3"/>
    <s v="Less Popular"/>
    <s v="Short Visit"/>
    <x v="1"/>
    <s v="Yes"/>
    <x v="0"/>
    <s v="★★★★★"/>
    <s v="5 / 5 Stars"/>
    <x v="2"/>
  </r>
  <r>
    <x v="1"/>
    <x v="1"/>
    <x v="53"/>
    <x v="123"/>
    <x v="6"/>
    <x v="105"/>
    <n v="2"/>
    <n v="4.4000000000000004"/>
    <s v="Good"/>
    <n v="50"/>
    <x v="1"/>
    <x v="0"/>
    <x v="0"/>
    <x v="0"/>
    <s v="Yes"/>
    <n v="1.2"/>
    <x v="3"/>
    <s v="Highly Popular"/>
    <s v="Short Visit"/>
    <x v="0"/>
    <s v="No"/>
    <x v="0"/>
    <s v="★★★★☆"/>
    <s v="4 / 5 Stars"/>
    <x v="1"/>
  </r>
  <r>
    <x v="1"/>
    <x v="1"/>
    <x v="54"/>
    <x v="124"/>
    <x v="43"/>
    <x v="106"/>
    <n v="3"/>
    <n v="4.5999999999999996"/>
    <s v="Excellent"/>
    <n v="30"/>
    <x v="1"/>
    <x v="0"/>
    <x v="2"/>
    <x v="0"/>
    <s v="Yes"/>
    <n v="0.21"/>
    <x v="1"/>
    <s v="Less Popular"/>
    <s v="Medium Visit"/>
    <x v="0"/>
    <s v="No"/>
    <x v="0"/>
    <s v="★★★★★"/>
    <s v="5 / 5 Stars"/>
    <x v="2"/>
  </r>
  <r>
    <x v="1"/>
    <x v="1"/>
    <x v="55"/>
    <x v="125"/>
    <x v="45"/>
    <x v="107"/>
    <n v="2"/>
    <n v="4.0999999999999996"/>
    <s v="Good"/>
    <n v="300"/>
    <x v="1"/>
    <x v="0"/>
    <x v="0"/>
    <x v="9"/>
    <s v="Yes"/>
    <n v="0.1"/>
    <x v="1"/>
    <s v="Less Popular"/>
    <s v="Short Visit"/>
    <x v="0"/>
    <s v="No"/>
    <x v="3"/>
    <s v="★★★★☆"/>
    <s v="4 / 5 Stars"/>
    <x v="2"/>
  </r>
  <r>
    <x v="1"/>
    <x v="1"/>
    <x v="56"/>
    <x v="126"/>
    <x v="2"/>
    <x v="18"/>
    <n v="1.5"/>
    <n v="4.7"/>
    <s v="Excellent"/>
    <n v="0"/>
    <x v="0"/>
    <x v="0"/>
    <x v="1"/>
    <x v="1"/>
    <s v="No"/>
    <n v="0.69"/>
    <x v="3"/>
    <s v="Popular"/>
    <s v="Short Visit"/>
    <x v="0"/>
    <s v="Yes"/>
    <x v="0"/>
    <s v="★★★★★"/>
    <s v="5 / 5 Stars"/>
    <x v="1"/>
  </r>
  <r>
    <x v="1"/>
    <x v="1"/>
    <x v="57"/>
    <x v="127"/>
    <x v="16"/>
    <x v="108"/>
    <n v="1.5"/>
    <n v="4.2"/>
    <s v="Good"/>
    <n v="0"/>
    <x v="0"/>
    <x v="0"/>
    <x v="1"/>
    <x v="9"/>
    <s v="Yes"/>
    <n v="0.05"/>
    <x v="0"/>
    <s v="Less Popular"/>
    <s v="Short Visit"/>
    <x v="0"/>
    <s v="No"/>
    <x v="3"/>
    <s v="★★★★☆"/>
    <s v="4 / 5 Stars"/>
    <x v="2"/>
  </r>
  <r>
    <x v="1"/>
    <x v="1"/>
    <x v="58"/>
    <x v="128"/>
    <x v="2"/>
    <x v="9"/>
    <n v="1"/>
    <n v="4.7"/>
    <s v="Excellent"/>
    <n v="0"/>
    <x v="0"/>
    <x v="1"/>
    <x v="1"/>
    <x v="1"/>
    <s v="No"/>
    <n v="0.1"/>
    <x v="3"/>
    <s v="Less Popular"/>
    <s v="Short Visit"/>
    <x v="1"/>
    <s v="Yes"/>
    <x v="0"/>
    <s v="★★★★★"/>
    <s v="5 / 5 Stars"/>
    <x v="2"/>
  </r>
  <r>
    <x v="1"/>
    <x v="1"/>
    <x v="59"/>
    <x v="129"/>
    <x v="11"/>
    <x v="109"/>
    <n v="1"/>
    <n v="4.5"/>
    <s v="Excellent"/>
    <n v="0"/>
    <x v="0"/>
    <x v="0"/>
    <x v="0"/>
    <x v="1"/>
    <s v="Yes"/>
    <n v="0.11"/>
    <x v="1"/>
    <s v="Less Popular"/>
    <s v="Short Visit"/>
    <x v="0"/>
    <s v="No"/>
    <x v="0"/>
    <s v="★★★★★"/>
    <s v="5 / 5 Stars"/>
    <x v="2"/>
  </r>
  <r>
    <x v="1"/>
    <x v="1"/>
    <x v="60"/>
    <x v="130"/>
    <x v="2"/>
    <x v="76"/>
    <n v="1"/>
    <n v="4.8"/>
    <s v="Excellent"/>
    <n v="0"/>
    <x v="0"/>
    <x v="0"/>
    <x v="0"/>
    <x v="1"/>
    <s v="No"/>
    <n v="0.9"/>
    <x v="3"/>
    <s v="Popular"/>
    <s v="Short Visit"/>
    <x v="0"/>
    <s v="Yes"/>
    <x v="0"/>
    <s v="★★★★★"/>
    <s v="5 / 5 Stars"/>
    <x v="1"/>
  </r>
  <r>
    <x v="1"/>
    <x v="1"/>
    <x v="2"/>
    <x v="131"/>
    <x v="43"/>
    <x v="106"/>
    <n v="1.5"/>
    <n v="4.4000000000000004"/>
    <s v="Good"/>
    <n v="25"/>
    <x v="1"/>
    <x v="0"/>
    <x v="7"/>
    <x v="0"/>
    <s v="Yes"/>
    <n v="0.27"/>
    <x v="1"/>
    <s v="Less Popular"/>
    <s v="Short Visit"/>
    <x v="0"/>
    <s v="No"/>
    <x v="0"/>
    <s v="★★★★☆"/>
    <s v="4 / 5 Stars"/>
    <x v="2"/>
  </r>
  <r>
    <x v="1"/>
    <x v="10"/>
    <x v="61"/>
    <x v="132"/>
    <x v="16"/>
    <x v="110"/>
    <n v="2"/>
    <n v="4.5999999999999996"/>
    <s v="Excellent"/>
    <n v="0"/>
    <x v="0"/>
    <x v="1"/>
    <x v="0"/>
    <x v="9"/>
    <s v="Yes"/>
    <n v="6.5000000000000002E-2"/>
    <x v="0"/>
    <s v="Less Popular"/>
    <s v="Short Visit"/>
    <x v="1"/>
    <s v="No"/>
    <x v="3"/>
    <s v="★★★★★"/>
    <s v="5 / 5 Stars"/>
    <x v="2"/>
  </r>
  <r>
    <x v="1"/>
    <x v="10"/>
    <x v="62"/>
    <x v="133"/>
    <x v="46"/>
    <x v="111"/>
    <n v="2"/>
    <n v="4.4000000000000004"/>
    <s v="Good"/>
    <n v="300"/>
    <x v="1"/>
    <x v="1"/>
    <x v="2"/>
    <x v="10"/>
    <s v="Yes"/>
    <n v="0.05"/>
    <x v="1"/>
    <s v="Less Popular"/>
    <s v="Short Visit"/>
    <x v="1"/>
    <s v="No"/>
    <x v="1"/>
    <s v="★★★★☆"/>
    <s v="4 / 5 Stars"/>
    <x v="2"/>
  </r>
  <r>
    <x v="1"/>
    <x v="10"/>
    <x v="63"/>
    <x v="134"/>
    <x v="41"/>
    <x v="112"/>
    <n v="1.5"/>
    <n v="4.4000000000000004"/>
    <s v="Good"/>
    <n v="0"/>
    <x v="0"/>
    <x v="0"/>
    <x v="6"/>
    <x v="10"/>
    <s v="Yes"/>
    <n v="0.02"/>
    <x v="2"/>
    <s v="Less Popular"/>
    <s v="Short Visit"/>
    <x v="0"/>
    <s v="No"/>
    <x v="1"/>
    <s v="★★★★☆"/>
    <s v="4 / 5 Stars"/>
    <x v="2"/>
  </r>
  <r>
    <x v="1"/>
    <x v="10"/>
    <x v="64"/>
    <x v="135"/>
    <x v="43"/>
    <x v="98"/>
    <n v="3"/>
    <n v="4.7"/>
    <s v="Excellent"/>
    <n v="30"/>
    <x v="1"/>
    <x v="0"/>
    <x v="3"/>
    <x v="0"/>
    <s v="Yes"/>
    <n v="0.49"/>
    <x v="1"/>
    <s v="Less Popular"/>
    <s v="Medium Visit"/>
    <x v="0"/>
    <s v="Yes"/>
    <x v="0"/>
    <s v="★★★★★"/>
    <s v="5 / 5 Stars"/>
    <x v="1"/>
  </r>
  <r>
    <x v="4"/>
    <x v="11"/>
    <x v="65"/>
    <x v="136"/>
    <x v="47"/>
    <x v="113"/>
    <n v="2"/>
    <n v="4.7"/>
    <s v="Excellent"/>
    <n v="40"/>
    <x v="1"/>
    <x v="1"/>
    <x v="6"/>
    <x v="15"/>
    <s v="Yes"/>
    <n v="0.09"/>
    <x v="1"/>
    <s v="Less Popular"/>
    <s v="Short Visit"/>
    <x v="1"/>
    <s v="Yes"/>
    <x v="4"/>
    <s v="★★★★★"/>
    <s v="5 / 5 Stars"/>
    <x v="2"/>
  </r>
  <r>
    <x v="4"/>
    <x v="11"/>
    <x v="66"/>
    <x v="137"/>
    <x v="11"/>
    <x v="114"/>
    <n v="1.5"/>
    <n v="4.7"/>
    <s v="Excellent"/>
    <n v="30"/>
    <x v="1"/>
    <x v="0"/>
    <x v="6"/>
    <x v="0"/>
    <s v="Yes"/>
    <n v="0.01"/>
    <x v="1"/>
    <s v="Less Popular"/>
    <s v="Short Visit"/>
    <x v="0"/>
    <s v="Yes"/>
    <x v="0"/>
    <s v="★★★★★"/>
    <s v="5 / 5 Stars"/>
    <x v="2"/>
  </r>
  <r>
    <x v="4"/>
    <x v="11"/>
    <x v="67"/>
    <x v="138"/>
    <x v="18"/>
    <x v="115"/>
    <n v="1"/>
    <n v="4.4000000000000004"/>
    <s v="Good"/>
    <n v="10"/>
    <x v="1"/>
    <x v="0"/>
    <x v="1"/>
    <x v="0"/>
    <s v="Yes"/>
    <n v="0.63"/>
    <x v="1"/>
    <s v="Popular"/>
    <s v="Short Visit"/>
    <x v="0"/>
    <s v="No"/>
    <x v="0"/>
    <s v="★★★★☆"/>
    <s v="4 / 5 Stars"/>
    <x v="1"/>
  </r>
  <r>
    <x v="4"/>
    <x v="11"/>
    <x v="68"/>
    <x v="139"/>
    <x v="6"/>
    <x v="116"/>
    <n v="2.5"/>
    <n v="4.5"/>
    <s v="Excellent"/>
    <n v="75"/>
    <x v="1"/>
    <x v="0"/>
    <x v="0"/>
    <x v="0"/>
    <s v="Yes"/>
    <n v="0.4"/>
    <x v="2"/>
    <s v="Less Popular"/>
    <s v="Medium Visit"/>
    <x v="0"/>
    <s v="No"/>
    <x v="0"/>
    <s v="★★★★★"/>
    <s v="5 / 5 Stars"/>
    <x v="1"/>
  </r>
  <r>
    <x v="4"/>
    <x v="11"/>
    <x v="69"/>
    <x v="140"/>
    <x v="2"/>
    <x v="117"/>
    <n v="1.5"/>
    <n v="4.8"/>
    <s v="Excellent"/>
    <n v="0"/>
    <x v="0"/>
    <x v="0"/>
    <x v="1"/>
    <x v="1"/>
    <s v="No"/>
    <n v="1.2"/>
    <x v="3"/>
    <s v="Highly Popular"/>
    <s v="Short Visit"/>
    <x v="0"/>
    <s v="Yes"/>
    <x v="0"/>
    <s v="★★★★★"/>
    <s v="5 / 5 Stars"/>
    <x v="1"/>
  </r>
  <r>
    <x v="4"/>
    <x v="11"/>
    <x v="70"/>
    <x v="141"/>
    <x v="29"/>
    <x v="118"/>
    <n v="1"/>
    <n v="4.5"/>
    <s v="Excellent"/>
    <n v="0"/>
    <x v="0"/>
    <x v="1"/>
    <x v="5"/>
    <x v="10"/>
    <s v="Yes"/>
    <n v="0.01"/>
    <x v="2"/>
    <s v="Less Popular"/>
    <s v="Short Visit"/>
    <x v="1"/>
    <s v="No"/>
    <x v="1"/>
    <s v="★★★★★"/>
    <s v="5 / 5 Stars"/>
    <x v="2"/>
  </r>
  <r>
    <x v="4"/>
    <x v="11"/>
    <x v="71"/>
    <x v="142"/>
    <x v="29"/>
    <x v="119"/>
    <n v="1.5"/>
    <n v="4.5999999999999996"/>
    <s v="Excellent"/>
    <n v="15"/>
    <x v="1"/>
    <x v="1"/>
    <x v="3"/>
    <x v="10"/>
    <s v="Yes"/>
    <n v="6.5000000000000002E-2"/>
    <x v="2"/>
    <s v="Less Popular"/>
    <s v="Short Visit"/>
    <x v="1"/>
    <s v="No"/>
    <x v="1"/>
    <s v="★★★★★"/>
    <s v="5 / 5 Stars"/>
    <x v="2"/>
  </r>
  <r>
    <x v="4"/>
    <x v="11"/>
    <x v="72"/>
    <x v="143"/>
    <x v="34"/>
    <x v="120"/>
    <n v="3"/>
    <n v="4.5"/>
    <s v="Excellent"/>
    <n v="100"/>
    <x v="1"/>
    <x v="1"/>
    <x v="3"/>
    <x v="8"/>
    <s v="Yes"/>
    <n v="0.1"/>
    <x v="2"/>
    <s v="Less Popular"/>
    <s v="Medium Visit"/>
    <x v="1"/>
    <s v="No"/>
    <x v="1"/>
    <s v="★★★★★"/>
    <s v="5 / 5 Stars"/>
    <x v="2"/>
  </r>
  <r>
    <x v="4"/>
    <x v="11"/>
    <x v="73"/>
    <x v="144"/>
    <x v="14"/>
    <x v="119"/>
    <n v="3"/>
    <n v="4.5"/>
    <s v="Excellent"/>
    <n v="50"/>
    <x v="1"/>
    <x v="1"/>
    <x v="5"/>
    <x v="8"/>
    <s v="Yes"/>
    <n v="0.05"/>
    <x v="2"/>
    <s v="Less Popular"/>
    <s v="Medium Visit"/>
    <x v="1"/>
    <s v="No"/>
    <x v="1"/>
    <s v="★★★★★"/>
    <s v="5 / 5 Stars"/>
    <x v="2"/>
  </r>
  <r>
    <x v="4"/>
    <x v="11"/>
    <x v="74"/>
    <x v="145"/>
    <x v="6"/>
    <x v="11"/>
    <n v="1.5"/>
    <n v="4.8"/>
    <s v="Excellent"/>
    <n v="10"/>
    <x v="1"/>
    <x v="1"/>
    <x v="3"/>
    <x v="0"/>
    <s v="Yes"/>
    <n v="0.1"/>
    <x v="1"/>
    <s v="Less Popular"/>
    <s v="Short Visit"/>
    <x v="1"/>
    <s v="Yes"/>
    <x v="0"/>
    <s v="★★★★★"/>
    <s v="5 / 5 Stars"/>
    <x v="2"/>
  </r>
  <r>
    <x v="4"/>
    <x v="11"/>
    <x v="75"/>
    <x v="146"/>
    <x v="27"/>
    <x v="11"/>
    <n v="1"/>
    <n v="3.9"/>
    <s v="Average"/>
    <n v="50"/>
    <x v="1"/>
    <x v="1"/>
    <x v="5"/>
    <x v="0"/>
    <s v="Yes"/>
    <n v="0.03"/>
    <x v="1"/>
    <s v="Less Popular"/>
    <s v="Short Visit"/>
    <x v="1"/>
    <s v="No"/>
    <x v="0"/>
    <s v="★★★★☆"/>
    <s v="4 / 5 Stars"/>
    <x v="2"/>
  </r>
  <r>
    <x v="4"/>
    <x v="11"/>
    <x v="76"/>
    <x v="147"/>
    <x v="48"/>
    <x v="121"/>
    <n v="2"/>
    <n v="4.5999999999999996"/>
    <s v="Excellent"/>
    <n v="25"/>
    <x v="1"/>
    <x v="1"/>
    <x v="0"/>
    <x v="18"/>
    <s v="Yes"/>
    <n v="7.0000000000000007E-2"/>
    <x v="1"/>
    <s v="Less Popular"/>
    <s v="Short Visit"/>
    <x v="1"/>
    <s v="No"/>
    <x v="4"/>
    <s v="★★★★★"/>
    <s v="5 / 5 Stars"/>
    <x v="2"/>
  </r>
  <r>
    <x v="4"/>
    <x v="11"/>
    <x v="77"/>
    <x v="148"/>
    <x v="2"/>
    <x v="122"/>
    <n v="1"/>
    <n v="4.4000000000000004"/>
    <s v="Good"/>
    <n v="0"/>
    <x v="0"/>
    <x v="1"/>
    <x v="0"/>
    <x v="1"/>
    <s v="Yes"/>
    <n v="0.01"/>
    <x v="3"/>
    <s v="Less Popular"/>
    <s v="Short Visit"/>
    <x v="1"/>
    <s v="No"/>
    <x v="0"/>
    <s v="★★★★☆"/>
    <s v="4 / 5 Stars"/>
    <x v="2"/>
  </r>
  <r>
    <x v="4"/>
    <x v="11"/>
    <x v="78"/>
    <x v="149"/>
    <x v="29"/>
    <x v="123"/>
    <n v="1.5"/>
    <n v="4.4000000000000004"/>
    <s v="Good"/>
    <n v="0"/>
    <x v="0"/>
    <x v="1"/>
    <x v="6"/>
    <x v="10"/>
    <s v="Yes"/>
    <n v="0.1"/>
    <x v="2"/>
    <s v="Less Popular"/>
    <s v="Short Visit"/>
    <x v="1"/>
    <s v="No"/>
    <x v="1"/>
    <s v="★★★★☆"/>
    <s v="4 / 5 Stars"/>
    <x v="2"/>
  </r>
  <r>
    <x v="0"/>
    <x v="12"/>
    <x v="79"/>
    <x v="150"/>
    <x v="49"/>
    <x v="124"/>
    <n v="1"/>
    <n v="4.7"/>
    <s v="Excellent"/>
    <n v="0"/>
    <x v="0"/>
    <x v="0"/>
    <x v="6"/>
    <x v="9"/>
    <s v="Yes"/>
    <n v="0.03"/>
    <x v="2"/>
    <s v="Less Popular"/>
    <s v="Short Visit"/>
    <x v="0"/>
    <s v="Yes"/>
    <x v="3"/>
    <s v="★★★★★"/>
    <s v="5 / 5 Stars"/>
    <x v="2"/>
  </r>
  <r>
    <x v="0"/>
    <x v="12"/>
    <x v="80"/>
    <x v="151"/>
    <x v="46"/>
    <x v="125"/>
    <n v="2"/>
    <n v="4.0999999999999996"/>
    <s v="Good"/>
    <n v="0"/>
    <x v="0"/>
    <x v="1"/>
    <x v="6"/>
    <x v="19"/>
    <s v="Yes"/>
    <n v="0.05"/>
    <x v="2"/>
    <s v="Less Popular"/>
    <s v="Short Visit"/>
    <x v="1"/>
    <s v="No"/>
    <x v="4"/>
    <s v="★★★★☆"/>
    <s v="4 / 5 Stars"/>
    <x v="2"/>
  </r>
  <r>
    <x v="0"/>
    <x v="12"/>
    <x v="81"/>
    <x v="152"/>
    <x v="2"/>
    <x v="13"/>
    <n v="1.5"/>
    <n v="4.7"/>
    <s v="Excellent"/>
    <n v="0"/>
    <x v="0"/>
    <x v="0"/>
    <x v="3"/>
    <x v="1"/>
    <s v="No"/>
    <n v="0.15"/>
    <x v="3"/>
    <s v="Less Popular"/>
    <s v="Short Visit"/>
    <x v="0"/>
    <s v="Yes"/>
    <x v="0"/>
    <s v="★★★★★"/>
    <s v="5 / 5 Stars"/>
    <x v="2"/>
  </r>
  <r>
    <x v="0"/>
    <x v="12"/>
    <x v="81"/>
    <x v="153"/>
    <x v="22"/>
    <x v="126"/>
    <n v="1.5"/>
    <n v="4.5"/>
    <s v="Excellent"/>
    <n v="0"/>
    <x v="0"/>
    <x v="1"/>
    <x v="3"/>
    <x v="10"/>
    <s v="Yes"/>
    <n v="0.1"/>
    <x v="2"/>
    <s v="Less Popular"/>
    <s v="Short Visit"/>
    <x v="1"/>
    <s v="No"/>
    <x v="1"/>
    <s v="★★★★★"/>
    <s v="5 / 5 Stars"/>
    <x v="2"/>
  </r>
  <r>
    <x v="0"/>
    <x v="12"/>
    <x v="82"/>
    <x v="154"/>
    <x v="50"/>
    <x v="77"/>
    <n v="1"/>
    <n v="4.8"/>
    <s v="Excellent"/>
    <n v="0"/>
    <x v="0"/>
    <x v="1"/>
    <x v="2"/>
    <x v="1"/>
    <s v="Yes"/>
    <n v="2.5000000000000001E-2"/>
    <x v="2"/>
    <s v="Less Popular"/>
    <s v="Short Visit"/>
    <x v="1"/>
    <s v="Yes"/>
    <x v="0"/>
    <s v="★★★★★"/>
    <s v="5 / 5 Stars"/>
    <x v="2"/>
  </r>
  <r>
    <x v="0"/>
    <x v="12"/>
    <x v="83"/>
    <x v="155"/>
    <x v="14"/>
    <x v="127"/>
    <n v="3"/>
    <n v="4.5"/>
    <s v="Excellent"/>
    <n v="50"/>
    <x v="1"/>
    <x v="1"/>
    <x v="3"/>
    <x v="8"/>
    <s v="Yes"/>
    <n v="0.2"/>
    <x v="3"/>
    <s v="Less Popular"/>
    <s v="Medium Visit"/>
    <x v="1"/>
    <s v="No"/>
    <x v="1"/>
    <s v="★★★★★"/>
    <s v="5 / 5 Stars"/>
    <x v="2"/>
  </r>
  <r>
    <x v="0"/>
    <x v="12"/>
    <x v="84"/>
    <x v="156"/>
    <x v="22"/>
    <x v="128"/>
    <n v="2"/>
    <n v="4.4000000000000004"/>
    <s v="Good"/>
    <n v="0"/>
    <x v="0"/>
    <x v="1"/>
    <x v="1"/>
    <x v="9"/>
    <s v="Yes"/>
    <n v="0.01"/>
    <x v="2"/>
    <s v="Less Popular"/>
    <s v="Short Visit"/>
    <x v="1"/>
    <s v="No"/>
    <x v="3"/>
    <s v="★★★★☆"/>
    <s v="4 / 5 Stars"/>
    <x v="2"/>
  </r>
  <r>
    <x v="0"/>
    <x v="12"/>
    <x v="85"/>
    <x v="157"/>
    <x v="46"/>
    <x v="129"/>
    <n v="2"/>
    <n v="4.5"/>
    <s v="Excellent"/>
    <n v="0"/>
    <x v="0"/>
    <x v="1"/>
    <x v="4"/>
    <x v="10"/>
    <s v="Yes"/>
    <n v="0.01"/>
    <x v="2"/>
    <s v="Less Popular"/>
    <s v="Short Visit"/>
    <x v="1"/>
    <s v="No"/>
    <x v="1"/>
    <s v="★★★★★"/>
    <s v="5 / 5 Stars"/>
    <x v="2"/>
  </r>
  <r>
    <x v="0"/>
    <x v="12"/>
    <x v="86"/>
    <x v="158"/>
    <x v="6"/>
    <x v="130"/>
    <n v="2"/>
    <n v="4.4000000000000004"/>
    <s v="Good"/>
    <n v="150"/>
    <x v="1"/>
    <x v="0"/>
    <x v="6"/>
    <x v="0"/>
    <s v="Yes"/>
    <n v="0.1"/>
    <x v="3"/>
    <s v="Less Popular"/>
    <s v="Short Visit"/>
    <x v="0"/>
    <s v="No"/>
    <x v="0"/>
    <s v="★★★★☆"/>
    <s v="4 / 5 Stars"/>
    <x v="2"/>
  </r>
  <r>
    <x v="0"/>
    <x v="12"/>
    <x v="87"/>
    <x v="159"/>
    <x v="51"/>
    <x v="63"/>
    <n v="1.5"/>
    <n v="4.5999999999999996"/>
    <s v="Excellent"/>
    <n v="0"/>
    <x v="0"/>
    <x v="0"/>
    <x v="1"/>
    <x v="20"/>
    <s v="Yes"/>
    <n v="1.4999999999999999E-2"/>
    <x v="2"/>
    <s v="Less Popular"/>
    <s v="Short Visit"/>
    <x v="0"/>
    <s v="No"/>
    <x v="4"/>
    <s v="★★★★★"/>
    <s v="5 / 5 Stars"/>
    <x v="2"/>
  </r>
  <r>
    <x v="0"/>
    <x v="12"/>
    <x v="88"/>
    <x v="160"/>
    <x v="22"/>
    <x v="8"/>
    <n v="1.5"/>
    <n v="4.5999999999999996"/>
    <s v="Excellent"/>
    <n v="0"/>
    <x v="0"/>
    <x v="1"/>
    <x v="4"/>
    <x v="10"/>
    <s v="Yes"/>
    <n v="0.01"/>
    <x v="2"/>
    <s v="Less Popular"/>
    <s v="Short Visit"/>
    <x v="1"/>
    <s v="No"/>
    <x v="1"/>
    <s v="★★★★★"/>
    <s v="5 / 5 Stars"/>
    <x v="2"/>
  </r>
  <r>
    <x v="0"/>
    <x v="12"/>
    <x v="89"/>
    <x v="161"/>
    <x v="52"/>
    <x v="2"/>
    <n v="2"/>
    <n v="4.8"/>
    <s v="Excellent"/>
    <n v="2500"/>
    <x v="1"/>
    <x v="1"/>
    <x v="2"/>
    <x v="19"/>
    <s v="Yes"/>
    <n v="0.01"/>
    <x v="3"/>
    <s v="Less Popular"/>
    <s v="Short Visit"/>
    <x v="1"/>
    <s v="Yes"/>
    <x v="4"/>
    <s v="★★★★★"/>
    <s v="5 / 5 Stars"/>
    <x v="2"/>
  </r>
  <r>
    <x v="0"/>
    <x v="12"/>
    <x v="90"/>
    <x v="162"/>
    <x v="53"/>
    <x v="131"/>
    <n v="5"/>
    <n v="4.8"/>
    <s v="Excellent"/>
    <n v="0"/>
    <x v="0"/>
    <x v="0"/>
    <x v="5"/>
    <x v="19"/>
    <s v="Yes"/>
    <n v="0.01"/>
    <x v="2"/>
    <s v="Less Popular"/>
    <s v="Medium Visit"/>
    <x v="0"/>
    <s v="Yes"/>
    <x v="4"/>
    <s v="★★★★★"/>
    <s v="5 / 5 Stars"/>
    <x v="2"/>
  </r>
  <r>
    <x v="0"/>
    <x v="12"/>
    <x v="91"/>
    <x v="163"/>
    <x v="54"/>
    <x v="73"/>
    <n v="1"/>
    <n v="4.5999999999999996"/>
    <s v="Excellent"/>
    <n v="0"/>
    <x v="0"/>
    <x v="1"/>
    <x v="3"/>
    <x v="1"/>
    <s v="Yes"/>
    <n v="1.3"/>
    <x v="2"/>
    <s v="Highly Popular"/>
    <s v="Short Visit"/>
    <x v="1"/>
    <s v="No"/>
    <x v="0"/>
    <s v="★★★★★"/>
    <s v="5 / 5 Stars"/>
    <x v="1"/>
  </r>
  <r>
    <x v="0"/>
    <x v="12"/>
    <x v="92"/>
    <x v="164"/>
    <x v="41"/>
    <x v="132"/>
    <n v="2"/>
    <n v="4.5"/>
    <s v="Excellent"/>
    <n v="0"/>
    <x v="0"/>
    <x v="0"/>
    <x v="0"/>
    <x v="10"/>
    <s v="Yes"/>
    <n v="1.1000000000000001"/>
    <x v="3"/>
    <s v="Highly Popular"/>
    <s v="Short Visit"/>
    <x v="0"/>
    <s v="No"/>
    <x v="1"/>
    <s v="★★★★★"/>
    <s v="5 / 5 Stars"/>
    <x v="1"/>
  </r>
  <r>
    <x v="0"/>
    <x v="12"/>
    <x v="93"/>
    <x v="165"/>
    <x v="46"/>
    <x v="133"/>
    <n v="2"/>
    <n v="4.7"/>
    <s v="Excellent"/>
    <n v="0"/>
    <x v="0"/>
    <x v="1"/>
    <x v="2"/>
    <x v="10"/>
    <s v="Yes"/>
    <n v="1.2"/>
    <x v="2"/>
    <s v="Highly Popular"/>
    <s v="Short Visit"/>
    <x v="1"/>
    <s v="Yes"/>
    <x v="1"/>
    <s v="★★★★★"/>
    <s v="5 / 5 Stars"/>
    <x v="1"/>
  </r>
  <r>
    <x v="0"/>
    <x v="12"/>
    <x v="94"/>
    <x v="166"/>
    <x v="22"/>
    <x v="134"/>
    <n v="2.5"/>
    <n v="4.4000000000000004"/>
    <s v="Good"/>
    <n v="0"/>
    <x v="0"/>
    <x v="1"/>
    <x v="4"/>
    <x v="10"/>
    <s v="Yes"/>
    <n v="0.9"/>
    <x v="2"/>
    <s v="Popular"/>
    <s v="Medium Visit"/>
    <x v="1"/>
    <s v="No"/>
    <x v="1"/>
    <s v="★★★★☆"/>
    <s v="4 / 5 Stars"/>
    <x v="1"/>
  </r>
  <r>
    <x v="0"/>
    <x v="12"/>
    <x v="95"/>
    <x v="167"/>
    <x v="55"/>
    <x v="135"/>
    <n v="5"/>
    <n v="3.8"/>
    <s v="Average"/>
    <n v="1500"/>
    <x v="1"/>
    <x v="0"/>
    <x v="1"/>
    <x v="9"/>
    <s v="Yes"/>
    <n v="0.1"/>
    <x v="3"/>
    <s v="Less Popular"/>
    <s v="Medium Visit"/>
    <x v="0"/>
    <s v="No"/>
    <x v="3"/>
    <s v="★★★★☆"/>
    <s v="4 / 5 Stars"/>
    <x v="2"/>
  </r>
  <r>
    <x v="0"/>
    <x v="13"/>
    <x v="96"/>
    <x v="168"/>
    <x v="22"/>
    <x v="136"/>
    <n v="1.5"/>
    <n v="4.2"/>
    <s v="Good"/>
    <n v="0"/>
    <x v="0"/>
    <x v="0"/>
    <x v="1"/>
    <x v="10"/>
    <s v="Yes"/>
    <n v="0.01"/>
    <x v="2"/>
    <s v="Less Popular"/>
    <s v="Short Visit"/>
    <x v="0"/>
    <s v="No"/>
    <x v="1"/>
    <s v="★★★★☆"/>
    <s v="4 / 5 Stars"/>
    <x v="2"/>
  </r>
  <r>
    <x v="0"/>
    <x v="13"/>
    <x v="97"/>
    <x v="169"/>
    <x v="56"/>
    <x v="137"/>
    <n v="1"/>
    <n v="4.4000000000000004"/>
    <s v="Good"/>
    <n v="0"/>
    <x v="0"/>
    <x v="0"/>
    <x v="2"/>
    <x v="15"/>
    <s v="Yes"/>
    <n v="0.03"/>
    <x v="2"/>
    <s v="Less Popular"/>
    <s v="Short Visit"/>
    <x v="0"/>
    <s v="No"/>
    <x v="4"/>
    <s v="★★★★☆"/>
    <s v="4 / 5 Stars"/>
    <x v="2"/>
  </r>
  <r>
    <x v="0"/>
    <x v="13"/>
    <x v="98"/>
    <x v="170"/>
    <x v="57"/>
    <x v="138"/>
    <n v="1"/>
    <n v="4.5"/>
    <s v="Excellent"/>
    <n v="0"/>
    <x v="0"/>
    <x v="0"/>
    <x v="2"/>
    <x v="1"/>
    <s v="Yes"/>
    <n v="2.5000000000000001E-2"/>
    <x v="3"/>
    <s v="Less Popular"/>
    <s v="Short Visit"/>
    <x v="0"/>
    <s v="No"/>
    <x v="0"/>
    <s v="★★★★★"/>
    <s v="5 / 5 Stars"/>
    <x v="2"/>
  </r>
  <r>
    <x v="0"/>
    <x v="13"/>
    <x v="99"/>
    <x v="171"/>
    <x v="43"/>
    <x v="139"/>
    <n v="1.5"/>
    <n v="4.5"/>
    <s v="Excellent"/>
    <n v="25"/>
    <x v="1"/>
    <x v="0"/>
    <x v="5"/>
    <x v="10"/>
    <s v="Yes"/>
    <n v="0.01"/>
    <x v="2"/>
    <s v="Less Popular"/>
    <s v="Short Visit"/>
    <x v="0"/>
    <s v="No"/>
    <x v="1"/>
    <s v="★★★★★"/>
    <s v="5 / 5 Stars"/>
    <x v="2"/>
  </r>
  <r>
    <x v="0"/>
    <x v="13"/>
    <x v="100"/>
    <x v="172"/>
    <x v="29"/>
    <x v="140"/>
    <n v="1.5"/>
    <n v="4.2"/>
    <s v="Good"/>
    <n v="15"/>
    <x v="1"/>
    <x v="0"/>
    <x v="4"/>
    <x v="10"/>
    <s v="Yes"/>
    <n v="0.55000000000000004"/>
    <x v="2"/>
    <s v="Popular"/>
    <s v="Short Visit"/>
    <x v="0"/>
    <s v="No"/>
    <x v="1"/>
    <s v="★★★★☆"/>
    <s v="4 / 5 Stars"/>
    <x v="1"/>
  </r>
  <r>
    <x v="0"/>
    <x v="13"/>
    <x v="101"/>
    <x v="173"/>
    <x v="55"/>
    <x v="141"/>
    <n v="3"/>
    <n v="4.5"/>
    <s v="Excellent"/>
    <n v="0"/>
    <x v="0"/>
    <x v="1"/>
    <x v="1"/>
    <x v="19"/>
    <s v="Yes"/>
    <n v="0.01"/>
    <x v="2"/>
    <s v="Less Popular"/>
    <s v="Medium Visit"/>
    <x v="1"/>
    <s v="No"/>
    <x v="4"/>
    <s v="★★★★★"/>
    <s v="5 / 5 Stars"/>
    <x v="2"/>
  </r>
  <r>
    <x v="0"/>
    <x v="13"/>
    <x v="102"/>
    <x v="174"/>
    <x v="2"/>
    <x v="142"/>
    <n v="1"/>
    <n v="4.8"/>
    <s v="Excellent"/>
    <n v="0"/>
    <x v="0"/>
    <x v="1"/>
    <x v="5"/>
    <x v="1"/>
    <s v="No"/>
    <n v="0.28999999999999998"/>
    <x v="3"/>
    <s v="Less Popular"/>
    <s v="Short Visit"/>
    <x v="1"/>
    <s v="Yes"/>
    <x v="0"/>
    <s v="★★★★★"/>
    <s v="5 / 5 Stars"/>
    <x v="2"/>
  </r>
  <r>
    <x v="0"/>
    <x v="13"/>
    <x v="103"/>
    <x v="175"/>
    <x v="34"/>
    <x v="59"/>
    <n v="2"/>
    <n v="4.3"/>
    <s v="Good"/>
    <n v="150"/>
    <x v="1"/>
    <x v="1"/>
    <x v="4"/>
    <x v="8"/>
    <s v="Yes"/>
    <n v="0.01"/>
    <x v="3"/>
    <s v="Less Popular"/>
    <s v="Short Visit"/>
    <x v="1"/>
    <s v="No"/>
    <x v="1"/>
    <s v="★★★★☆"/>
    <s v="4 / 5 Stars"/>
    <x v="2"/>
  </r>
  <r>
    <x v="0"/>
    <x v="13"/>
    <x v="104"/>
    <x v="176"/>
    <x v="58"/>
    <x v="143"/>
    <n v="1"/>
    <n v="4"/>
    <s v="Good"/>
    <n v="50"/>
    <x v="1"/>
    <x v="1"/>
    <x v="2"/>
    <x v="9"/>
    <s v="Yes"/>
    <n v="2.5000000000000001E-2"/>
    <x v="3"/>
    <s v="Less Popular"/>
    <s v="Short Visit"/>
    <x v="1"/>
    <s v="No"/>
    <x v="3"/>
    <s v="★★★★☆"/>
    <s v="4 / 5 Stars"/>
    <x v="2"/>
  </r>
  <r>
    <x v="0"/>
    <x v="13"/>
    <x v="105"/>
    <x v="177"/>
    <x v="14"/>
    <x v="144"/>
    <n v="3"/>
    <n v="4.4000000000000004"/>
    <s v="Good"/>
    <n v="100"/>
    <x v="1"/>
    <x v="0"/>
    <x v="5"/>
    <x v="8"/>
    <s v="Yes"/>
    <n v="0.3"/>
    <x v="3"/>
    <s v="Less Popular"/>
    <s v="Medium Visit"/>
    <x v="0"/>
    <s v="No"/>
    <x v="1"/>
    <s v="★★★★☆"/>
    <s v="4 / 5 Stars"/>
    <x v="2"/>
  </r>
  <r>
    <x v="0"/>
    <x v="13"/>
    <x v="106"/>
    <x v="178"/>
    <x v="2"/>
    <x v="145"/>
    <n v="1"/>
    <n v="4.8"/>
    <s v="Excellent"/>
    <n v="0"/>
    <x v="0"/>
    <x v="1"/>
    <x v="5"/>
    <x v="1"/>
    <s v="No"/>
    <n v="0.05"/>
    <x v="3"/>
    <s v="Less Popular"/>
    <s v="Short Visit"/>
    <x v="1"/>
    <s v="Yes"/>
    <x v="0"/>
    <s v="★★★★★"/>
    <s v="5 / 5 Stars"/>
    <x v="2"/>
  </r>
  <r>
    <x v="0"/>
    <x v="13"/>
    <x v="107"/>
    <x v="179"/>
    <x v="2"/>
    <x v="146"/>
    <n v="2"/>
    <n v="4.8"/>
    <s v="Excellent"/>
    <n v="0"/>
    <x v="0"/>
    <x v="1"/>
    <x v="2"/>
    <x v="1"/>
    <s v="No"/>
    <n v="0.09"/>
    <x v="3"/>
    <s v="Less Popular"/>
    <s v="Short Visit"/>
    <x v="1"/>
    <s v="Yes"/>
    <x v="0"/>
    <s v="★★★★★"/>
    <s v="5 / 5 Stars"/>
    <x v="2"/>
  </r>
  <r>
    <x v="0"/>
    <x v="13"/>
    <x v="108"/>
    <x v="180"/>
    <x v="14"/>
    <x v="86"/>
    <n v="5"/>
    <n v="4.7"/>
    <s v="Excellent"/>
    <n v="150"/>
    <x v="1"/>
    <x v="1"/>
    <x v="2"/>
    <x v="10"/>
    <s v="Yes"/>
    <n v="3.5000000000000003E-2"/>
    <x v="2"/>
    <s v="Less Popular"/>
    <s v="Medium Visit"/>
    <x v="1"/>
    <s v="Yes"/>
    <x v="1"/>
    <s v="★★★★★"/>
    <s v="5 / 5 Stars"/>
    <x v="2"/>
  </r>
  <r>
    <x v="4"/>
    <x v="14"/>
    <x v="109"/>
    <x v="181"/>
    <x v="44"/>
    <x v="147"/>
    <n v="2"/>
    <n v="4.5999999999999996"/>
    <s v="Excellent"/>
    <n v="50"/>
    <x v="1"/>
    <x v="0"/>
    <x v="0"/>
    <x v="0"/>
    <s v="Yes"/>
    <n v="2.25"/>
    <x v="2"/>
    <s v="Highly Popular"/>
    <s v="Short Visit"/>
    <x v="0"/>
    <s v="No"/>
    <x v="0"/>
    <s v="★★★★★"/>
    <s v="5 / 5 Stars"/>
    <x v="0"/>
  </r>
  <r>
    <x v="4"/>
    <x v="14"/>
    <x v="110"/>
    <x v="182"/>
    <x v="2"/>
    <x v="148"/>
    <n v="1"/>
    <n v="4.7"/>
    <s v="Excellent"/>
    <n v="0"/>
    <x v="0"/>
    <x v="0"/>
    <x v="4"/>
    <x v="1"/>
    <s v="No"/>
    <n v="0.9"/>
    <x v="3"/>
    <s v="Popular"/>
    <s v="Short Visit"/>
    <x v="0"/>
    <s v="Yes"/>
    <x v="0"/>
    <s v="★★★★★"/>
    <s v="5 / 5 Stars"/>
    <x v="1"/>
  </r>
  <r>
    <x v="4"/>
    <x v="14"/>
    <x v="111"/>
    <x v="183"/>
    <x v="11"/>
    <x v="149"/>
    <n v="1.5"/>
    <n v="4.4000000000000004"/>
    <s v="Good"/>
    <n v="50"/>
    <x v="1"/>
    <x v="0"/>
    <x v="2"/>
    <x v="0"/>
    <s v="No"/>
    <n v="0.45"/>
    <x v="3"/>
    <s v="Less Popular"/>
    <s v="Short Visit"/>
    <x v="0"/>
    <s v="No"/>
    <x v="0"/>
    <s v="★★★★☆"/>
    <s v="4 / 5 Stars"/>
    <x v="1"/>
  </r>
  <r>
    <x v="4"/>
    <x v="14"/>
    <x v="112"/>
    <x v="184"/>
    <x v="2"/>
    <x v="43"/>
    <n v="1"/>
    <n v="4.7"/>
    <s v="Excellent"/>
    <n v="0"/>
    <x v="0"/>
    <x v="0"/>
    <x v="5"/>
    <x v="1"/>
    <s v="No"/>
    <n v="0.13"/>
    <x v="3"/>
    <s v="Less Popular"/>
    <s v="Short Visit"/>
    <x v="0"/>
    <s v="Yes"/>
    <x v="0"/>
    <s v="★★★★★"/>
    <s v="5 / 5 Stars"/>
    <x v="2"/>
  </r>
  <r>
    <x v="4"/>
    <x v="14"/>
    <x v="113"/>
    <x v="185"/>
    <x v="36"/>
    <x v="28"/>
    <n v="1"/>
    <n v="4.8"/>
    <s v="Excellent"/>
    <n v="0"/>
    <x v="0"/>
    <x v="0"/>
    <x v="1"/>
    <x v="1"/>
    <s v="No"/>
    <n v="2.5000000000000001E-2"/>
    <x v="3"/>
    <s v="Less Popular"/>
    <s v="Short Visit"/>
    <x v="0"/>
    <s v="Yes"/>
    <x v="0"/>
    <s v="★★★★★"/>
    <s v="5 / 5 Stars"/>
    <x v="2"/>
  </r>
  <r>
    <x v="4"/>
    <x v="14"/>
    <x v="114"/>
    <x v="186"/>
    <x v="2"/>
    <x v="42"/>
    <n v="1"/>
    <n v="4.8"/>
    <s v="Excellent"/>
    <n v="0"/>
    <x v="0"/>
    <x v="0"/>
    <x v="6"/>
    <x v="1"/>
    <s v="No"/>
    <n v="0.37"/>
    <x v="3"/>
    <s v="Less Popular"/>
    <s v="Short Visit"/>
    <x v="0"/>
    <s v="Yes"/>
    <x v="0"/>
    <s v="★★★★★"/>
    <s v="5 / 5 Stars"/>
    <x v="2"/>
  </r>
  <r>
    <x v="4"/>
    <x v="14"/>
    <x v="115"/>
    <x v="187"/>
    <x v="59"/>
    <x v="150"/>
    <n v="1"/>
    <n v="4.5"/>
    <s v="Excellent"/>
    <n v="0"/>
    <x v="0"/>
    <x v="0"/>
    <x v="4"/>
    <x v="1"/>
    <s v="Yes"/>
    <n v="0.09"/>
    <x v="2"/>
    <s v="Less Popular"/>
    <s v="Short Visit"/>
    <x v="0"/>
    <s v="No"/>
    <x v="0"/>
    <s v="★★★★★"/>
    <s v="5 / 5 Stars"/>
    <x v="2"/>
  </r>
  <r>
    <x v="4"/>
    <x v="14"/>
    <x v="116"/>
    <x v="188"/>
    <x v="6"/>
    <x v="46"/>
    <n v="1.5"/>
    <n v="4.4000000000000004"/>
    <s v="Good"/>
    <n v="15"/>
    <x v="1"/>
    <x v="0"/>
    <x v="0"/>
    <x v="0"/>
    <s v="Yes"/>
    <n v="0.25"/>
    <x v="3"/>
    <s v="Less Popular"/>
    <s v="Short Visit"/>
    <x v="0"/>
    <s v="No"/>
    <x v="0"/>
    <s v="★★★★☆"/>
    <s v="4 / 5 Stars"/>
    <x v="2"/>
  </r>
  <r>
    <x v="4"/>
    <x v="14"/>
    <x v="117"/>
    <x v="189"/>
    <x v="11"/>
    <x v="151"/>
    <n v="1"/>
    <n v="4.5999999999999996"/>
    <s v="Excellent"/>
    <n v="5"/>
    <x v="1"/>
    <x v="0"/>
    <x v="3"/>
    <x v="0"/>
    <s v="Yes"/>
    <n v="6.5000000000000002E-2"/>
    <x v="3"/>
    <s v="Less Popular"/>
    <s v="Short Visit"/>
    <x v="0"/>
    <s v="No"/>
    <x v="0"/>
    <s v="★★★★★"/>
    <s v="5 / 5 Stars"/>
    <x v="2"/>
  </r>
  <r>
    <x v="4"/>
    <x v="14"/>
    <x v="118"/>
    <x v="190"/>
    <x v="11"/>
    <x v="152"/>
    <n v="2"/>
    <n v="4.4000000000000004"/>
    <s v="Good"/>
    <n v="40"/>
    <x v="1"/>
    <x v="0"/>
    <x v="6"/>
    <x v="0"/>
    <s v="Yes"/>
    <n v="7.0000000000000007E-2"/>
    <x v="1"/>
    <s v="Less Popular"/>
    <s v="Short Visit"/>
    <x v="0"/>
    <s v="No"/>
    <x v="0"/>
    <s v="★★★★☆"/>
    <s v="4 / 5 Stars"/>
    <x v="2"/>
  </r>
  <r>
    <x v="4"/>
    <x v="14"/>
    <x v="119"/>
    <x v="191"/>
    <x v="30"/>
    <x v="141"/>
    <n v="1.5"/>
    <n v="4.3"/>
    <s v="Good"/>
    <n v="30"/>
    <x v="1"/>
    <x v="0"/>
    <x v="2"/>
    <x v="8"/>
    <s v="Yes"/>
    <n v="3.5000000000000003E-2"/>
    <x v="3"/>
    <s v="Less Popular"/>
    <s v="Short Visit"/>
    <x v="0"/>
    <s v="No"/>
    <x v="1"/>
    <s v="★★★★☆"/>
    <s v="4 / 5 Stars"/>
    <x v="2"/>
  </r>
  <r>
    <x v="4"/>
    <x v="14"/>
    <x v="120"/>
    <x v="192"/>
    <x v="6"/>
    <x v="153"/>
    <n v="1"/>
    <n v="4.0999999999999996"/>
    <s v="Good"/>
    <n v="20"/>
    <x v="1"/>
    <x v="0"/>
    <x v="4"/>
    <x v="0"/>
    <s v="Yes"/>
    <n v="1.6500000000000001E-2"/>
    <x v="1"/>
    <s v="Less Popular"/>
    <s v="Short Visit"/>
    <x v="0"/>
    <s v="No"/>
    <x v="0"/>
    <s v="★★★★☆"/>
    <s v="4 / 5 Stars"/>
    <x v="2"/>
  </r>
  <r>
    <x v="4"/>
    <x v="14"/>
    <x v="121"/>
    <x v="193"/>
    <x v="2"/>
    <x v="154"/>
    <n v="1"/>
    <n v="4.8"/>
    <s v="Excellent"/>
    <n v="0"/>
    <x v="0"/>
    <x v="0"/>
    <x v="0"/>
    <x v="1"/>
    <s v="No"/>
    <n v="4.4999999999999998E-2"/>
    <x v="3"/>
    <s v="Less Popular"/>
    <s v="Short Visit"/>
    <x v="0"/>
    <s v="Yes"/>
    <x v="0"/>
    <s v="★★★★★"/>
    <s v="5 / 5 Stars"/>
    <x v="2"/>
  </r>
  <r>
    <x v="4"/>
    <x v="14"/>
    <x v="122"/>
    <x v="194"/>
    <x v="10"/>
    <x v="155"/>
    <n v="2"/>
    <n v="4.2"/>
    <s v="Good"/>
    <n v="150"/>
    <x v="1"/>
    <x v="0"/>
    <x v="2"/>
    <x v="8"/>
    <s v="Yes"/>
    <n v="0.21"/>
    <x v="3"/>
    <s v="Less Popular"/>
    <s v="Short Visit"/>
    <x v="0"/>
    <s v="No"/>
    <x v="1"/>
    <s v="★★★★☆"/>
    <s v="4 / 5 Stars"/>
    <x v="2"/>
  </r>
  <r>
    <x v="0"/>
    <x v="15"/>
    <x v="123"/>
    <x v="195"/>
    <x v="22"/>
    <x v="156"/>
    <n v="2"/>
    <n v="4.5999999999999996"/>
    <s v="Excellent"/>
    <n v="0"/>
    <x v="0"/>
    <x v="0"/>
    <x v="2"/>
    <x v="10"/>
    <s v="Yes"/>
    <n v="0.15"/>
    <x v="2"/>
    <s v="Less Popular"/>
    <s v="Short Visit"/>
    <x v="0"/>
    <s v="No"/>
    <x v="1"/>
    <s v="★★★★★"/>
    <s v="5 / 5 Stars"/>
    <x v="2"/>
  </r>
  <r>
    <x v="0"/>
    <x v="16"/>
    <x v="124"/>
    <x v="196"/>
    <x v="22"/>
    <x v="157"/>
    <n v="2"/>
    <n v="4.9000000000000004"/>
    <s v="Excellent"/>
    <n v="20"/>
    <x v="1"/>
    <x v="0"/>
    <x v="2"/>
    <x v="10"/>
    <s v="Yes"/>
    <n v="0.15"/>
    <x v="2"/>
    <s v="Less Popular"/>
    <s v="Short Visit"/>
    <x v="0"/>
    <s v="Yes"/>
    <x v="1"/>
    <s v="★★★★★"/>
    <s v="5 / 5 Stars"/>
    <x v="2"/>
  </r>
  <r>
    <x v="0"/>
    <x v="15"/>
    <x v="125"/>
    <x v="197"/>
    <x v="46"/>
    <x v="158"/>
    <n v="2"/>
    <n v="4.5999999999999996"/>
    <s v="Excellent"/>
    <n v="100"/>
    <x v="1"/>
    <x v="1"/>
    <x v="4"/>
    <x v="10"/>
    <s v="Yes"/>
    <n v="0.11"/>
    <x v="3"/>
    <s v="Less Popular"/>
    <s v="Short Visit"/>
    <x v="1"/>
    <s v="No"/>
    <x v="1"/>
    <s v="★★★★★"/>
    <s v="5 / 5 Stars"/>
    <x v="2"/>
  </r>
  <r>
    <x v="0"/>
    <x v="15"/>
    <x v="126"/>
    <x v="198"/>
    <x v="2"/>
    <x v="159"/>
    <n v="5"/>
    <n v="4.7"/>
    <s v="Excellent"/>
    <n v="0"/>
    <x v="0"/>
    <x v="0"/>
    <x v="1"/>
    <x v="1"/>
    <s v="No"/>
    <n v="0.55000000000000004"/>
    <x v="3"/>
    <s v="Popular"/>
    <s v="Medium Visit"/>
    <x v="0"/>
    <s v="Yes"/>
    <x v="0"/>
    <s v="★★★★★"/>
    <s v="5 / 5 Stars"/>
    <x v="1"/>
  </r>
  <r>
    <x v="0"/>
    <x v="15"/>
    <x v="127"/>
    <x v="199"/>
    <x v="60"/>
    <x v="160"/>
    <n v="2"/>
    <n v="4.0999999999999996"/>
    <s v="Good"/>
    <n v="0"/>
    <x v="0"/>
    <x v="1"/>
    <x v="5"/>
    <x v="9"/>
    <s v="Yes"/>
    <n v="0.01"/>
    <x v="3"/>
    <s v="Less Popular"/>
    <s v="Short Visit"/>
    <x v="1"/>
    <s v="No"/>
    <x v="3"/>
    <s v="★★★★☆"/>
    <s v="4 / 5 Stars"/>
    <x v="2"/>
  </r>
  <r>
    <x v="0"/>
    <x v="15"/>
    <x v="128"/>
    <x v="200"/>
    <x v="2"/>
    <x v="102"/>
    <n v="6"/>
    <n v="4.5"/>
    <s v="Excellent"/>
    <n v="0"/>
    <x v="0"/>
    <x v="1"/>
    <x v="3"/>
    <x v="1"/>
    <s v="Yes"/>
    <n v="0.11"/>
    <x v="3"/>
    <s v="Less Popular"/>
    <s v="Full Day"/>
    <x v="1"/>
    <s v="No"/>
    <x v="0"/>
    <s v="★★★★★"/>
    <s v="5 / 5 Stars"/>
    <x v="2"/>
  </r>
  <r>
    <x v="0"/>
    <x v="16"/>
    <x v="124"/>
    <x v="201"/>
    <x v="50"/>
    <x v="161"/>
    <n v="1.5"/>
    <n v="4.7"/>
    <s v="Excellent"/>
    <n v="20"/>
    <x v="1"/>
    <x v="0"/>
    <x v="6"/>
    <x v="1"/>
    <s v="No"/>
    <n v="0.05"/>
    <x v="3"/>
    <s v="Less Popular"/>
    <s v="Short Visit"/>
    <x v="0"/>
    <s v="Yes"/>
    <x v="0"/>
    <s v="★★★★★"/>
    <s v="5 / 5 Stars"/>
    <x v="2"/>
  </r>
  <r>
    <x v="0"/>
    <x v="16"/>
    <x v="129"/>
    <x v="202"/>
    <x v="46"/>
    <x v="162"/>
    <n v="2"/>
    <n v="4.5"/>
    <s v="Excellent"/>
    <n v="0"/>
    <x v="0"/>
    <x v="1"/>
    <x v="4"/>
    <x v="10"/>
    <s v="Yes"/>
    <n v="0.1"/>
    <x v="3"/>
    <s v="Less Popular"/>
    <s v="Short Visit"/>
    <x v="1"/>
    <s v="No"/>
    <x v="1"/>
    <s v="★★★★★"/>
    <s v="5 / 5 Stars"/>
    <x v="2"/>
  </r>
  <r>
    <x v="0"/>
    <x v="16"/>
    <x v="130"/>
    <x v="203"/>
    <x v="0"/>
    <x v="163"/>
    <n v="1"/>
    <n v="4.8"/>
    <s v="Excellent"/>
    <n v="0"/>
    <x v="0"/>
    <x v="1"/>
    <x v="6"/>
    <x v="0"/>
    <s v="Yes"/>
    <n v="1.0999999999999999E-2"/>
    <x v="3"/>
    <s v="Less Popular"/>
    <s v="Short Visit"/>
    <x v="1"/>
    <s v="Yes"/>
    <x v="0"/>
    <s v="★★★★★"/>
    <s v="5 / 5 Stars"/>
    <x v="2"/>
  </r>
  <r>
    <x v="0"/>
    <x v="16"/>
    <x v="131"/>
    <x v="204"/>
    <x v="50"/>
    <x v="164"/>
    <n v="1"/>
    <n v="4.7"/>
    <s v="Excellent"/>
    <n v="20"/>
    <x v="1"/>
    <x v="1"/>
    <x v="4"/>
    <x v="1"/>
    <s v="No"/>
    <n v="1.4999999999999999E-2"/>
    <x v="2"/>
    <s v="Less Popular"/>
    <s v="Short Visit"/>
    <x v="1"/>
    <s v="Yes"/>
    <x v="0"/>
    <s v="★★★★★"/>
    <s v="5 / 5 Stars"/>
    <x v="2"/>
  </r>
  <r>
    <x v="0"/>
    <x v="15"/>
    <x v="132"/>
    <x v="205"/>
    <x v="14"/>
    <x v="134"/>
    <n v="3"/>
    <n v="4.3"/>
    <s v="Good"/>
    <n v="100"/>
    <x v="1"/>
    <x v="1"/>
    <x v="2"/>
    <x v="8"/>
    <s v="Yes"/>
    <n v="0.01"/>
    <x v="3"/>
    <s v="Less Popular"/>
    <s v="Medium Visit"/>
    <x v="1"/>
    <s v="No"/>
    <x v="1"/>
    <s v="★★★★☆"/>
    <s v="4 / 5 Stars"/>
    <x v="2"/>
  </r>
  <r>
    <x v="0"/>
    <x v="16"/>
    <x v="133"/>
    <x v="206"/>
    <x v="14"/>
    <x v="134"/>
    <n v="4"/>
    <n v="4.4000000000000004"/>
    <s v="Good"/>
    <n v="20"/>
    <x v="1"/>
    <x v="1"/>
    <x v="3"/>
    <x v="8"/>
    <s v="Yes"/>
    <n v="0.02"/>
    <x v="3"/>
    <s v="Less Popular"/>
    <s v="Medium Visit"/>
    <x v="1"/>
    <s v="No"/>
    <x v="1"/>
    <s v="★★★★☆"/>
    <s v="4 / 5 Stars"/>
    <x v="2"/>
  </r>
  <r>
    <x v="0"/>
    <x v="16"/>
    <x v="134"/>
    <x v="207"/>
    <x v="0"/>
    <x v="165"/>
    <n v="1"/>
    <n v="4.8"/>
    <s v="Excellent"/>
    <n v="0"/>
    <x v="0"/>
    <x v="1"/>
    <x v="3"/>
    <x v="0"/>
    <s v="Yes"/>
    <n v="1.2E-2"/>
    <x v="3"/>
    <s v="Less Popular"/>
    <s v="Short Visit"/>
    <x v="1"/>
    <s v="Yes"/>
    <x v="0"/>
    <s v="★★★★★"/>
    <s v="5 / 5 Stars"/>
    <x v="2"/>
  </r>
  <r>
    <x v="0"/>
    <x v="16"/>
    <x v="124"/>
    <x v="208"/>
    <x v="61"/>
    <x v="115"/>
    <n v="0.5"/>
    <n v="3.7"/>
    <s v="Average"/>
    <n v="0"/>
    <x v="0"/>
    <x v="0"/>
    <x v="6"/>
    <x v="10"/>
    <s v="Yes"/>
    <n v="0.1"/>
    <x v="3"/>
    <s v="Less Popular"/>
    <s v="Short Visit"/>
    <x v="0"/>
    <s v="No"/>
    <x v="1"/>
    <s v="★★★★☆"/>
    <s v="4 / 5 Stars"/>
    <x v="2"/>
  </r>
  <r>
    <x v="0"/>
    <x v="16"/>
    <x v="124"/>
    <x v="209"/>
    <x v="60"/>
    <x v="166"/>
    <n v="1"/>
    <n v="4.5"/>
    <s v="Excellent"/>
    <n v="0"/>
    <x v="0"/>
    <x v="0"/>
    <x v="3"/>
    <x v="19"/>
    <s v="Yes"/>
    <n v="0.05"/>
    <x v="1"/>
    <s v="Less Popular"/>
    <s v="Short Visit"/>
    <x v="0"/>
    <s v="No"/>
    <x v="4"/>
    <s v="★★★★★"/>
    <s v="5 / 5 Stars"/>
    <x v="2"/>
  </r>
  <r>
    <x v="0"/>
    <x v="16"/>
    <x v="124"/>
    <x v="201"/>
    <x v="50"/>
    <x v="161"/>
    <n v="1.5"/>
    <n v="4.7"/>
    <s v="Excellent"/>
    <n v="30"/>
    <x v="1"/>
    <x v="0"/>
    <x v="4"/>
    <x v="1"/>
    <s v="No"/>
    <n v="0.05"/>
    <x v="3"/>
    <s v="Less Popular"/>
    <s v="Short Visit"/>
    <x v="0"/>
    <s v="Yes"/>
    <x v="0"/>
    <s v="★★★★★"/>
    <s v="5 / 5 Stars"/>
    <x v="2"/>
  </r>
  <r>
    <x v="4"/>
    <x v="14"/>
    <x v="114"/>
    <x v="210"/>
    <x v="2"/>
    <x v="66"/>
    <n v="1.5"/>
    <n v="4.8"/>
    <s v="Excellent"/>
    <n v="0"/>
    <x v="0"/>
    <x v="0"/>
    <x v="1"/>
    <x v="1"/>
    <s v="Yes"/>
    <n v="0.49"/>
    <x v="0"/>
    <s v="Less Popular"/>
    <s v="Short Visit"/>
    <x v="0"/>
    <s v="Yes"/>
    <x v="0"/>
    <s v="★★★★★"/>
    <s v="5 / 5 Stars"/>
    <x v="1"/>
  </r>
  <r>
    <x v="4"/>
    <x v="14"/>
    <x v="135"/>
    <x v="211"/>
    <x v="37"/>
    <x v="63"/>
    <n v="1"/>
    <n v="4.8"/>
    <s v="Excellent"/>
    <n v="0"/>
    <x v="0"/>
    <x v="0"/>
    <x v="5"/>
    <x v="0"/>
    <s v="Yes"/>
    <n v="0.03"/>
    <x v="2"/>
    <s v="Less Popular"/>
    <s v="Short Visit"/>
    <x v="0"/>
    <s v="Yes"/>
    <x v="0"/>
    <s v="★★★★★"/>
    <s v="5 / 5 Stars"/>
    <x v="2"/>
  </r>
  <r>
    <x v="4"/>
    <x v="14"/>
    <x v="112"/>
    <x v="212"/>
    <x v="62"/>
    <x v="167"/>
    <n v="1"/>
    <n v="4.0999999999999996"/>
    <s v="Good"/>
    <n v="0"/>
    <x v="0"/>
    <x v="0"/>
    <x v="1"/>
    <x v="15"/>
    <s v="Yes"/>
    <n v="0.01"/>
    <x v="2"/>
    <s v="Less Popular"/>
    <s v="Short Visit"/>
    <x v="0"/>
    <s v="No"/>
    <x v="4"/>
    <s v="★★★★☆"/>
    <s v="4 / 5 Stars"/>
    <x v="2"/>
  </r>
  <r>
    <x v="4"/>
    <x v="14"/>
    <x v="112"/>
    <x v="213"/>
    <x v="2"/>
    <x v="168"/>
    <n v="1"/>
    <n v="4.8"/>
    <s v="Excellent"/>
    <n v="0"/>
    <x v="0"/>
    <x v="0"/>
    <x v="1"/>
    <x v="1"/>
    <s v="Yes"/>
    <n v="0.1"/>
    <x v="2"/>
    <s v="Less Popular"/>
    <s v="Short Visit"/>
    <x v="0"/>
    <s v="Yes"/>
    <x v="0"/>
    <s v="★★★★★"/>
    <s v="5 / 5 Stars"/>
    <x v="2"/>
  </r>
  <r>
    <x v="3"/>
    <x v="4"/>
    <x v="136"/>
    <x v="214"/>
    <x v="63"/>
    <x v="169"/>
    <n v="1"/>
    <n v="4.5"/>
    <s v="Excellent"/>
    <n v="0"/>
    <x v="0"/>
    <x v="1"/>
    <x v="3"/>
    <x v="10"/>
    <s v="Yes"/>
    <n v="2.5000000000000001E-2"/>
    <x v="3"/>
    <s v="Less Popular"/>
    <s v="Short Visit"/>
    <x v="1"/>
    <s v="No"/>
    <x v="1"/>
    <s v="★★★★★"/>
    <s v="5 / 5 Stars"/>
    <x v="2"/>
  </r>
  <r>
    <x v="3"/>
    <x v="4"/>
    <x v="137"/>
    <x v="215"/>
    <x v="34"/>
    <x v="170"/>
    <n v="3"/>
    <n v="4.4000000000000004"/>
    <s v="Good"/>
    <n v="250"/>
    <x v="1"/>
    <x v="0"/>
    <x v="6"/>
    <x v="8"/>
    <s v="Yes"/>
    <n v="3.5000000000000003E-2"/>
    <x v="3"/>
    <s v="Less Popular"/>
    <s v="Medium Visit"/>
    <x v="0"/>
    <s v="No"/>
    <x v="1"/>
    <s v="★★★★☆"/>
    <s v="4 / 5 Stars"/>
    <x v="2"/>
  </r>
  <r>
    <x v="3"/>
    <x v="4"/>
    <x v="138"/>
    <x v="216"/>
    <x v="14"/>
    <x v="127"/>
    <n v="4"/>
    <n v="4.4000000000000004"/>
    <s v="Good"/>
    <n v="60"/>
    <x v="1"/>
    <x v="1"/>
    <x v="1"/>
    <x v="8"/>
    <s v="Yes"/>
    <n v="6.5000000000000002E-2"/>
    <x v="3"/>
    <s v="Less Popular"/>
    <s v="Medium Visit"/>
    <x v="1"/>
    <s v="No"/>
    <x v="1"/>
    <s v="★★★★☆"/>
    <s v="4 / 5 Stars"/>
    <x v="2"/>
  </r>
  <r>
    <x v="3"/>
    <x v="4"/>
    <x v="139"/>
    <x v="217"/>
    <x v="16"/>
    <x v="171"/>
    <n v="1.5"/>
    <n v="4.5"/>
    <s v="Excellent"/>
    <n v="0"/>
    <x v="0"/>
    <x v="1"/>
    <x v="0"/>
    <x v="9"/>
    <s v="Yes"/>
    <n v="0.09"/>
    <x v="2"/>
    <s v="Less Popular"/>
    <s v="Short Visit"/>
    <x v="1"/>
    <s v="No"/>
    <x v="3"/>
    <s v="★★★★★"/>
    <s v="5 / 5 Stars"/>
    <x v="2"/>
  </r>
  <r>
    <x v="3"/>
    <x v="4"/>
    <x v="140"/>
    <x v="218"/>
    <x v="18"/>
    <x v="172"/>
    <n v="1.5"/>
    <n v="4.5"/>
    <s v="Excellent"/>
    <n v="10"/>
    <x v="1"/>
    <x v="0"/>
    <x v="0"/>
    <x v="0"/>
    <s v="Yes"/>
    <n v="0.18"/>
    <x v="2"/>
    <s v="Less Popular"/>
    <s v="Short Visit"/>
    <x v="0"/>
    <s v="No"/>
    <x v="0"/>
    <s v="★★★★★"/>
    <s v="5 / 5 Stars"/>
    <x v="2"/>
  </r>
  <r>
    <x v="3"/>
    <x v="4"/>
    <x v="141"/>
    <x v="219"/>
    <x v="2"/>
    <x v="13"/>
    <n v="0.5"/>
    <n v="4.7"/>
    <s v="Excellent"/>
    <n v="0"/>
    <x v="0"/>
    <x v="0"/>
    <x v="6"/>
    <x v="1"/>
    <s v="No"/>
    <n v="4.4999999999999998E-2"/>
    <x v="3"/>
    <s v="Less Popular"/>
    <s v="Short Visit"/>
    <x v="0"/>
    <s v="Yes"/>
    <x v="0"/>
    <s v="★★★★★"/>
    <s v="5 / 5 Stars"/>
    <x v="2"/>
  </r>
  <r>
    <x v="3"/>
    <x v="4"/>
    <x v="142"/>
    <x v="220"/>
    <x v="2"/>
    <x v="39"/>
    <n v="0.5"/>
    <n v="4.5999999999999996"/>
    <s v="Excellent"/>
    <n v="0"/>
    <x v="0"/>
    <x v="0"/>
    <x v="5"/>
    <x v="11"/>
    <s v="No"/>
    <n v="7.0000000000000007E-2"/>
    <x v="3"/>
    <s v="Less Popular"/>
    <s v="Short Visit"/>
    <x v="0"/>
    <s v="No"/>
    <x v="0"/>
    <s v="★★★★★"/>
    <s v="5 / 5 Stars"/>
    <x v="2"/>
  </r>
  <r>
    <x v="3"/>
    <x v="4"/>
    <x v="143"/>
    <x v="221"/>
    <x v="14"/>
    <x v="173"/>
    <n v="3"/>
    <n v="4.4000000000000004"/>
    <s v="Good"/>
    <n v="100"/>
    <x v="1"/>
    <x v="0"/>
    <x v="0"/>
    <x v="8"/>
    <s v="Yes"/>
    <n v="7.0000000000000007E-2"/>
    <x v="3"/>
    <s v="Less Popular"/>
    <s v="Medium Visit"/>
    <x v="0"/>
    <s v="No"/>
    <x v="1"/>
    <s v="★★★★☆"/>
    <s v="4 / 5 Stars"/>
    <x v="2"/>
  </r>
  <r>
    <x v="3"/>
    <x v="4"/>
    <x v="144"/>
    <x v="222"/>
    <x v="18"/>
    <x v="174"/>
    <n v="1"/>
    <n v="4.5"/>
    <s v="Excellent"/>
    <n v="20"/>
    <x v="1"/>
    <x v="0"/>
    <x v="0"/>
    <x v="0"/>
    <s v="Yes"/>
    <n v="0.09"/>
    <x v="3"/>
    <s v="Less Popular"/>
    <s v="Short Visit"/>
    <x v="0"/>
    <s v="No"/>
    <x v="0"/>
    <s v="★★★★★"/>
    <s v="5 / 5 Stars"/>
    <x v="2"/>
  </r>
  <r>
    <x v="3"/>
    <x v="4"/>
    <x v="145"/>
    <x v="223"/>
    <x v="60"/>
    <x v="175"/>
    <n v="2.5"/>
    <n v="4.5"/>
    <s v="Excellent"/>
    <n v="0"/>
    <x v="0"/>
    <x v="1"/>
    <x v="4"/>
    <x v="10"/>
    <s v="Yes"/>
    <n v="0.15"/>
    <x v="3"/>
    <s v="Less Popular"/>
    <s v="Medium Visit"/>
    <x v="1"/>
    <s v="No"/>
    <x v="1"/>
    <s v="★★★★★"/>
    <s v="5 / 5 Stars"/>
    <x v="2"/>
  </r>
  <r>
    <x v="3"/>
    <x v="17"/>
    <x v="146"/>
    <x v="224"/>
    <x v="2"/>
    <x v="176"/>
    <n v="2"/>
    <n v="4.7"/>
    <s v="Excellent"/>
    <n v="0"/>
    <x v="0"/>
    <x v="0"/>
    <x v="1"/>
    <x v="1"/>
    <s v="No"/>
    <n v="1"/>
    <x v="3"/>
    <s v="Highly Popular"/>
    <s v="Short Visit"/>
    <x v="0"/>
    <s v="Yes"/>
    <x v="0"/>
    <s v="★★★★★"/>
    <s v="5 / 5 Stars"/>
    <x v="1"/>
  </r>
  <r>
    <x v="3"/>
    <x v="17"/>
    <x v="147"/>
    <x v="225"/>
    <x v="2"/>
    <x v="177"/>
    <n v="1.5"/>
    <n v="4.7"/>
    <s v="Excellent"/>
    <n v="40"/>
    <x v="1"/>
    <x v="0"/>
    <x v="4"/>
    <x v="0"/>
    <s v="Yes"/>
    <n v="0.83"/>
    <x v="3"/>
    <s v="Popular"/>
    <s v="Short Visit"/>
    <x v="0"/>
    <s v="Yes"/>
    <x v="0"/>
    <s v="★★★★★"/>
    <s v="5 / 5 Stars"/>
    <x v="1"/>
  </r>
  <r>
    <x v="3"/>
    <x v="17"/>
    <x v="148"/>
    <x v="226"/>
    <x v="2"/>
    <x v="178"/>
    <n v="1"/>
    <n v="4.5999999999999996"/>
    <s v="Excellent"/>
    <n v="0"/>
    <x v="0"/>
    <x v="0"/>
    <x v="0"/>
    <x v="1"/>
    <s v="No"/>
    <n v="0.35"/>
    <x v="3"/>
    <s v="Less Popular"/>
    <s v="Short Visit"/>
    <x v="0"/>
    <s v="No"/>
    <x v="0"/>
    <s v="★★★★★"/>
    <s v="5 / 5 Stars"/>
    <x v="2"/>
  </r>
  <r>
    <x v="3"/>
    <x v="17"/>
    <x v="149"/>
    <x v="227"/>
    <x v="29"/>
    <x v="179"/>
    <n v="1.5"/>
    <n v="4.5"/>
    <s v="Excellent"/>
    <n v="0"/>
    <x v="0"/>
    <x v="1"/>
    <x v="1"/>
    <x v="10"/>
    <s v="Yes"/>
    <n v="1.2"/>
    <x v="3"/>
    <s v="Highly Popular"/>
    <s v="Short Visit"/>
    <x v="1"/>
    <s v="No"/>
    <x v="1"/>
    <s v="★★★★★"/>
    <s v="5 / 5 Stars"/>
    <x v="1"/>
  </r>
  <r>
    <x v="3"/>
    <x v="17"/>
    <x v="150"/>
    <x v="228"/>
    <x v="6"/>
    <x v="180"/>
    <n v="1"/>
    <n v="4.5"/>
    <s v="Excellent"/>
    <n v="0"/>
    <x v="0"/>
    <x v="0"/>
    <x v="6"/>
    <x v="0"/>
    <s v="Yes"/>
    <n v="0.13"/>
    <x v="3"/>
    <s v="Less Popular"/>
    <s v="Short Visit"/>
    <x v="0"/>
    <s v="No"/>
    <x v="0"/>
    <s v="★★★★★"/>
    <s v="5 / 5 Stars"/>
    <x v="2"/>
  </r>
  <r>
    <x v="3"/>
    <x v="17"/>
    <x v="151"/>
    <x v="229"/>
    <x v="64"/>
    <x v="181"/>
    <n v="1"/>
    <n v="4.5"/>
    <s v="Excellent"/>
    <n v="0"/>
    <x v="0"/>
    <x v="1"/>
    <x v="2"/>
    <x v="21"/>
    <s v="Yes"/>
    <n v="0.01"/>
    <x v="3"/>
    <s v="Less Popular"/>
    <s v="Short Visit"/>
    <x v="1"/>
    <s v="No"/>
    <x v="4"/>
    <s v="★★★★★"/>
    <s v="5 / 5 Stars"/>
    <x v="2"/>
  </r>
  <r>
    <x v="3"/>
    <x v="17"/>
    <x v="152"/>
    <x v="230"/>
    <x v="22"/>
    <x v="182"/>
    <n v="2"/>
    <n v="3.9"/>
    <s v="Average"/>
    <n v="0"/>
    <x v="0"/>
    <x v="0"/>
    <x v="1"/>
    <x v="10"/>
    <s v="Yes"/>
    <n v="0.1"/>
    <x v="2"/>
    <s v="Less Popular"/>
    <s v="Short Visit"/>
    <x v="0"/>
    <s v="No"/>
    <x v="1"/>
    <s v="★★★★☆"/>
    <s v="4 / 5 Stars"/>
    <x v="2"/>
  </r>
  <r>
    <x v="3"/>
    <x v="17"/>
    <x v="153"/>
    <x v="231"/>
    <x v="2"/>
    <x v="183"/>
    <n v="1"/>
    <n v="4.5999999999999996"/>
    <s v="Excellent"/>
    <n v="0"/>
    <x v="0"/>
    <x v="0"/>
    <x v="1"/>
    <x v="1"/>
    <s v="No"/>
    <n v="0.01"/>
    <x v="3"/>
    <s v="Less Popular"/>
    <s v="Short Visit"/>
    <x v="0"/>
    <s v="No"/>
    <x v="0"/>
    <s v="★★★★★"/>
    <s v="5 / 5 Stars"/>
    <x v="2"/>
  </r>
  <r>
    <x v="3"/>
    <x v="17"/>
    <x v="154"/>
    <x v="232"/>
    <x v="29"/>
    <x v="84"/>
    <n v="1"/>
    <n v="4.3"/>
    <s v="Good"/>
    <n v="0"/>
    <x v="0"/>
    <x v="1"/>
    <x v="3"/>
    <x v="10"/>
    <s v="Yes"/>
    <n v="1.7999999999999999E-2"/>
    <x v="2"/>
    <s v="Less Popular"/>
    <s v="Short Visit"/>
    <x v="1"/>
    <s v="No"/>
    <x v="1"/>
    <s v="★★★★☆"/>
    <s v="4 / 5 Stars"/>
    <x v="2"/>
  </r>
  <r>
    <x v="3"/>
    <x v="17"/>
    <x v="155"/>
    <x v="233"/>
    <x v="16"/>
    <x v="184"/>
    <n v="1.5"/>
    <n v="4.2"/>
    <s v="Good"/>
    <n v="0"/>
    <x v="0"/>
    <x v="0"/>
    <x v="1"/>
    <x v="9"/>
    <s v="Yes"/>
    <n v="1.4E-2"/>
    <x v="2"/>
    <s v="Less Popular"/>
    <s v="Short Visit"/>
    <x v="0"/>
    <s v="No"/>
    <x v="3"/>
    <s v="★★★★☆"/>
    <s v="4 / 5 Stars"/>
    <x v="2"/>
  </r>
  <r>
    <x v="3"/>
    <x v="17"/>
    <x v="156"/>
    <x v="234"/>
    <x v="29"/>
    <x v="185"/>
    <n v="1"/>
    <n v="4.4000000000000004"/>
    <s v="Good"/>
    <n v="0"/>
    <x v="0"/>
    <x v="1"/>
    <x v="4"/>
    <x v="10"/>
    <s v="Yes"/>
    <n v="5.5E-2"/>
    <x v="3"/>
    <s v="Less Popular"/>
    <s v="Short Visit"/>
    <x v="1"/>
    <s v="No"/>
    <x v="1"/>
    <s v="★★★★☆"/>
    <s v="4 / 5 Stars"/>
    <x v="2"/>
  </r>
  <r>
    <x v="2"/>
    <x v="18"/>
    <x v="157"/>
    <x v="235"/>
    <x v="16"/>
    <x v="186"/>
    <n v="1.5"/>
    <n v="3.9"/>
    <s v="Average"/>
    <n v="0"/>
    <x v="0"/>
    <x v="0"/>
    <x v="5"/>
    <x v="9"/>
    <s v="Yes"/>
    <n v="0.1"/>
    <x v="2"/>
    <s v="Less Popular"/>
    <s v="Short Visit"/>
    <x v="0"/>
    <s v="No"/>
    <x v="3"/>
    <s v="★★★★☆"/>
    <s v="4 / 5 Stars"/>
    <x v="2"/>
  </r>
  <r>
    <x v="2"/>
    <x v="18"/>
    <x v="158"/>
    <x v="236"/>
    <x v="2"/>
    <x v="187"/>
    <n v="2"/>
    <n v="4.7"/>
    <s v="Excellent"/>
    <n v="0"/>
    <x v="0"/>
    <x v="0"/>
    <x v="2"/>
    <x v="1"/>
    <s v="No"/>
    <n v="0.65"/>
    <x v="3"/>
    <s v="Popular"/>
    <s v="Short Visit"/>
    <x v="0"/>
    <s v="Yes"/>
    <x v="0"/>
    <s v="★★★★★"/>
    <s v="5 / 5 Stars"/>
    <x v="1"/>
  </r>
  <r>
    <x v="2"/>
    <x v="18"/>
    <x v="159"/>
    <x v="237"/>
    <x v="2"/>
    <x v="176"/>
    <n v="1.5"/>
    <n v="4.5999999999999996"/>
    <s v="Excellent"/>
    <n v="0"/>
    <x v="0"/>
    <x v="1"/>
    <x v="6"/>
    <x v="1"/>
    <s v="No"/>
    <n v="0.01"/>
    <x v="3"/>
    <s v="Less Popular"/>
    <s v="Short Visit"/>
    <x v="1"/>
    <s v="No"/>
    <x v="0"/>
    <s v="★★★★★"/>
    <s v="5 / 5 Stars"/>
    <x v="2"/>
  </r>
  <r>
    <x v="2"/>
    <x v="18"/>
    <x v="160"/>
    <x v="238"/>
    <x v="37"/>
    <x v="188"/>
    <n v="1"/>
    <n v="4.5999999999999996"/>
    <s v="Excellent"/>
    <n v="20"/>
    <x v="1"/>
    <x v="0"/>
    <x v="4"/>
    <x v="0"/>
    <s v="No"/>
    <n v="0.47"/>
    <x v="2"/>
    <s v="Less Popular"/>
    <s v="Short Visit"/>
    <x v="0"/>
    <s v="No"/>
    <x v="0"/>
    <s v="★★★★★"/>
    <s v="5 / 5 Stars"/>
    <x v="1"/>
  </r>
  <r>
    <x v="2"/>
    <x v="18"/>
    <x v="161"/>
    <x v="239"/>
    <x v="22"/>
    <x v="189"/>
    <n v="1"/>
    <n v="4.0999999999999996"/>
    <s v="Good"/>
    <n v="10"/>
    <x v="1"/>
    <x v="0"/>
    <x v="3"/>
    <x v="9"/>
    <s v="Yes"/>
    <n v="0.61"/>
    <x v="2"/>
    <s v="Popular"/>
    <s v="Short Visit"/>
    <x v="0"/>
    <s v="No"/>
    <x v="3"/>
    <s v="★★★★☆"/>
    <s v="4 / 5 Stars"/>
    <x v="1"/>
  </r>
  <r>
    <x v="2"/>
    <x v="18"/>
    <x v="162"/>
    <x v="240"/>
    <x v="2"/>
    <x v="176"/>
    <n v="1"/>
    <n v="4.7"/>
    <s v="Excellent"/>
    <n v="0"/>
    <x v="0"/>
    <x v="0"/>
    <x v="5"/>
    <x v="1"/>
    <s v="No"/>
    <n v="0.3"/>
    <x v="3"/>
    <s v="Less Popular"/>
    <s v="Short Visit"/>
    <x v="0"/>
    <s v="Yes"/>
    <x v="0"/>
    <s v="★★★★★"/>
    <s v="5 / 5 Stars"/>
    <x v="2"/>
  </r>
  <r>
    <x v="2"/>
    <x v="18"/>
    <x v="163"/>
    <x v="241"/>
    <x v="22"/>
    <x v="100"/>
    <n v="2"/>
    <n v="3.9"/>
    <s v="Average"/>
    <n v="0"/>
    <x v="0"/>
    <x v="1"/>
    <x v="0"/>
    <x v="9"/>
    <s v="Yes"/>
    <n v="0.1"/>
    <x v="2"/>
    <s v="Less Popular"/>
    <s v="Short Visit"/>
    <x v="1"/>
    <s v="No"/>
    <x v="3"/>
    <s v="★★★★☆"/>
    <s v="4 / 5 Stars"/>
    <x v="2"/>
  </r>
  <r>
    <x v="2"/>
    <x v="18"/>
    <x v="164"/>
    <x v="242"/>
    <x v="2"/>
    <x v="190"/>
    <n v="1.5"/>
    <n v="4.8"/>
    <s v="Excellent"/>
    <n v="0"/>
    <x v="0"/>
    <x v="0"/>
    <x v="0"/>
    <x v="1"/>
    <s v="No"/>
    <n v="0.35"/>
    <x v="3"/>
    <s v="Less Popular"/>
    <s v="Short Visit"/>
    <x v="0"/>
    <s v="Yes"/>
    <x v="0"/>
    <s v="★★★★★"/>
    <s v="5 / 5 Stars"/>
    <x v="2"/>
  </r>
  <r>
    <x v="2"/>
    <x v="18"/>
    <x v="165"/>
    <x v="243"/>
    <x v="2"/>
    <x v="191"/>
    <n v="1"/>
    <n v="4.5999999999999996"/>
    <s v="Excellent"/>
    <n v="40"/>
    <x v="1"/>
    <x v="0"/>
    <x v="3"/>
    <x v="0"/>
    <s v="No"/>
    <n v="0.09"/>
    <x v="3"/>
    <s v="Less Popular"/>
    <s v="Short Visit"/>
    <x v="0"/>
    <s v="No"/>
    <x v="0"/>
    <s v="★★★★★"/>
    <s v="5 / 5 Stars"/>
    <x v="2"/>
  </r>
  <r>
    <x v="2"/>
    <x v="18"/>
    <x v="166"/>
    <x v="244"/>
    <x v="22"/>
    <x v="192"/>
    <n v="1"/>
    <n v="4.2"/>
    <s v="Good"/>
    <n v="0"/>
    <x v="0"/>
    <x v="1"/>
    <x v="3"/>
    <x v="9"/>
    <s v="Yes"/>
    <n v="1.9E-2"/>
    <x v="2"/>
    <s v="Less Popular"/>
    <s v="Short Visit"/>
    <x v="1"/>
    <s v="No"/>
    <x v="3"/>
    <s v="★★★★☆"/>
    <s v="4 / 5 Stars"/>
    <x v="2"/>
  </r>
  <r>
    <x v="2"/>
    <x v="18"/>
    <x v="167"/>
    <x v="245"/>
    <x v="2"/>
    <x v="191"/>
    <n v="1"/>
    <n v="4.5999999999999996"/>
    <s v="Excellent"/>
    <n v="0"/>
    <x v="0"/>
    <x v="0"/>
    <x v="2"/>
    <x v="1"/>
    <s v="No"/>
    <n v="0.16"/>
    <x v="3"/>
    <s v="Less Popular"/>
    <s v="Short Visit"/>
    <x v="0"/>
    <s v="No"/>
    <x v="0"/>
    <s v="★★★★★"/>
    <s v="5 / 5 Stars"/>
    <x v="2"/>
  </r>
  <r>
    <x v="2"/>
    <x v="18"/>
    <x v="168"/>
    <x v="246"/>
    <x v="2"/>
    <x v="193"/>
    <n v="1"/>
    <n v="4.7"/>
    <s v="Excellent"/>
    <n v="0"/>
    <x v="0"/>
    <x v="0"/>
    <x v="0"/>
    <x v="1"/>
    <s v="No"/>
    <n v="0.28000000000000003"/>
    <x v="3"/>
    <s v="Less Popular"/>
    <s v="Short Visit"/>
    <x v="0"/>
    <s v="Yes"/>
    <x v="0"/>
    <s v="★★★★★"/>
    <s v="5 / 5 Stars"/>
    <x v="2"/>
  </r>
  <r>
    <x v="2"/>
    <x v="19"/>
    <x v="169"/>
    <x v="247"/>
    <x v="2"/>
    <x v="194"/>
    <n v="1"/>
    <n v="4.7"/>
    <s v="Excellent"/>
    <n v="0"/>
    <x v="0"/>
    <x v="0"/>
    <x v="6"/>
    <x v="1"/>
    <s v="No"/>
    <n v="0.44"/>
    <x v="3"/>
    <s v="Less Popular"/>
    <s v="Short Visit"/>
    <x v="0"/>
    <s v="Yes"/>
    <x v="0"/>
    <s v="★★★★★"/>
    <s v="5 / 5 Stars"/>
    <x v="1"/>
  </r>
  <r>
    <x v="2"/>
    <x v="19"/>
    <x v="170"/>
    <x v="248"/>
    <x v="16"/>
    <x v="195"/>
    <n v="1.5"/>
    <n v="4.5"/>
    <s v="Excellent"/>
    <n v="0"/>
    <x v="0"/>
    <x v="0"/>
    <x v="3"/>
    <x v="9"/>
    <s v="Yes"/>
    <n v="0.39"/>
    <x v="2"/>
    <s v="Less Popular"/>
    <s v="Short Visit"/>
    <x v="0"/>
    <s v="No"/>
    <x v="3"/>
    <s v="★★★★★"/>
    <s v="5 / 5 Stars"/>
    <x v="2"/>
  </r>
  <r>
    <x v="2"/>
    <x v="19"/>
    <x v="171"/>
    <x v="249"/>
    <x v="2"/>
    <x v="196"/>
    <n v="1"/>
    <n v="4.7"/>
    <s v="Excellent"/>
    <n v="0"/>
    <x v="0"/>
    <x v="1"/>
    <x v="5"/>
    <x v="1"/>
    <s v="No"/>
    <n v="0.49"/>
    <x v="3"/>
    <s v="Less Popular"/>
    <s v="Short Visit"/>
    <x v="1"/>
    <s v="Yes"/>
    <x v="0"/>
    <s v="★★★★★"/>
    <s v="5 / 5 Stars"/>
    <x v="1"/>
  </r>
  <r>
    <x v="2"/>
    <x v="19"/>
    <x v="172"/>
    <x v="250"/>
    <x v="60"/>
    <x v="197"/>
    <n v="2"/>
    <n v="4.3"/>
    <s v="Good"/>
    <n v="0"/>
    <x v="0"/>
    <x v="0"/>
    <x v="1"/>
    <x v="10"/>
    <s v="Yes"/>
    <n v="3.2000000000000001E-2"/>
    <x v="3"/>
    <s v="Less Popular"/>
    <s v="Short Visit"/>
    <x v="0"/>
    <s v="No"/>
    <x v="1"/>
    <s v="★★★★☆"/>
    <s v="4 / 5 Stars"/>
    <x v="2"/>
  </r>
  <r>
    <x v="2"/>
    <x v="19"/>
    <x v="173"/>
    <x v="251"/>
    <x v="27"/>
    <x v="198"/>
    <n v="1.5"/>
    <n v="4.5999999999999996"/>
    <s v="Excellent"/>
    <n v="0"/>
    <x v="0"/>
    <x v="1"/>
    <x v="2"/>
    <x v="0"/>
    <s v="Yes"/>
    <n v="7.4999999999999997E-2"/>
    <x v="3"/>
    <s v="Less Popular"/>
    <s v="Short Visit"/>
    <x v="1"/>
    <s v="No"/>
    <x v="0"/>
    <s v="★★★★★"/>
    <s v="5 / 5 Stars"/>
    <x v="2"/>
  </r>
  <r>
    <x v="2"/>
    <x v="19"/>
    <x v="174"/>
    <x v="252"/>
    <x v="43"/>
    <x v="199"/>
    <n v="1.5"/>
    <n v="4.4000000000000004"/>
    <s v="Good"/>
    <n v="65"/>
    <x v="1"/>
    <x v="0"/>
    <x v="1"/>
    <x v="22"/>
    <s v="Yes"/>
    <n v="0.11"/>
    <x v="1"/>
    <s v="Less Popular"/>
    <s v="Short Visit"/>
    <x v="0"/>
    <s v="No"/>
    <x v="4"/>
    <s v="★★★★☆"/>
    <s v="4 / 5 Stars"/>
    <x v="2"/>
  </r>
  <r>
    <x v="2"/>
    <x v="19"/>
    <x v="175"/>
    <x v="253"/>
    <x v="2"/>
    <x v="152"/>
    <n v="1"/>
    <n v="4.7"/>
    <s v="Excellent"/>
    <n v="0"/>
    <x v="0"/>
    <x v="0"/>
    <x v="4"/>
    <x v="1"/>
    <s v="No"/>
    <n v="4.1000000000000002E-2"/>
    <x v="3"/>
    <s v="Less Popular"/>
    <s v="Short Visit"/>
    <x v="0"/>
    <s v="Yes"/>
    <x v="0"/>
    <s v="★★★★★"/>
    <s v="5 / 5 Stars"/>
    <x v="2"/>
  </r>
  <r>
    <x v="2"/>
    <x v="19"/>
    <x v="176"/>
    <x v="254"/>
    <x v="30"/>
    <x v="200"/>
    <n v="1"/>
    <n v="4.4000000000000004"/>
    <s v="Good"/>
    <n v="10"/>
    <x v="1"/>
    <x v="0"/>
    <x v="0"/>
    <x v="8"/>
    <s v="Yes"/>
    <n v="0.7"/>
    <x v="3"/>
    <s v="Popular"/>
    <s v="Short Visit"/>
    <x v="0"/>
    <s v="No"/>
    <x v="1"/>
    <s v="★★★★☆"/>
    <s v="4 / 5 Stars"/>
    <x v="1"/>
  </r>
  <r>
    <x v="2"/>
    <x v="19"/>
    <x v="177"/>
    <x v="255"/>
    <x v="6"/>
    <x v="176"/>
    <n v="1.5"/>
    <n v="4.5"/>
    <s v="Excellent"/>
    <n v="0"/>
    <x v="0"/>
    <x v="1"/>
    <x v="4"/>
    <x v="0"/>
    <s v="Yes"/>
    <n v="1.4999999999999999E-2"/>
    <x v="2"/>
    <s v="Less Popular"/>
    <s v="Short Visit"/>
    <x v="1"/>
    <s v="No"/>
    <x v="0"/>
    <s v="★★★★★"/>
    <s v="5 / 5 Stars"/>
    <x v="2"/>
  </r>
  <r>
    <x v="2"/>
    <x v="19"/>
    <x v="178"/>
    <x v="256"/>
    <x v="65"/>
    <x v="63"/>
    <n v="1"/>
    <n v="4.7"/>
    <s v="Excellent"/>
    <n v="0"/>
    <x v="0"/>
    <x v="0"/>
    <x v="6"/>
    <x v="1"/>
    <s v="Yes"/>
    <n v="0.12"/>
    <x v="3"/>
    <s v="Less Popular"/>
    <s v="Short Visit"/>
    <x v="0"/>
    <s v="Yes"/>
    <x v="0"/>
    <s v="★★★★★"/>
    <s v="5 / 5 Stars"/>
    <x v="2"/>
  </r>
  <r>
    <x v="2"/>
    <x v="19"/>
    <x v="179"/>
    <x v="257"/>
    <x v="2"/>
    <x v="201"/>
    <n v="1"/>
    <n v="4.7"/>
    <s v="Excellent"/>
    <n v="0"/>
    <x v="0"/>
    <x v="0"/>
    <x v="0"/>
    <x v="1"/>
    <s v="No"/>
    <n v="0.59"/>
    <x v="3"/>
    <s v="Popular"/>
    <s v="Short Visit"/>
    <x v="0"/>
    <s v="Yes"/>
    <x v="0"/>
    <s v="★★★★★"/>
    <s v="5 / 5 Stars"/>
    <x v="1"/>
  </r>
  <r>
    <x v="2"/>
    <x v="19"/>
    <x v="170"/>
    <x v="258"/>
    <x v="60"/>
    <x v="202"/>
    <n v="2"/>
    <n v="4.5"/>
    <s v="Excellent"/>
    <n v="0"/>
    <x v="0"/>
    <x v="0"/>
    <x v="4"/>
    <x v="9"/>
    <s v="Yes"/>
    <n v="1.9E-2"/>
    <x v="3"/>
    <s v="Less Popular"/>
    <s v="Short Visit"/>
    <x v="0"/>
    <s v="No"/>
    <x v="3"/>
    <s v="★★★★★"/>
    <s v="5 / 5 Stars"/>
    <x v="2"/>
  </r>
  <r>
    <x v="2"/>
    <x v="19"/>
    <x v="170"/>
    <x v="259"/>
    <x v="9"/>
    <x v="203"/>
    <n v="1"/>
    <n v="4.5999999999999996"/>
    <s v="Excellent"/>
    <n v="40"/>
    <x v="1"/>
    <x v="0"/>
    <x v="0"/>
    <x v="0"/>
    <s v="Yes"/>
    <n v="0.49"/>
    <x v="3"/>
    <s v="Less Popular"/>
    <s v="Short Visit"/>
    <x v="0"/>
    <s v="No"/>
    <x v="0"/>
    <s v="★★★★★"/>
    <s v="5 / 5 Stars"/>
    <x v="1"/>
  </r>
  <r>
    <x v="2"/>
    <x v="19"/>
    <x v="170"/>
    <x v="260"/>
    <x v="43"/>
    <x v="54"/>
    <n v="2"/>
    <n v="4.5"/>
    <s v="Excellent"/>
    <n v="60"/>
    <x v="1"/>
    <x v="1"/>
    <x v="1"/>
    <x v="22"/>
    <s v="Yes"/>
    <n v="0.31"/>
    <x v="1"/>
    <s v="Less Popular"/>
    <s v="Short Visit"/>
    <x v="1"/>
    <s v="No"/>
    <x v="4"/>
    <s v="★★★★★"/>
    <s v="5 / 5 Stars"/>
    <x v="2"/>
  </r>
  <r>
    <x v="2"/>
    <x v="19"/>
    <x v="170"/>
    <x v="261"/>
    <x v="0"/>
    <x v="15"/>
    <n v="1"/>
    <n v="4.5999999999999996"/>
    <s v="Excellent"/>
    <n v="0"/>
    <x v="0"/>
    <x v="0"/>
    <x v="6"/>
    <x v="0"/>
    <s v="Yes"/>
    <n v="5.8999999999999997E-2"/>
    <x v="3"/>
    <s v="Less Popular"/>
    <s v="Short Visit"/>
    <x v="0"/>
    <s v="No"/>
    <x v="0"/>
    <s v="★★★★★"/>
    <s v="5 / 5 Stars"/>
    <x v="2"/>
  </r>
  <r>
    <x v="2"/>
    <x v="19"/>
    <x v="170"/>
    <x v="262"/>
    <x v="10"/>
    <x v="204"/>
    <n v="2"/>
    <n v="4.0999999999999996"/>
    <s v="Good"/>
    <n v="20"/>
    <x v="1"/>
    <x v="0"/>
    <x v="2"/>
    <x v="8"/>
    <s v="Yes"/>
    <n v="0.25"/>
    <x v="1"/>
    <s v="Less Popular"/>
    <s v="Short Visit"/>
    <x v="0"/>
    <s v="No"/>
    <x v="1"/>
    <s v="★★★★☆"/>
    <s v="4 / 5 Stars"/>
    <x v="2"/>
  </r>
  <r>
    <x v="2"/>
    <x v="19"/>
    <x v="170"/>
    <x v="263"/>
    <x v="66"/>
    <x v="205"/>
    <n v="1"/>
    <n v="3.8"/>
    <s v="Average"/>
    <n v="20"/>
    <x v="1"/>
    <x v="0"/>
    <x v="6"/>
    <x v="9"/>
    <s v="Yes"/>
    <n v="0.03"/>
    <x v="3"/>
    <s v="Less Popular"/>
    <s v="Short Visit"/>
    <x v="0"/>
    <s v="No"/>
    <x v="3"/>
    <s v="★★★★☆"/>
    <s v="4 / 5 Stars"/>
    <x v="2"/>
  </r>
  <r>
    <x v="2"/>
    <x v="19"/>
    <x v="170"/>
    <x v="264"/>
    <x v="9"/>
    <x v="206"/>
    <n v="1"/>
    <n v="4.3"/>
    <s v="Good"/>
    <n v="10"/>
    <x v="1"/>
    <x v="0"/>
    <x v="5"/>
    <x v="15"/>
    <s v="Yes"/>
    <n v="6.5000000000000002E-2"/>
    <x v="3"/>
    <s v="Less Popular"/>
    <s v="Short Visit"/>
    <x v="0"/>
    <s v="No"/>
    <x v="4"/>
    <s v="★★★★☆"/>
    <s v="4 / 5 Stars"/>
    <x v="2"/>
  </r>
  <r>
    <x v="3"/>
    <x v="20"/>
    <x v="180"/>
    <x v="265"/>
    <x v="60"/>
    <x v="207"/>
    <n v="2"/>
    <n v="4.3"/>
    <s v="Good"/>
    <n v="20"/>
    <x v="1"/>
    <x v="0"/>
    <x v="3"/>
    <x v="0"/>
    <s v="Yes"/>
    <n v="0.15"/>
    <x v="1"/>
    <s v="Less Popular"/>
    <s v="Short Visit"/>
    <x v="0"/>
    <s v="No"/>
    <x v="0"/>
    <s v="★★★★☆"/>
    <s v="4 / 5 Stars"/>
    <x v="2"/>
  </r>
  <r>
    <x v="3"/>
    <x v="20"/>
    <x v="181"/>
    <x v="266"/>
    <x v="50"/>
    <x v="208"/>
    <n v="1"/>
    <n v="4.5999999999999996"/>
    <s v="Excellent"/>
    <n v="20"/>
    <x v="1"/>
    <x v="1"/>
    <x v="2"/>
    <x v="1"/>
    <s v="No"/>
    <n v="1.4999999999999999E-2"/>
    <x v="2"/>
    <s v="Less Popular"/>
    <s v="Short Visit"/>
    <x v="1"/>
    <s v="No"/>
    <x v="0"/>
    <s v="★★★★★"/>
    <s v="5 / 5 Stars"/>
    <x v="2"/>
  </r>
  <r>
    <x v="3"/>
    <x v="20"/>
    <x v="182"/>
    <x v="267"/>
    <x v="67"/>
    <x v="209"/>
    <n v="2"/>
    <n v="4.7"/>
    <s v="Excellent"/>
    <n v="50"/>
    <x v="1"/>
    <x v="0"/>
    <x v="0"/>
    <x v="1"/>
    <s v="No"/>
    <n v="0.12"/>
    <x v="3"/>
    <s v="Less Popular"/>
    <s v="Short Visit"/>
    <x v="0"/>
    <s v="Yes"/>
    <x v="0"/>
    <s v="★★★★★"/>
    <s v="5 / 5 Stars"/>
    <x v="2"/>
  </r>
  <r>
    <x v="3"/>
    <x v="20"/>
    <x v="180"/>
    <x v="268"/>
    <x v="50"/>
    <x v="210"/>
    <n v="1"/>
    <n v="4.5999999999999996"/>
    <s v="Excellent"/>
    <n v="10"/>
    <x v="1"/>
    <x v="0"/>
    <x v="3"/>
    <x v="1"/>
    <s v="No"/>
    <n v="3.5000000000000003E-2"/>
    <x v="2"/>
    <s v="Less Popular"/>
    <s v="Short Visit"/>
    <x v="0"/>
    <s v="No"/>
    <x v="0"/>
    <s v="★★★★★"/>
    <s v="5 / 5 Stars"/>
    <x v="2"/>
  </r>
  <r>
    <x v="3"/>
    <x v="20"/>
    <x v="183"/>
    <x v="269"/>
    <x v="8"/>
    <x v="211"/>
    <n v="1"/>
    <n v="4.8"/>
    <s v="Excellent"/>
    <n v="50"/>
    <x v="1"/>
    <x v="0"/>
    <x v="1"/>
    <x v="15"/>
    <s v="Yes"/>
    <n v="0.1"/>
    <x v="3"/>
    <s v="Less Popular"/>
    <s v="Short Visit"/>
    <x v="0"/>
    <s v="Yes"/>
    <x v="4"/>
    <s v="★★★★★"/>
    <s v="5 / 5 Stars"/>
    <x v="2"/>
  </r>
  <r>
    <x v="3"/>
    <x v="20"/>
    <x v="180"/>
    <x v="270"/>
    <x v="2"/>
    <x v="125"/>
    <n v="1"/>
    <n v="4.7"/>
    <s v="Excellent"/>
    <n v="0"/>
    <x v="0"/>
    <x v="0"/>
    <x v="0"/>
    <x v="1"/>
    <s v="No"/>
    <n v="7.4999999999999997E-2"/>
    <x v="3"/>
    <s v="Less Popular"/>
    <s v="Short Visit"/>
    <x v="0"/>
    <s v="Yes"/>
    <x v="0"/>
    <s v="★★★★★"/>
    <s v="5 / 5 Stars"/>
    <x v="2"/>
  </r>
  <r>
    <x v="3"/>
    <x v="20"/>
    <x v="180"/>
    <x v="271"/>
    <x v="22"/>
    <x v="212"/>
    <n v="2"/>
    <n v="4.5"/>
    <s v="Excellent"/>
    <n v="0"/>
    <x v="0"/>
    <x v="0"/>
    <x v="5"/>
    <x v="10"/>
    <s v="Yes"/>
    <n v="0.15"/>
    <x v="2"/>
    <s v="Less Popular"/>
    <s v="Short Visit"/>
    <x v="0"/>
    <s v="No"/>
    <x v="1"/>
    <s v="★★★★★"/>
    <s v="5 / 5 Stars"/>
    <x v="2"/>
  </r>
  <r>
    <x v="5"/>
    <x v="21"/>
    <x v="184"/>
    <x v="272"/>
    <x v="2"/>
    <x v="26"/>
    <n v="2"/>
    <n v="4.5999999999999996"/>
    <s v="Excellent"/>
    <n v="0"/>
    <x v="0"/>
    <x v="0"/>
    <x v="5"/>
    <x v="1"/>
    <s v="No"/>
    <n v="0.21"/>
    <x v="3"/>
    <s v="Less Popular"/>
    <s v="Short Visit"/>
    <x v="0"/>
    <s v="No"/>
    <x v="0"/>
    <s v="★★★★★"/>
    <s v="5 / 5 Stars"/>
    <x v="2"/>
  </r>
  <r>
    <x v="5"/>
    <x v="21"/>
    <x v="185"/>
    <x v="273"/>
    <x v="14"/>
    <x v="213"/>
    <n v="3"/>
    <n v="4.5"/>
    <s v="Excellent"/>
    <n v="650"/>
    <x v="1"/>
    <x v="1"/>
    <x v="2"/>
    <x v="8"/>
    <s v="No"/>
    <n v="6.8000000000000005E-2"/>
    <x v="2"/>
    <s v="Less Popular"/>
    <s v="Medium Visit"/>
    <x v="1"/>
    <s v="No"/>
    <x v="1"/>
    <s v="★★★★★"/>
    <s v="5 / 5 Stars"/>
    <x v="2"/>
  </r>
  <r>
    <x v="5"/>
    <x v="21"/>
    <x v="184"/>
    <x v="274"/>
    <x v="68"/>
    <x v="214"/>
    <n v="1"/>
    <n v="4.0999999999999996"/>
    <s v="Good"/>
    <n v="0"/>
    <x v="0"/>
    <x v="0"/>
    <x v="2"/>
    <x v="10"/>
    <s v="Yes"/>
    <n v="0.01"/>
    <x v="2"/>
    <s v="Less Popular"/>
    <s v="Short Visit"/>
    <x v="0"/>
    <s v="No"/>
    <x v="1"/>
    <s v="★★★★☆"/>
    <s v="4 / 5 Stars"/>
    <x v="2"/>
  </r>
  <r>
    <x v="5"/>
    <x v="21"/>
    <x v="186"/>
    <x v="275"/>
    <x v="2"/>
    <x v="215"/>
    <n v="1"/>
    <n v="4.7"/>
    <s v="Excellent"/>
    <n v="0"/>
    <x v="0"/>
    <x v="1"/>
    <x v="5"/>
    <x v="0"/>
    <s v="Yes"/>
    <n v="6.5000000000000002E-2"/>
    <x v="3"/>
    <s v="Less Popular"/>
    <s v="Short Visit"/>
    <x v="1"/>
    <s v="Yes"/>
    <x v="0"/>
    <s v="★★★★★"/>
    <s v="5 / 5 Stars"/>
    <x v="2"/>
  </r>
  <r>
    <x v="5"/>
    <x v="21"/>
    <x v="187"/>
    <x v="276"/>
    <x v="69"/>
    <x v="216"/>
    <n v="2"/>
    <n v="4.7"/>
    <s v="Excellent"/>
    <n v="0"/>
    <x v="0"/>
    <x v="1"/>
    <x v="3"/>
    <x v="15"/>
    <s v="Yes"/>
    <n v="0.01"/>
    <x v="2"/>
    <s v="Less Popular"/>
    <s v="Short Visit"/>
    <x v="1"/>
    <s v="Yes"/>
    <x v="4"/>
    <s v="★★★★★"/>
    <s v="5 / 5 Stars"/>
    <x v="2"/>
  </r>
  <r>
    <x v="5"/>
    <x v="21"/>
    <x v="188"/>
    <x v="277"/>
    <x v="14"/>
    <x v="141"/>
    <n v="3"/>
    <n v="4.5999999999999996"/>
    <s v="Excellent"/>
    <n v="500"/>
    <x v="1"/>
    <x v="1"/>
    <x v="6"/>
    <x v="8"/>
    <s v="Yes"/>
    <n v="0.19"/>
    <x v="2"/>
    <s v="Less Popular"/>
    <s v="Medium Visit"/>
    <x v="1"/>
    <s v="No"/>
    <x v="1"/>
    <s v="★★★★★"/>
    <s v="5 / 5 Stars"/>
    <x v="2"/>
  </r>
  <r>
    <x v="5"/>
    <x v="21"/>
    <x v="189"/>
    <x v="278"/>
    <x v="2"/>
    <x v="217"/>
    <n v="1"/>
    <n v="4.5"/>
    <s v="Excellent"/>
    <n v="0"/>
    <x v="0"/>
    <x v="1"/>
    <x v="1"/>
    <x v="1"/>
    <s v="Yes"/>
    <n v="0.9"/>
    <x v="3"/>
    <s v="Popular"/>
    <s v="Short Visit"/>
    <x v="1"/>
    <s v="No"/>
    <x v="0"/>
    <s v="★★★★★"/>
    <s v="5 / 5 Stars"/>
    <x v="1"/>
  </r>
  <r>
    <x v="5"/>
    <x v="21"/>
    <x v="184"/>
    <x v="279"/>
    <x v="34"/>
    <x v="24"/>
    <n v="2"/>
    <n v="4.4000000000000004"/>
    <s v="Good"/>
    <n v="500"/>
    <x v="1"/>
    <x v="0"/>
    <x v="4"/>
    <x v="8"/>
    <s v="Yes"/>
    <n v="3.6999999999999998E-2"/>
    <x v="3"/>
    <s v="Less Popular"/>
    <s v="Short Visit"/>
    <x v="0"/>
    <s v="No"/>
    <x v="1"/>
    <s v="★★★★☆"/>
    <s v="4 / 5 Stars"/>
    <x v="2"/>
  </r>
  <r>
    <x v="5"/>
    <x v="22"/>
    <x v="190"/>
    <x v="280"/>
    <x v="50"/>
    <x v="218"/>
    <n v="2"/>
    <n v="4.7"/>
    <s v="Excellent"/>
    <n v="0"/>
    <x v="0"/>
    <x v="1"/>
    <x v="6"/>
    <x v="1"/>
    <s v="No"/>
    <n v="3.2000000000000001E-2"/>
    <x v="2"/>
    <s v="Less Popular"/>
    <s v="Short Visit"/>
    <x v="1"/>
    <s v="Yes"/>
    <x v="0"/>
    <s v="★★★★★"/>
    <s v="5 / 5 Stars"/>
    <x v="2"/>
  </r>
  <r>
    <x v="5"/>
    <x v="23"/>
    <x v="191"/>
    <x v="281"/>
    <x v="18"/>
    <x v="219"/>
    <n v="1.5"/>
    <n v="4.5"/>
    <s v="Excellent"/>
    <n v="10"/>
    <x v="1"/>
    <x v="0"/>
    <x v="2"/>
    <x v="0"/>
    <s v="Yes"/>
    <n v="3.5000000000000003E-2"/>
    <x v="3"/>
    <s v="Less Popular"/>
    <s v="Short Visit"/>
    <x v="0"/>
    <s v="No"/>
    <x v="0"/>
    <s v="★★★★★"/>
    <s v="5 / 5 Stars"/>
    <x v="2"/>
  </r>
  <r>
    <x v="5"/>
    <x v="23"/>
    <x v="192"/>
    <x v="282"/>
    <x v="22"/>
    <x v="220"/>
    <n v="1"/>
    <n v="4.5"/>
    <s v="Excellent"/>
    <n v="0"/>
    <x v="0"/>
    <x v="1"/>
    <x v="5"/>
    <x v="10"/>
    <s v="Yes"/>
    <n v="0.01"/>
    <x v="2"/>
    <s v="Less Popular"/>
    <s v="Short Visit"/>
    <x v="1"/>
    <s v="No"/>
    <x v="1"/>
    <s v="★★★★★"/>
    <s v="5 / 5 Stars"/>
    <x v="2"/>
  </r>
  <r>
    <x v="5"/>
    <x v="23"/>
    <x v="193"/>
    <x v="283"/>
    <x v="70"/>
    <x v="76"/>
    <n v="1.5"/>
    <n v="4.5"/>
    <s v="Excellent"/>
    <n v="20"/>
    <x v="1"/>
    <x v="1"/>
    <x v="0"/>
    <x v="0"/>
    <s v="Yes"/>
    <n v="2.5000000000000001E-2"/>
    <x v="2"/>
    <s v="Less Popular"/>
    <s v="Short Visit"/>
    <x v="1"/>
    <s v="No"/>
    <x v="0"/>
    <s v="★★★★★"/>
    <s v="5 / 5 Stars"/>
    <x v="2"/>
  </r>
  <r>
    <x v="4"/>
    <x v="24"/>
    <x v="194"/>
    <x v="284"/>
    <x v="29"/>
    <x v="221"/>
    <n v="1.5"/>
    <n v="4.5999999999999996"/>
    <s v="Excellent"/>
    <n v="0"/>
    <x v="0"/>
    <x v="1"/>
    <x v="0"/>
    <x v="10"/>
    <s v="Yes"/>
    <n v="0.19"/>
    <x v="2"/>
    <s v="Less Popular"/>
    <s v="Short Visit"/>
    <x v="1"/>
    <s v="No"/>
    <x v="1"/>
    <s v="★★★★★"/>
    <s v="5 / 5 Stars"/>
    <x v="2"/>
  </r>
  <r>
    <x v="5"/>
    <x v="25"/>
    <x v="195"/>
    <x v="285"/>
    <x v="46"/>
    <x v="222"/>
    <n v="3"/>
    <n v="4.7"/>
    <s v="Excellent"/>
    <n v="0"/>
    <x v="0"/>
    <x v="1"/>
    <x v="4"/>
    <x v="23"/>
    <s v="Yes"/>
    <n v="0.01"/>
    <x v="1"/>
    <s v="Less Popular"/>
    <s v="Medium Visit"/>
    <x v="1"/>
    <s v="Yes"/>
    <x v="4"/>
    <s v="★★★★★"/>
    <s v="5 / 5 Stars"/>
    <x v="2"/>
  </r>
  <r>
    <x v="2"/>
    <x v="26"/>
    <x v="196"/>
    <x v="286"/>
    <x v="16"/>
    <x v="223"/>
    <n v="1"/>
    <n v="4.5"/>
    <s v="Excellent"/>
    <n v="0"/>
    <x v="0"/>
    <x v="0"/>
    <x v="1"/>
    <x v="9"/>
    <s v="Yes"/>
    <n v="0.09"/>
    <x v="2"/>
    <s v="Less Popular"/>
    <s v="Short Visit"/>
    <x v="0"/>
    <s v="No"/>
    <x v="3"/>
    <s v="★★★★★"/>
    <s v="5 / 5 Stars"/>
    <x v="2"/>
  </r>
  <r>
    <x v="2"/>
    <x v="26"/>
    <x v="197"/>
    <x v="287"/>
    <x v="71"/>
    <x v="119"/>
    <n v="2"/>
    <n v="4.0999999999999996"/>
    <s v="Good"/>
    <n v="0"/>
    <x v="0"/>
    <x v="0"/>
    <x v="1"/>
    <x v="15"/>
    <s v="Yes"/>
    <n v="3.5000000000000003E-2"/>
    <x v="3"/>
    <s v="Less Popular"/>
    <s v="Short Visit"/>
    <x v="0"/>
    <s v="No"/>
    <x v="4"/>
    <s v="★★★★☆"/>
    <s v="4 / 5 Stars"/>
    <x v="2"/>
  </r>
  <r>
    <x v="2"/>
    <x v="26"/>
    <x v="196"/>
    <x v="288"/>
    <x v="16"/>
    <x v="224"/>
    <n v="1"/>
    <n v="4.5"/>
    <s v="Excellent"/>
    <n v="200"/>
    <x v="1"/>
    <x v="0"/>
    <x v="5"/>
    <x v="9"/>
    <s v="Yes"/>
    <n v="1.4999999999999999E-2"/>
    <x v="2"/>
    <s v="Less Popular"/>
    <s v="Short Visit"/>
    <x v="0"/>
    <s v="No"/>
    <x v="3"/>
    <s v="★★★★★"/>
    <s v="5 / 5 Stars"/>
    <x v="2"/>
  </r>
  <r>
    <x v="2"/>
    <x v="27"/>
    <x v="198"/>
    <x v="289"/>
    <x v="21"/>
    <x v="225"/>
    <n v="1.5"/>
    <n v="4.7"/>
    <s v="Excellent"/>
    <n v="30"/>
    <x v="1"/>
    <x v="0"/>
    <x v="2"/>
    <x v="0"/>
    <s v="Yes"/>
    <n v="0.12"/>
    <x v="1"/>
    <s v="Less Popular"/>
    <s v="Short Visit"/>
    <x v="0"/>
    <s v="Yes"/>
    <x v="0"/>
    <s v="★★★★★"/>
    <s v="5 / 5 Stars"/>
    <x v="2"/>
  </r>
  <r>
    <x v="2"/>
    <x v="27"/>
    <x v="199"/>
    <x v="290"/>
    <x v="16"/>
    <x v="226"/>
    <n v="1"/>
    <n v="4.8"/>
    <s v="Excellent"/>
    <n v="0"/>
    <x v="0"/>
    <x v="1"/>
    <x v="3"/>
    <x v="10"/>
    <s v="Yes"/>
    <n v="0.09"/>
    <x v="2"/>
    <s v="Less Popular"/>
    <s v="Short Visit"/>
    <x v="1"/>
    <s v="Yes"/>
    <x v="1"/>
    <s v="★★★★★"/>
    <s v="5 / 5 Stars"/>
    <x v="2"/>
  </r>
  <r>
    <x v="2"/>
    <x v="27"/>
    <x v="200"/>
    <x v="291"/>
    <x v="16"/>
    <x v="227"/>
    <n v="1"/>
    <n v="4.5"/>
    <s v="Excellent"/>
    <n v="0"/>
    <x v="0"/>
    <x v="1"/>
    <x v="0"/>
    <x v="10"/>
    <s v="Yes"/>
    <n v="0.04"/>
    <x v="2"/>
    <s v="Less Popular"/>
    <s v="Short Visit"/>
    <x v="1"/>
    <s v="No"/>
    <x v="1"/>
    <s v="★★★★★"/>
    <s v="5 / 5 Stars"/>
    <x v="2"/>
  </r>
  <r>
    <x v="2"/>
    <x v="27"/>
    <x v="201"/>
    <x v="292"/>
    <x v="72"/>
    <x v="228"/>
    <n v="1.5"/>
    <n v="4.4000000000000004"/>
    <s v="Good"/>
    <n v="250"/>
    <x v="1"/>
    <x v="1"/>
    <x v="4"/>
    <x v="10"/>
    <s v="Yes"/>
    <n v="1.4999999999999999E-2"/>
    <x v="2"/>
    <s v="Less Popular"/>
    <s v="Short Visit"/>
    <x v="1"/>
    <s v="No"/>
    <x v="1"/>
    <s v="★★★★☆"/>
    <s v="4 / 5 Stars"/>
    <x v="2"/>
  </r>
  <r>
    <x v="1"/>
    <x v="28"/>
    <x v="202"/>
    <x v="293"/>
    <x v="43"/>
    <x v="229"/>
    <n v="1"/>
    <n v="4.5"/>
    <s v="Excellent"/>
    <n v="0"/>
    <x v="0"/>
    <x v="1"/>
    <x v="2"/>
    <x v="10"/>
    <s v="Yes"/>
    <n v="0.6"/>
    <x v="1"/>
    <s v="Popular"/>
    <s v="Short Visit"/>
    <x v="1"/>
    <s v="No"/>
    <x v="1"/>
    <s v="★★★★★"/>
    <s v="5 / 5 Stars"/>
    <x v="1"/>
  </r>
  <r>
    <x v="1"/>
    <x v="28"/>
    <x v="202"/>
    <x v="294"/>
    <x v="6"/>
    <x v="230"/>
    <n v="1.5"/>
    <n v="4.5999999999999996"/>
    <s v="Excellent"/>
    <n v="0"/>
    <x v="0"/>
    <x v="1"/>
    <x v="6"/>
    <x v="0"/>
    <s v="Yes"/>
    <n v="1.2"/>
    <x v="1"/>
    <s v="Highly Popular"/>
    <s v="Short Visit"/>
    <x v="1"/>
    <s v="No"/>
    <x v="0"/>
    <s v="★★★★★"/>
    <s v="5 / 5 Stars"/>
    <x v="1"/>
  </r>
  <r>
    <x v="3"/>
    <x v="29"/>
    <x v="203"/>
    <x v="295"/>
    <x v="2"/>
    <x v="231"/>
    <n v="1"/>
    <n v="4.7"/>
    <s v="Excellent"/>
    <n v="0"/>
    <x v="0"/>
    <x v="0"/>
    <x v="2"/>
    <x v="1"/>
    <s v="Yes"/>
    <n v="1.8"/>
    <x v="3"/>
    <s v="Highly Popular"/>
    <s v="Short Visit"/>
    <x v="0"/>
    <s v="Yes"/>
    <x v="0"/>
    <s v="★★★★★"/>
    <s v="5 / 5 Stars"/>
    <x v="0"/>
  </r>
  <r>
    <x v="3"/>
    <x v="29"/>
    <x v="204"/>
    <x v="296"/>
    <x v="2"/>
    <x v="232"/>
    <n v="1"/>
    <n v="4.5999999999999996"/>
    <s v="Excellent"/>
    <n v="0"/>
    <x v="0"/>
    <x v="0"/>
    <x v="1"/>
    <x v="1"/>
    <s v="Yes"/>
    <n v="0.13"/>
    <x v="3"/>
    <s v="Less Popular"/>
    <s v="Short Visit"/>
    <x v="0"/>
    <s v="No"/>
    <x v="0"/>
    <s v="★★★★★"/>
    <s v="5 / 5 Stars"/>
    <x v="2"/>
  </r>
  <r>
    <x v="3"/>
    <x v="30"/>
    <x v="205"/>
    <x v="297"/>
    <x v="2"/>
    <x v="233"/>
    <n v="1.5"/>
    <n v="4.7"/>
    <s v="Excellent"/>
    <n v="0"/>
    <x v="0"/>
    <x v="0"/>
    <x v="1"/>
    <x v="1"/>
    <s v="Yes"/>
    <n v="0.2"/>
    <x v="3"/>
    <s v="Less Popular"/>
    <s v="Short Visit"/>
    <x v="0"/>
    <s v="Yes"/>
    <x v="0"/>
    <s v="★★★★★"/>
    <s v="5 / 5 Stars"/>
    <x v="2"/>
  </r>
  <r>
    <x v="3"/>
    <x v="30"/>
    <x v="206"/>
    <x v="298"/>
    <x v="10"/>
    <x v="39"/>
    <n v="2.5"/>
    <n v="4.3"/>
    <s v="Good"/>
    <n v="30"/>
    <x v="1"/>
    <x v="0"/>
    <x v="3"/>
    <x v="8"/>
    <s v="Yes"/>
    <n v="0.5"/>
    <x v="3"/>
    <s v="Popular"/>
    <s v="Medium Visit"/>
    <x v="0"/>
    <s v="No"/>
    <x v="1"/>
    <s v="★★★★☆"/>
    <s v="4 / 5 Stars"/>
    <x v="1"/>
  </r>
  <r>
    <x v="3"/>
    <x v="30"/>
    <x v="206"/>
    <x v="299"/>
    <x v="54"/>
    <x v="234"/>
    <n v="1"/>
    <n v="4.7"/>
    <s v="Excellent"/>
    <n v="0"/>
    <x v="0"/>
    <x v="0"/>
    <x v="2"/>
    <x v="1"/>
    <s v="Yes"/>
    <n v="0.25"/>
    <x v="3"/>
    <s v="Less Popular"/>
    <s v="Short Visit"/>
    <x v="0"/>
    <s v="Yes"/>
    <x v="0"/>
    <s v="★★★★★"/>
    <s v="5 / 5 Stars"/>
    <x v="2"/>
  </r>
  <r>
    <x v="3"/>
    <x v="30"/>
    <x v="206"/>
    <x v="300"/>
    <x v="8"/>
    <x v="235"/>
    <n v="1"/>
    <n v="4.4000000000000004"/>
    <s v="Good"/>
    <n v="10"/>
    <x v="1"/>
    <x v="0"/>
    <x v="3"/>
    <x v="15"/>
    <s v="Yes"/>
    <n v="0.31"/>
    <x v="3"/>
    <s v="Less Popular"/>
    <s v="Short Visit"/>
    <x v="0"/>
    <s v="No"/>
    <x v="4"/>
    <s v="★★★★☆"/>
    <s v="4 / 5 Stars"/>
    <x v="2"/>
  </r>
  <r>
    <x v="0"/>
    <x v="31"/>
    <x v="207"/>
    <x v="301"/>
    <x v="73"/>
    <x v="236"/>
    <n v="3"/>
    <n v="4.4000000000000004"/>
    <s v="Good"/>
    <n v="1100"/>
    <x v="1"/>
    <x v="0"/>
    <x v="2"/>
    <x v="12"/>
    <s v="Yes"/>
    <n v="0.3"/>
    <x v="1"/>
    <s v="Less Popular"/>
    <s v="Medium Visit"/>
    <x v="0"/>
    <s v="No"/>
    <x v="3"/>
    <s v="★★★★☆"/>
    <s v="4 / 5 Stars"/>
    <x v="2"/>
  </r>
  <r>
    <x v="0"/>
    <x v="31"/>
    <x v="207"/>
    <x v="302"/>
    <x v="74"/>
    <x v="87"/>
    <n v="2"/>
    <n v="4.5999999999999996"/>
    <s v="Excellent"/>
    <n v="0"/>
    <x v="0"/>
    <x v="0"/>
    <x v="0"/>
    <x v="24"/>
    <s v="Yes"/>
    <n v="1.2"/>
    <x v="1"/>
    <s v="Highly Popular"/>
    <s v="Short Visit"/>
    <x v="0"/>
    <s v="No"/>
    <x v="4"/>
    <s v="★★★★★"/>
    <s v="5 / 5 Stars"/>
    <x v="1"/>
  </r>
  <r>
    <x v="0"/>
    <x v="31"/>
    <x v="207"/>
    <x v="303"/>
    <x v="75"/>
    <x v="237"/>
    <n v="2"/>
    <n v="4.7"/>
    <s v="Excellent"/>
    <n v="0"/>
    <x v="0"/>
    <x v="0"/>
    <x v="5"/>
    <x v="12"/>
    <s v="Yes"/>
    <n v="0.71"/>
    <x v="1"/>
    <s v="Popular"/>
    <s v="Short Visit"/>
    <x v="0"/>
    <s v="Yes"/>
    <x v="3"/>
    <s v="★★★★★"/>
    <s v="5 / 5 Stars"/>
    <x v="1"/>
  </r>
  <r>
    <x v="0"/>
    <x v="0"/>
    <x v="208"/>
    <x v="304"/>
    <x v="54"/>
    <x v="238"/>
    <n v="1"/>
    <n v="4.8"/>
    <s v="Excellent"/>
    <n v="0"/>
    <x v="0"/>
    <x v="0"/>
    <x v="3"/>
    <x v="1"/>
    <s v="Yes"/>
    <n v="1.05"/>
    <x v="3"/>
    <s v="Highly Popular"/>
    <s v="Short Visit"/>
    <x v="0"/>
    <s v="Yes"/>
    <x v="0"/>
    <s v="★★★★★"/>
    <s v="5 / 5 Stars"/>
    <x v="1"/>
  </r>
  <r>
    <x v="0"/>
    <x v="13"/>
    <x v="209"/>
    <x v="305"/>
    <x v="2"/>
    <x v="105"/>
    <n v="1.5"/>
    <n v="4.8"/>
    <s v="Excellent"/>
    <n v="0"/>
    <x v="0"/>
    <x v="1"/>
    <x v="4"/>
    <x v="1"/>
    <s v="No"/>
    <n v="2"/>
    <x v="3"/>
    <s v="Highly Popular"/>
    <s v="Short Visit"/>
    <x v="1"/>
    <s v="Yes"/>
    <x v="0"/>
    <s v="★★★★★"/>
    <s v="5 / 5 Stars"/>
    <x v="0"/>
  </r>
  <r>
    <x v="4"/>
    <x v="14"/>
    <x v="119"/>
    <x v="306"/>
    <x v="74"/>
    <x v="93"/>
    <n v="2"/>
    <n v="4.5999999999999996"/>
    <s v="Excellent"/>
    <n v="0"/>
    <x v="0"/>
    <x v="0"/>
    <x v="5"/>
    <x v="24"/>
    <s v="Yes"/>
    <n v="1.5"/>
    <x v="3"/>
    <s v="Highly Popular"/>
    <s v="Short Visit"/>
    <x v="0"/>
    <s v="No"/>
    <x v="4"/>
    <s v="★★★★★"/>
    <s v="5 / 5 Stars"/>
    <x v="0"/>
  </r>
  <r>
    <x v="4"/>
    <x v="14"/>
    <x v="210"/>
    <x v="307"/>
    <x v="74"/>
    <x v="239"/>
    <n v="2"/>
    <n v="4.2"/>
    <s v="Good"/>
    <n v="0"/>
    <x v="0"/>
    <x v="0"/>
    <x v="0"/>
    <x v="24"/>
    <s v="Yes"/>
    <n v="0.45"/>
    <x v="3"/>
    <s v="Less Popular"/>
    <s v="Short Visit"/>
    <x v="0"/>
    <s v="No"/>
    <x v="4"/>
    <s v="★★★★☆"/>
    <s v="4 / 5 Stars"/>
    <x v="1"/>
  </r>
  <r>
    <x v="2"/>
    <x v="2"/>
    <x v="211"/>
    <x v="110"/>
    <x v="17"/>
    <x v="2"/>
    <n v="4"/>
    <n v="4.5"/>
    <s v="Excellent"/>
    <n v="890"/>
    <x v="1"/>
    <x v="0"/>
    <x v="0"/>
    <x v="12"/>
    <s v="Yes"/>
    <n v="0.95"/>
    <x v="3"/>
    <s v="Popular"/>
    <s v="Medium Visit"/>
    <x v="0"/>
    <s v="No"/>
    <x v="3"/>
    <s v="★★★★★"/>
    <s v="5 / 5 Stars"/>
    <x v="1"/>
  </r>
  <r>
    <x v="3"/>
    <x v="17"/>
    <x v="148"/>
    <x v="308"/>
    <x v="10"/>
    <x v="240"/>
    <n v="3"/>
    <n v="4.4000000000000004"/>
    <s v="Good"/>
    <n v="50"/>
    <x v="1"/>
    <x v="0"/>
    <x v="2"/>
    <x v="8"/>
    <s v="Yes"/>
    <n v="0.81"/>
    <x v="1"/>
    <s v="Popular"/>
    <s v="Medium Visit"/>
    <x v="0"/>
    <s v="No"/>
    <x v="1"/>
    <s v="★★★★☆"/>
    <s v="4 / 5 Stars"/>
    <x v="1"/>
  </r>
  <r>
    <x v="2"/>
    <x v="2"/>
    <x v="211"/>
    <x v="309"/>
    <x v="74"/>
    <x v="66"/>
    <n v="2"/>
    <n v="4.5"/>
    <s v="Excellent"/>
    <n v="0"/>
    <x v="0"/>
    <x v="0"/>
    <x v="5"/>
    <x v="24"/>
    <s v="Yes"/>
    <n v="1.8"/>
    <x v="3"/>
    <s v="Highly Popular"/>
    <s v="Short Visit"/>
    <x v="0"/>
    <s v="No"/>
    <x v="4"/>
    <s v="★★★★★"/>
    <s v="5 / 5 Stars"/>
    <x v="0"/>
  </r>
  <r>
    <x v="2"/>
    <x v="3"/>
    <x v="4"/>
    <x v="310"/>
    <x v="74"/>
    <x v="241"/>
    <n v="2"/>
    <n v="4.5"/>
    <s v="Excellent"/>
    <n v="0"/>
    <x v="0"/>
    <x v="0"/>
    <x v="6"/>
    <x v="24"/>
    <s v="Yes"/>
    <n v="1.2"/>
    <x v="3"/>
    <s v="Highly Popular"/>
    <s v="Short Visit"/>
    <x v="0"/>
    <s v="No"/>
    <x v="4"/>
    <s v="★★★★★"/>
    <s v="5 / 5 Stars"/>
    <x v="1"/>
  </r>
  <r>
    <x v="0"/>
    <x v="0"/>
    <x v="208"/>
    <x v="311"/>
    <x v="76"/>
    <x v="102"/>
    <n v="1"/>
    <n v="4.5"/>
    <s v="Excellent"/>
    <n v="0"/>
    <x v="0"/>
    <x v="0"/>
    <x v="2"/>
    <x v="0"/>
    <s v="Yes"/>
    <n v="0.49"/>
    <x v="3"/>
    <s v="Less Popular"/>
    <s v="Short Visit"/>
    <x v="0"/>
    <s v="No"/>
    <x v="0"/>
    <s v="★★★★★"/>
    <s v="5 / 5 Stars"/>
    <x v="1"/>
  </r>
  <r>
    <x v="2"/>
    <x v="18"/>
    <x v="159"/>
    <x v="237"/>
    <x v="2"/>
    <x v="242"/>
    <n v="1.5"/>
    <n v="4.7"/>
    <s v="Excellent"/>
    <n v="0"/>
    <x v="0"/>
    <x v="0"/>
    <x v="4"/>
    <x v="1"/>
    <s v="No"/>
    <n v="0.1"/>
    <x v="3"/>
    <s v="Less Popular"/>
    <s v="Short Visit"/>
    <x v="0"/>
    <s v="Yes"/>
    <x v="0"/>
    <s v="★★★★★"/>
    <s v="5 / 5 Stars"/>
    <x v="2"/>
  </r>
  <r>
    <x v="4"/>
    <x v="14"/>
    <x v="210"/>
    <x v="312"/>
    <x v="77"/>
    <x v="243"/>
    <n v="2"/>
    <n v="4.5999999999999996"/>
    <s v="Excellent"/>
    <n v="1500"/>
    <x v="1"/>
    <x v="0"/>
    <x v="1"/>
    <x v="13"/>
    <s v="Yes"/>
    <n v="7.4"/>
    <x v="3"/>
    <s v="Highly Popular"/>
    <s v="Short Visit"/>
    <x v="0"/>
    <s v="No"/>
    <x v="4"/>
    <s v="★★★★★"/>
    <s v="5 / 5 Stars"/>
    <x v="0"/>
  </r>
  <r>
    <x v="4"/>
    <x v="14"/>
    <x v="111"/>
    <x v="313"/>
    <x v="74"/>
    <x v="244"/>
    <n v="2"/>
    <n v="4.5999999999999996"/>
    <s v="Excellent"/>
    <n v="0"/>
    <x v="0"/>
    <x v="0"/>
    <x v="3"/>
    <x v="24"/>
    <s v="Yes"/>
    <n v="0.35"/>
    <x v="3"/>
    <s v="Less Popular"/>
    <s v="Short Visit"/>
    <x v="0"/>
    <s v="No"/>
    <x v="4"/>
    <s v="★★★★★"/>
    <s v="5 / 5 Stars"/>
    <x v="2"/>
  </r>
  <r>
    <x v="2"/>
    <x v="9"/>
    <x v="30"/>
    <x v="314"/>
    <x v="74"/>
    <x v="25"/>
    <n v="3"/>
    <n v="4.5999999999999996"/>
    <s v="Excellent"/>
    <n v="0"/>
    <x v="0"/>
    <x v="0"/>
    <x v="3"/>
    <x v="24"/>
    <s v="Yes"/>
    <n v="1.9"/>
    <x v="3"/>
    <s v="Highly Popular"/>
    <s v="Medium Visit"/>
    <x v="0"/>
    <s v="No"/>
    <x v="4"/>
    <s v="★★★★★"/>
    <s v="5 / 5 Stars"/>
    <x v="0"/>
  </r>
  <r>
    <x v="0"/>
    <x v="0"/>
    <x v="208"/>
    <x v="315"/>
    <x v="9"/>
    <x v="204"/>
    <n v="2"/>
    <n v="4.4000000000000004"/>
    <s v="Good"/>
    <n v="50"/>
    <x v="1"/>
    <x v="0"/>
    <x v="2"/>
    <x v="15"/>
    <s v="Yes"/>
    <n v="0.24"/>
    <x v="2"/>
    <s v="Less Popular"/>
    <s v="Short Visit"/>
    <x v="0"/>
    <s v="No"/>
    <x v="4"/>
    <s v="★★★★☆"/>
    <s v="4 / 5 Stars"/>
    <x v="2"/>
  </r>
  <r>
    <x v="5"/>
    <x v="32"/>
    <x v="212"/>
    <x v="316"/>
    <x v="72"/>
    <x v="245"/>
    <n v="2"/>
    <n v="4.5999999999999996"/>
    <s v="Excellent"/>
    <n v="0"/>
    <x v="0"/>
    <x v="1"/>
    <x v="5"/>
    <x v="10"/>
    <s v="Yes"/>
    <n v="0.06"/>
    <x v="2"/>
    <s v="Less Popular"/>
    <s v="Short Visit"/>
    <x v="1"/>
    <s v="No"/>
    <x v="1"/>
    <s v="★★★★★"/>
    <s v="5 / 5 Stars"/>
    <x v="2"/>
  </r>
  <r>
    <x v="1"/>
    <x v="6"/>
    <x v="15"/>
    <x v="317"/>
    <x v="2"/>
    <x v="15"/>
    <n v="3"/>
    <n v="4.5999999999999996"/>
    <s v="Excellent"/>
    <n v="0"/>
    <x v="0"/>
    <x v="0"/>
    <x v="2"/>
    <x v="1"/>
    <s v="No"/>
    <n v="0.18"/>
    <x v="3"/>
    <s v="Less Popular"/>
    <s v="Medium Visit"/>
    <x v="0"/>
    <s v="No"/>
    <x v="0"/>
    <s v="★★★★★"/>
    <s v="5 / 5 Stars"/>
    <x v="2"/>
  </r>
  <r>
    <x v="4"/>
    <x v="14"/>
    <x v="109"/>
    <x v="318"/>
    <x v="6"/>
    <x v="246"/>
    <n v="2"/>
    <n v="4.5"/>
    <s v="Excellent"/>
    <n v="40"/>
    <x v="1"/>
    <x v="0"/>
    <x v="1"/>
    <x v="0"/>
    <s v="Yes"/>
    <n v="1.3"/>
    <x v="1"/>
    <s v="Highly Popular"/>
    <s v="Short Visit"/>
    <x v="0"/>
    <s v="No"/>
    <x v="0"/>
    <s v="★★★★★"/>
    <s v="5 / 5 Stars"/>
    <x v="1"/>
  </r>
  <r>
    <x v="4"/>
    <x v="11"/>
    <x v="66"/>
    <x v="319"/>
    <x v="9"/>
    <x v="25"/>
    <n v="2"/>
    <n v="4.7"/>
    <s v="Excellent"/>
    <n v="10"/>
    <x v="1"/>
    <x v="0"/>
    <x v="2"/>
    <x v="15"/>
    <s v="Yes"/>
    <n v="0.15"/>
    <x v="3"/>
    <s v="Less Popular"/>
    <s v="Short Visit"/>
    <x v="0"/>
    <s v="Yes"/>
    <x v="4"/>
    <s v="★★★★★"/>
    <s v="5 / 5 Stars"/>
    <x v="2"/>
  </r>
  <r>
    <x v="0"/>
    <x v="7"/>
    <x v="16"/>
    <x v="80"/>
    <x v="18"/>
    <x v="247"/>
    <n v="2"/>
    <n v="4.4000000000000004"/>
    <s v="Good"/>
    <n v="200"/>
    <x v="1"/>
    <x v="0"/>
    <x v="5"/>
    <x v="0"/>
    <s v="Yes"/>
    <n v="0.51"/>
    <x v="2"/>
    <s v="Popular"/>
    <s v="Short Visit"/>
    <x v="0"/>
    <s v="No"/>
    <x v="0"/>
    <s v="★★★★☆"/>
    <s v="4 / 5 Stars"/>
    <x v="1"/>
  </r>
  <r>
    <x v="0"/>
    <x v="7"/>
    <x v="16"/>
    <x v="320"/>
    <x v="9"/>
    <x v="174"/>
    <n v="2"/>
    <n v="4.5"/>
    <s v="Excellent"/>
    <n v="200"/>
    <x v="1"/>
    <x v="0"/>
    <x v="6"/>
    <x v="0"/>
    <s v="Yes"/>
    <n v="0.63"/>
    <x v="3"/>
    <s v="Popular"/>
    <s v="Short Visit"/>
    <x v="0"/>
    <s v="No"/>
    <x v="0"/>
    <s v="★★★★★"/>
    <s v="5 / 5 Star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B2DE38-5BCB-4AE8-B412-B801381E0CC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3:V11" firstHeaderRow="1" firstDataRow="1" firstDataCol="1"/>
  <pivotFields count="25">
    <pivotField showAll="0">
      <items count="7">
        <item x="4"/>
        <item x="3"/>
        <item x="5"/>
        <item x="0"/>
        <item x="2"/>
        <item x="1"/>
        <item t="default"/>
      </items>
    </pivotField>
    <pivotField showAll="0"/>
    <pivotField showAll="0"/>
    <pivotField dataField="1" showAll="0">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axis="axisRow" showAll="0">
      <items count="8">
        <item x="1"/>
        <item x="3"/>
        <item x="4"/>
        <item x="5"/>
        <item x="0"/>
        <item x="2"/>
        <item x="6"/>
        <item t="default"/>
      </items>
    </pivotField>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16"/>
  </rowFields>
  <rowItems count="8">
    <i>
      <x/>
    </i>
    <i>
      <x v="1"/>
    </i>
    <i>
      <x v="2"/>
    </i>
    <i>
      <x v="3"/>
    </i>
    <i>
      <x v="4"/>
    </i>
    <i>
      <x v="5"/>
    </i>
    <i>
      <x v="6"/>
    </i>
    <i t="grand">
      <x/>
    </i>
  </rowItems>
  <colItems count="1">
    <i/>
  </colItems>
  <dataFields count="1">
    <dataField name="Count of Name" fld="3" subtotal="count" baseField="0" baseItem="0"/>
  </dataField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84CB7-8939-412D-9D5C-37A94CDBA8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3:D37" firstHeaderRow="1" firstDataRow="1" firstDataCol="1"/>
  <pivotFields count="25">
    <pivotField showAll="0">
      <items count="7">
        <item x="4"/>
        <item x="3"/>
        <item x="5"/>
        <item x="0"/>
        <item x="2"/>
        <item x="1"/>
        <item t="default"/>
      </items>
    </pivotField>
    <pivotField axis="axisRow"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items count="214">
        <item x="191"/>
        <item x="109"/>
        <item x="7"/>
        <item x="64"/>
        <item x="21"/>
        <item x="28"/>
        <item x="57"/>
        <item x="120"/>
        <item x="115"/>
        <item x="103"/>
        <item x="77"/>
        <item x="175"/>
        <item x="26"/>
        <item x="173"/>
        <item x="128"/>
        <item x="101"/>
        <item x="54"/>
        <item x="197"/>
        <item x="113"/>
        <item x="46"/>
        <item x="102"/>
        <item x="155"/>
        <item x="73"/>
        <item x="51"/>
        <item x="3"/>
        <item x="201"/>
        <item x="93"/>
        <item x="194"/>
        <item x="37"/>
        <item x="211"/>
        <item x="153"/>
        <item x="76"/>
        <item x="66"/>
        <item x="148"/>
        <item x="10"/>
        <item x="50"/>
        <item x="25"/>
        <item x="89"/>
        <item x="205"/>
        <item x="141"/>
        <item x="84"/>
        <item x="27"/>
        <item x="157"/>
        <item x="212"/>
        <item x="168"/>
        <item x="45"/>
        <item x="152"/>
        <item x="78"/>
        <item x="23"/>
        <item x="107"/>
        <item x="162"/>
        <item x="144"/>
        <item x="43"/>
        <item x="150"/>
        <item x="81"/>
        <item x="136"/>
        <item x="99"/>
        <item x="0"/>
        <item x="203"/>
        <item x="139"/>
        <item x="131"/>
        <item x="202"/>
        <item x="134"/>
        <item x="192"/>
        <item x="8"/>
        <item x="195"/>
        <item x="118"/>
        <item x="15"/>
        <item x="180"/>
        <item x="6"/>
        <item x="44"/>
        <item x="210"/>
        <item x="176"/>
        <item x="207"/>
        <item x="184"/>
        <item x="68"/>
        <item x="189"/>
        <item x="52"/>
        <item x="42"/>
        <item x="98"/>
        <item x="199"/>
        <item x="133"/>
        <item x="142"/>
        <item x="4"/>
        <item x="67"/>
        <item x="70"/>
        <item x="16"/>
        <item x="18"/>
        <item x="143"/>
        <item x="126"/>
        <item x="116"/>
        <item x="105"/>
        <item x="22"/>
        <item x="108"/>
        <item x="9"/>
        <item x="177"/>
        <item x="86"/>
        <item x="72"/>
        <item x="39"/>
        <item x="122"/>
        <item x="160"/>
        <item x="130"/>
        <item x="185"/>
        <item x="209"/>
        <item x="156"/>
        <item x="154"/>
        <item x="14"/>
        <item x="65"/>
        <item x="85"/>
        <item x="132"/>
        <item x="30"/>
        <item x="163"/>
        <item x="60"/>
        <item x="5"/>
        <item x="147"/>
        <item x="38"/>
        <item x="32"/>
        <item x="95"/>
        <item x="83"/>
        <item x="35"/>
        <item x="174"/>
        <item x="124"/>
        <item x="2"/>
        <item x="111"/>
        <item x="158"/>
        <item x="165"/>
        <item x="187"/>
        <item x="80"/>
        <item x="188"/>
        <item x="88"/>
        <item x="75"/>
        <item x="48"/>
        <item x="91"/>
        <item x="63"/>
        <item x="112"/>
        <item x="90"/>
        <item x="121"/>
        <item x="24"/>
        <item x="1"/>
        <item x="29"/>
        <item x="140"/>
        <item x="49"/>
        <item x="100"/>
        <item x="41"/>
        <item x="59"/>
        <item x="96"/>
        <item x="182"/>
        <item x="92"/>
        <item x="55"/>
        <item x="200"/>
        <item x="40"/>
        <item x="208"/>
        <item x="119"/>
        <item x="129"/>
        <item x="161"/>
        <item x="74"/>
        <item x="71"/>
        <item x="125"/>
        <item x="87"/>
        <item x="206"/>
        <item x="181"/>
        <item x="135"/>
        <item x="198"/>
        <item x="196"/>
        <item x="53"/>
        <item x="146"/>
        <item x="145"/>
        <item x="20"/>
        <item x="178"/>
        <item x="172"/>
        <item x="159"/>
        <item x="204"/>
        <item x="104"/>
        <item x="13"/>
        <item x="58"/>
        <item x="183"/>
        <item x="97"/>
        <item x="149"/>
        <item x="151"/>
        <item x="117"/>
        <item x="62"/>
        <item x="19"/>
        <item x="79"/>
        <item x="56"/>
        <item x="47"/>
        <item x="94"/>
        <item x="137"/>
        <item x="186"/>
        <item x="12"/>
        <item x="82"/>
        <item x="123"/>
        <item x="171"/>
        <item x="138"/>
        <item x="61"/>
        <item x="190"/>
        <item x="164"/>
        <item x="34"/>
        <item x="31"/>
        <item x="167"/>
        <item x="17"/>
        <item x="127"/>
        <item x="69"/>
        <item x="193"/>
        <item x="106"/>
        <item x="11"/>
        <item x="110"/>
        <item x="36"/>
        <item x="169"/>
        <item x="170"/>
        <item x="179"/>
        <item x="114"/>
        <item x="33"/>
        <item x="166"/>
        <item t="default"/>
      </items>
    </pivotField>
    <pivotField dataField="1" showAll="0">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Name" fld="3" subtotal="count"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2DD00-9FCB-4EA0-ADBA-41B6ABCFA4A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3:S7" firstHeaderRow="1" firstDataRow="1" firstDataCol="1"/>
  <pivotFields count="25">
    <pivotField showAll="0">
      <items count="7">
        <item x="4"/>
        <item x="3"/>
        <item x="5"/>
        <item x="0"/>
        <item x="2"/>
        <item x="1"/>
        <item t="default"/>
      </items>
    </pivotField>
    <pivotField showAll="0"/>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items count="6">
        <item x="0"/>
        <item x="3"/>
        <item x="1"/>
        <item x="4"/>
        <item x="2"/>
        <item t="default"/>
      </items>
    </pivotField>
    <pivotField showAll="0"/>
    <pivotField showAll="0"/>
    <pivotField axis="axisRow" showAll="0">
      <items count="4">
        <item x="0"/>
        <item x="2"/>
        <item x="1"/>
        <item t="default"/>
      </items>
    </pivotField>
  </pivotFields>
  <rowFields count="1">
    <field x="24"/>
  </rowFields>
  <rowItems count="4">
    <i>
      <x/>
    </i>
    <i>
      <x v="1"/>
    </i>
    <i>
      <x v="2"/>
    </i>
    <i t="grand">
      <x/>
    </i>
  </rowItems>
  <colItems count="1">
    <i/>
  </colItems>
  <dataFields count="1">
    <dataField name="Count of Name" fld="3" subtotal="count" baseField="0" baseItem="0"/>
  </dataFields>
  <chartFormats count="8">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4" count="1" selected="0">
            <x v="0"/>
          </reference>
        </references>
      </pivotArea>
    </chartFormat>
    <chartFormat chart="5" format="10">
      <pivotArea type="data" outline="0" fieldPosition="0">
        <references count="2">
          <reference field="4294967294" count="1" selected="0">
            <x v="0"/>
          </reference>
          <reference field="24" count="1" selected="0">
            <x v="1"/>
          </reference>
        </references>
      </pivotArea>
    </chartFormat>
    <chartFormat chart="5" format="11">
      <pivotArea type="data" outline="0" fieldPosition="0">
        <references count="2">
          <reference field="4294967294" count="1" selected="0">
            <x v="0"/>
          </reference>
          <reference field="24"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24" count="1" selected="0">
            <x v="0"/>
          </reference>
        </references>
      </pivotArea>
    </chartFormat>
    <chartFormat chart="10" format="18">
      <pivotArea type="data" outline="0" fieldPosition="0">
        <references count="2">
          <reference field="4294967294" count="1" selected="0">
            <x v="0"/>
          </reference>
          <reference field="24" count="1" selected="0">
            <x v="1"/>
          </reference>
        </references>
      </pivotArea>
    </chartFormat>
    <chartFormat chart="10" format="19">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598AE-4891-4274-B3C4-656B051358C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0" firstHeaderRow="1" firstDataRow="1" firstDataCol="1"/>
  <pivotFields count="25">
    <pivotField axis="axisRow" showAll="0">
      <items count="7">
        <item x="4"/>
        <item x="3"/>
        <item x="5"/>
        <item x="0"/>
        <item x="2"/>
        <item x="1"/>
        <item t="default"/>
      </items>
    </pivotField>
    <pivotField showAll="0"/>
    <pivotField showAll="0"/>
    <pivotField dataField="1" showAll="0">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0"/>
  </rowFields>
  <rowItems count="7">
    <i>
      <x/>
    </i>
    <i>
      <x v="1"/>
    </i>
    <i>
      <x v="2"/>
    </i>
    <i>
      <x v="3"/>
    </i>
    <i>
      <x v="4"/>
    </i>
    <i>
      <x v="5"/>
    </i>
    <i t="grand">
      <x/>
    </i>
  </rowItems>
  <colItems count="1">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3AB09-38F7-4273-81E9-39D442FB852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3:AG15" firstHeaderRow="1" firstDataRow="2" firstDataCol="1"/>
  <pivotFields count="25">
    <pivotField showAll="0">
      <items count="7">
        <item x="4"/>
        <item x="3"/>
        <item x="5"/>
        <item x="0"/>
        <item x="2"/>
        <item x="1"/>
        <item t="default"/>
      </items>
    </pivotField>
    <pivotField axis="axisRow" showAll="0" measureFilter="1">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items count="214">
        <item x="191"/>
        <item x="109"/>
        <item x="7"/>
        <item x="64"/>
        <item x="21"/>
        <item x="28"/>
        <item x="57"/>
        <item x="120"/>
        <item x="115"/>
        <item x="103"/>
        <item x="77"/>
        <item x="175"/>
        <item x="26"/>
        <item x="173"/>
        <item x="128"/>
        <item x="101"/>
        <item x="54"/>
        <item x="197"/>
        <item x="113"/>
        <item x="46"/>
        <item x="102"/>
        <item x="155"/>
        <item x="73"/>
        <item x="51"/>
        <item x="3"/>
        <item x="201"/>
        <item x="93"/>
        <item x="194"/>
        <item x="37"/>
        <item x="211"/>
        <item x="153"/>
        <item x="76"/>
        <item x="66"/>
        <item x="148"/>
        <item x="10"/>
        <item x="50"/>
        <item x="25"/>
        <item x="89"/>
        <item x="205"/>
        <item x="141"/>
        <item x="84"/>
        <item x="27"/>
        <item x="157"/>
        <item x="212"/>
        <item x="168"/>
        <item x="45"/>
        <item x="152"/>
        <item x="78"/>
        <item x="23"/>
        <item x="107"/>
        <item x="162"/>
        <item x="144"/>
        <item x="43"/>
        <item x="150"/>
        <item x="81"/>
        <item x="136"/>
        <item x="99"/>
        <item x="0"/>
        <item x="203"/>
        <item x="139"/>
        <item x="131"/>
        <item x="202"/>
        <item x="134"/>
        <item x="192"/>
        <item x="8"/>
        <item x="195"/>
        <item x="118"/>
        <item x="15"/>
        <item x="180"/>
        <item x="6"/>
        <item x="44"/>
        <item x="210"/>
        <item x="176"/>
        <item x="207"/>
        <item x="184"/>
        <item x="68"/>
        <item x="189"/>
        <item x="52"/>
        <item x="42"/>
        <item x="98"/>
        <item x="199"/>
        <item x="133"/>
        <item x="142"/>
        <item x="4"/>
        <item x="67"/>
        <item x="70"/>
        <item x="16"/>
        <item x="18"/>
        <item x="143"/>
        <item x="126"/>
        <item x="116"/>
        <item x="105"/>
        <item x="22"/>
        <item x="108"/>
        <item x="9"/>
        <item x="177"/>
        <item x="86"/>
        <item x="72"/>
        <item x="39"/>
        <item x="122"/>
        <item x="160"/>
        <item x="130"/>
        <item x="185"/>
        <item x="209"/>
        <item x="156"/>
        <item x="154"/>
        <item x="14"/>
        <item x="65"/>
        <item x="85"/>
        <item x="132"/>
        <item x="30"/>
        <item x="163"/>
        <item x="60"/>
        <item x="5"/>
        <item x="147"/>
        <item x="38"/>
        <item x="32"/>
        <item x="95"/>
        <item x="83"/>
        <item x="35"/>
        <item x="174"/>
        <item x="124"/>
        <item x="2"/>
        <item x="111"/>
        <item x="158"/>
        <item x="165"/>
        <item x="187"/>
        <item x="80"/>
        <item x="188"/>
        <item x="88"/>
        <item x="75"/>
        <item x="48"/>
        <item x="91"/>
        <item x="63"/>
        <item x="112"/>
        <item x="90"/>
        <item x="121"/>
        <item x="24"/>
        <item x="1"/>
        <item x="29"/>
        <item x="140"/>
        <item x="49"/>
        <item x="100"/>
        <item x="41"/>
        <item x="59"/>
        <item x="96"/>
        <item x="182"/>
        <item x="92"/>
        <item x="55"/>
        <item x="200"/>
        <item x="40"/>
        <item x="208"/>
        <item x="119"/>
        <item x="129"/>
        <item x="161"/>
        <item x="74"/>
        <item x="71"/>
        <item x="125"/>
        <item x="87"/>
        <item x="206"/>
        <item x="181"/>
        <item x="135"/>
        <item x="198"/>
        <item x="196"/>
        <item x="53"/>
        <item x="146"/>
        <item x="145"/>
        <item x="20"/>
        <item x="178"/>
        <item x="172"/>
        <item x="159"/>
        <item x="204"/>
        <item x="104"/>
        <item x="13"/>
        <item x="58"/>
        <item x="183"/>
        <item x="97"/>
        <item x="149"/>
        <item x="151"/>
        <item x="117"/>
        <item x="62"/>
        <item x="19"/>
        <item x="79"/>
        <item x="56"/>
        <item x="47"/>
        <item x="94"/>
        <item x="137"/>
        <item x="186"/>
        <item x="12"/>
        <item x="82"/>
        <item x="123"/>
        <item x="171"/>
        <item x="138"/>
        <item x="61"/>
        <item x="190"/>
        <item x="164"/>
        <item x="34"/>
        <item x="31"/>
        <item x="167"/>
        <item x="17"/>
        <item x="127"/>
        <item x="69"/>
        <item x="193"/>
        <item x="106"/>
        <item x="11"/>
        <item x="110"/>
        <item x="36"/>
        <item x="169"/>
        <item x="170"/>
        <item x="179"/>
        <item x="114"/>
        <item x="33"/>
        <item x="166"/>
        <item t="default"/>
      </items>
    </pivotField>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items count="249">
        <item x="117"/>
        <item x="180"/>
        <item x="113"/>
        <item x="142"/>
        <item x="151"/>
        <item x="61"/>
        <item x="114"/>
        <item x="233"/>
        <item x="203"/>
        <item x="163"/>
        <item x="190"/>
        <item x="201"/>
        <item x="106"/>
        <item x="209"/>
        <item x="211"/>
        <item x="130"/>
        <item x="98"/>
        <item x="76"/>
        <item x="146"/>
        <item x="116"/>
        <item x="77"/>
        <item x="104"/>
        <item x="72"/>
        <item x="14"/>
        <item x="122"/>
        <item x="74"/>
        <item x="177"/>
        <item x="164"/>
        <item x="81"/>
        <item x="8"/>
        <item x="150"/>
        <item x="169"/>
        <item x="186"/>
        <item x="111"/>
        <item x="207"/>
        <item x="129"/>
        <item x="161"/>
        <item x="22"/>
        <item x="216"/>
        <item x="226"/>
        <item x="165"/>
        <item x="158"/>
        <item x="68"/>
        <item x="162"/>
        <item x="235"/>
        <item x="75"/>
        <item x="192"/>
        <item x="67"/>
        <item x="200"/>
        <item x="184"/>
        <item x="238"/>
        <item x="182"/>
        <item x="11"/>
        <item x="82"/>
        <item x="90"/>
        <item x="232"/>
        <item x="16"/>
        <item x="139"/>
        <item x="153"/>
        <item x="222"/>
        <item x="136"/>
        <item x="53"/>
        <item x="230"/>
        <item x="194"/>
        <item x="54"/>
        <item x="228"/>
        <item x="128"/>
        <item x="71"/>
        <item x="32"/>
        <item x="133"/>
        <item x="246"/>
        <item x="152"/>
        <item x="1"/>
        <item x="95"/>
        <item x="239"/>
        <item x="234"/>
        <item x="78"/>
        <item x="31"/>
        <item x="79"/>
        <item x="160"/>
        <item x="9"/>
        <item x="118"/>
        <item x="58"/>
        <item x="47"/>
        <item x="101"/>
        <item x="48"/>
        <item x="46"/>
        <item x="51"/>
        <item x="96"/>
        <item x="154"/>
        <item x="110"/>
        <item x="57"/>
        <item x="147"/>
        <item x="52"/>
        <item x="205"/>
        <item x="231"/>
        <item x="7"/>
        <item x="88"/>
        <item x="124"/>
        <item x="132"/>
        <item x="102"/>
        <item x="84"/>
        <item x="221"/>
        <item x="218"/>
        <item x="97"/>
        <item x="171"/>
        <item x="167"/>
        <item x="5"/>
        <item x="156"/>
        <item x="208"/>
        <item x="91"/>
        <item x="89"/>
        <item x="175"/>
        <item x="4"/>
        <item x="80"/>
        <item x="247"/>
        <item x="87"/>
        <item x="55"/>
        <item x="105"/>
        <item x="215"/>
        <item x="212"/>
        <item x="195"/>
        <item x="115"/>
        <item x="145"/>
        <item x="64"/>
        <item x="217"/>
        <item x="27"/>
        <item x="159"/>
        <item x="220"/>
        <item x="179"/>
        <item x="49"/>
        <item x="229"/>
        <item x="149"/>
        <item x="227"/>
        <item x="70"/>
        <item x="35"/>
        <item x="237"/>
        <item x="224"/>
        <item x="126"/>
        <item x="23"/>
        <item x="41"/>
        <item x="140"/>
        <item x="56"/>
        <item x="39"/>
        <item x="138"/>
        <item x="189"/>
        <item x="112"/>
        <item x="157"/>
        <item x="21"/>
        <item x="45"/>
        <item x="172"/>
        <item x="148"/>
        <item x="197"/>
        <item x="242"/>
        <item x="40"/>
        <item x="100"/>
        <item x="42"/>
        <item x="143"/>
        <item x="28"/>
        <item x="166"/>
        <item x="43"/>
        <item x="26"/>
        <item x="20"/>
        <item x="174"/>
        <item x="123"/>
        <item x="50"/>
        <item x="108"/>
        <item x="44"/>
        <item x="99"/>
        <item x="219"/>
        <item x="213"/>
        <item x="225"/>
        <item x="94"/>
        <item x="60"/>
        <item x="131"/>
        <item x="0"/>
        <item x="18"/>
        <item x="17"/>
        <item x="185"/>
        <item x="214"/>
        <item x="144"/>
        <item x="202"/>
        <item x="223"/>
        <item x="137"/>
        <item x="170"/>
        <item x="38"/>
        <item x="168"/>
        <item x="173"/>
        <item x="63"/>
        <item x="33"/>
        <item x="12"/>
        <item x="120"/>
        <item x="29"/>
        <item x="181"/>
        <item x="121"/>
        <item x="13"/>
        <item x="240"/>
        <item x="36"/>
        <item x="62"/>
        <item x="83"/>
        <item x="125"/>
        <item x="119"/>
        <item x="188"/>
        <item x="155"/>
        <item x="85"/>
        <item x="245"/>
        <item x="103"/>
        <item x="135"/>
        <item x="34"/>
        <item x="204"/>
        <item x="73"/>
        <item x="134"/>
        <item x="86"/>
        <item x="127"/>
        <item x="6"/>
        <item x="24"/>
        <item x="59"/>
        <item x="199"/>
        <item x="141"/>
        <item x="206"/>
        <item x="15"/>
        <item x="37"/>
        <item x="19"/>
        <item x="30"/>
        <item x="107"/>
        <item x="109"/>
        <item x="69"/>
        <item x="10"/>
        <item x="241"/>
        <item x="2"/>
        <item x="92"/>
        <item x="236"/>
        <item x="243"/>
        <item x="66"/>
        <item x="25"/>
        <item x="93"/>
        <item x="65"/>
        <item x="3"/>
        <item x="244"/>
        <item x="193"/>
        <item x="178"/>
        <item x="176"/>
        <item x="196"/>
        <item x="198"/>
        <item x="210"/>
        <item x="187"/>
        <item x="191"/>
        <item x="18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items count="9">
        <item x="1"/>
        <item x="2"/>
        <item x="3"/>
        <item x="4"/>
        <item x="5"/>
        <item x="0"/>
        <item x="6"/>
        <item x="7"/>
        <item t="default"/>
      </items>
    </pivotField>
    <pivotField showAll="0">
      <items count="26">
        <item x="19"/>
        <item x="20"/>
        <item x="18"/>
        <item x="11"/>
        <item x="6"/>
        <item x="5"/>
        <item x="15"/>
        <item x="14"/>
        <item x="21"/>
        <item x="12"/>
        <item x="2"/>
        <item x="16"/>
        <item x="0"/>
        <item x="4"/>
        <item x="22"/>
        <item x="10"/>
        <item x="9"/>
        <item x="1"/>
        <item x="7"/>
        <item x="3"/>
        <item x="24"/>
        <item x="17"/>
        <item x="13"/>
        <item x="23"/>
        <item x="8"/>
        <item t="default"/>
      </items>
    </pivotField>
    <pivotField showAll="0"/>
    <pivotField numFmtId="164" showAll="0"/>
    <pivotField showAll="0"/>
    <pivotField showAll="0"/>
    <pivotField showAll="0"/>
    <pivotField axis="axisCol" showAll="0">
      <items count="3">
        <item x="0"/>
        <item x="1"/>
        <item t="default"/>
      </items>
    </pivotField>
    <pivotField showAll="0"/>
    <pivotField showAll="0"/>
    <pivotField showAll="0"/>
    <pivotField showAll="0"/>
    <pivotField showAll="0">
      <items count="4">
        <item x="0"/>
        <item x="2"/>
        <item x="1"/>
        <item t="default"/>
      </items>
    </pivotField>
  </pivotFields>
  <rowFields count="1">
    <field x="1"/>
  </rowFields>
  <rowItems count="11">
    <i>
      <x v="1"/>
    </i>
    <i>
      <x v="7"/>
    </i>
    <i>
      <x v="11"/>
    </i>
    <i>
      <x v="14"/>
    </i>
    <i>
      <x v="15"/>
    </i>
    <i>
      <x v="17"/>
    </i>
    <i>
      <x v="19"/>
    </i>
    <i>
      <x v="25"/>
    </i>
    <i>
      <x v="30"/>
    </i>
    <i>
      <x v="32"/>
    </i>
    <i t="grand">
      <x/>
    </i>
  </rowItems>
  <colFields count="1">
    <field x="19"/>
  </colFields>
  <colItems count="3">
    <i>
      <x/>
    </i>
    <i>
      <x v="1"/>
    </i>
    <i t="grand">
      <x/>
    </i>
  </colItems>
  <dataFields count="1">
    <dataField name="Count of Name" fld="3" subtotal="count" baseField="0" baseItem="0"/>
  </dataFields>
  <chartFormats count="10">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3" format="4" series="1">
      <pivotArea type="data" outline="0" fieldPosition="0">
        <references count="2">
          <reference field="4294967294" count="1" selected="0">
            <x v="0"/>
          </reference>
          <reference field="19" count="1" selected="0">
            <x v="0"/>
          </reference>
        </references>
      </pivotArea>
    </chartFormat>
    <chartFormat chart="3" format="5" series="1">
      <pivotArea type="data" outline="0" fieldPosition="0">
        <references count="2">
          <reference field="4294967294" count="1" selected="0">
            <x v="0"/>
          </reference>
          <reference field="19" count="1" selected="0">
            <x v="1"/>
          </reference>
        </references>
      </pivotArea>
    </chartFormat>
    <chartFormat chart="4" format="0" series="1">
      <pivotArea type="data" outline="0" fieldPosition="0">
        <references count="2">
          <reference field="4294967294" count="1" selected="0">
            <x v="0"/>
          </reference>
          <reference field="19" count="1" selected="0">
            <x v="0"/>
          </reference>
        </references>
      </pivotArea>
    </chartFormat>
    <chartFormat chart="4" format="1" series="1">
      <pivotArea type="data" outline="0" fieldPosition="0">
        <references count="2">
          <reference field="4294967294" count="1" selected="0">
            <x v="0"/>
          </reference>
          <reference field="19" count="1" selected="0">
            <x v="1"/>
          </reference>
        </references>
      </pivotArea>
    </chartFormat>
    <chartFormat chart="7" format="4" series="1">
      <pivotArea type="data" outline="0" fieldPosition="0">
        <references count="2">
          <reference field="4294967294" count="1" selected="0">
            <x v="0"/>
          </reference>
          <reference field="19" count="1" selected="0">
            <x v="0"/>
          </reference>
        </references>
      </pivotArea>
    </chartFormat>
    <chartFormat chart="7" format="5" series="1">
      <pivotArea type="data" outline="0" fieldPosition="0">
        <references count="2">
          <reference field="4294967294" count="1" selected="0">
            <x v="0"/>
          </reference>
          <reference field="19" count="1" selected="0">
            <x v="1"/>
          </reference>
        </references>
      </pivotArea>
    </chartFormat>
    <chartFormat chart="10" format="4" series="1">
      <pivotArea type="data" outline="0" fieldPosition="0">
        <references count="2">
          <reference field="4294967294" count="1" selected="0">
            <x v="0"/>
          </reference>
          <reference field="19" count="1" selected="0">
            <x v="0"/>
          </reference>
        </references>
      </pivotArea>
    </chartFormat>
    <chartFormat chart="10" format="5"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77EA64-BDEF-43D1-8BD1-6A2FF6AF9E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B37" firstHeaderRow="1" firstDataRow="1" firstDataCol="1"/>
  <pivotFields count="25">
    <pivotField showAll="0">
      <items count="7">
        <item x="4"/>
        <item x="3"/>
        <item x="5"/>
        <item x="0"/>
        <item x="2"/>
        <item x="1"/>
        <item t="default"/>
      </items>
    </pivotField>
    <pivotField axis="axisRow" showAll="0">
      <items count="34">
        <item x="27"/>
        <item x="19"/>
        <item x="22"/>
        <item x="21"/>
        <item x="30"/>
        <item x="24"/>
        <item x="28"/>
        <item x="0"/>
        <item x="5"/>
        <item x="6"/>
        <item x="31"/>
        <item x="12"/>
        <item x="15"/>
        <item x="29"/>
        <item x="2"/>
        <item x="9"/>
        <item x="16"/>
        <item x="11"/>
        <item x="10"/>
        <item x="1"/>
        <item x="32"/>
        <item x="25"/>
        <item x="17"/>
        <item x="26"/>
        <item x="8"/>
        <item x="7"/>
        <item x="20"/>
        <item x="18"/>
        <item x="3"/>
        <item x="23"/>
        <item x="14"/>
        <item x="13"/>
        <item x="4"/>
        <item t="default"/>
      </items>
    </pivotField>
    <pivotField showAll="0">
      <items count="214">
        <item x="191"/>
        <item x="109"/>
        <item x="7"/>
        <item x="64"/>
        <item x="21"/>
        <item x="28"/>
        <item x="57"/>
        <item x="120"/>
        <item x="115"/>
        <item x="103"/>
        <item x="77"/>
        <item x="175"/>
        <item x="26"/>
        <item x="173"/>
        <item x="128"/>
        <item x="101"/>
        <item x="54"/>
        <item x="197"/>
        <item x="113"/>
        <item x="46"/>
        <item x="102"/>
        <item x="155"/>
        <item x="73"/>
        <item x="51"/>
        <item x="3"/>
        <item x="201"/>
        <item x="93"/>
        <item x="194"/>
        <item x="37"/>
        <item x="211"/>
        <item x="153"/>
        <item x="76"/>
        <item x="66"/>
        <item x="148"/>
        <item x="10"/>
        <item x="50"/>
        <item x="25"/>
        <item x="89"/>
        <item x="205"/>
        <item x="141"/>
        <item x="84"/>
        <item x="27"/>
        <item x="157"/>
        <item x="212"/>
        <item x="168"/>
        <item x="45"/>
        <item x="152"/>
        <item x="78"/>
        <item x="23"/>
        <item x="107"/>
        <item x="162"/>
        <item x="144"/>
        <item x="43"/>
        <item x="150"/>
        <item x="81"/>
        <item x="136"/>
        <item x="99"/>
        <item x="0"/>
        <item x="203"/>
        <item x="139"/>
        <item x="131"/>
        <item x="202"/>
        <item x="134"/>
        <item x="192"/>
        <item x="8"/>
        <item x="195"/>
        <item x="118"/>
        <item x="15"/>
        <item x="180"/>
        <item x="6"/>
        <item x="44"/>
        <item x="210"/>
        <item x="176"/>
        <item x="207"/>
        <item x="184"/>
        <item x="68"/>
        <item x="189"/>
        <item x="52"/>
        <item x="42"/>
        <item x="98"/>
        <item x="199"/>
        <item x="133"/>
        <item x="142"/>
        <item x="4"/>
        <item x="67"/>
        <item x="70"/>
        <item x="16"/>
        <item x="18"/>
        <item x="143"/>
        <item x="126"/>
        <item x="116"/>
        <item x="105"/>
        <item x="22"/>
        <item x="108"/>
        <item x="9"/>
        <item x="177"/>
        <item x="86"/>
        <item x="72"/>
        <item x="39"/>
        <item x="122"/>
        <item x="160"/>
        <item x="130"/>
        <item x="185"/>
        <item x="209"/>
        <item x="156"/>
        <item x="154"/>
        <item x="14"/>
        <item x="65"/>
        <item x="85"/>
        <item x="132"/>
        <item x="30"/>
        <item x="163"/>
        <item x="60"/>
        <item x="5"/>
        <item x="147"/>
        <item x="38"/>
        <item x="32"/>
        <item x="95"/>
        <item x="83"/>
        <item x="35"/>
        <item x="174"/>
        <item x="124"/>
        <item x="2"/>
        <item x="111"/>
        <item x="158"/>
        <item x="165"/>
        <item x="187"/>
        <item x="80"/>
        <item x="188"/>
        <item x="88"/>
        <item x="75"/>
        <item x="48"/>
        <item x="91"/>
        <item x="63"/>
        <item x="112"/>
        <item x="90"/>
        <item x="121"/>
        <item x="24"/>
        <item x="1"/>
        <item x="29"/>
        <item x="140"/>
        <item x="49"/>
        <item x="100"/>
        <item x="41"/>
        <item x="59"/>
        <item x="96"/>
        <item x="182"/>
        <item x="92"/>
        <item x="55"/>
        <item x="200"/>
        <item x="40"/>
        <item x="208"/>
        <item x="119"/>
        <item x="129"/>
        <item x="161"/>
        <item x="74"/>
        <item x="71"/>
        <item x="125"/>
        <item x="87"/>
        <item x="206"/>
        <item x="181"/>
        <item x="135"/>
        <item x="198"/>
        <item x="196"/>
        <item x="53"/>
        <item x="146"/>
        <item x="145"/>
        <item x="20"/>
        <item x="178"/>
        <item x="172"/>
        <item x="159"/>
        <item x="204"/>
        <item x="104"/>
        <item x="13"/>
        <item x="58"/>
        <item x="183"/>
        <item x="97"/>
        <item x="149"/>
        <item x="151"/>
        <item x="117"/>
        <item x="62"/>
        <item x="19"/>
        <item x="79"/>
        <item x="56"/>
        <item x="47"/>
        <item x="94"/>
        <item x="137"/>
        <item x="186"/>
        <item x="12"/>
        <item x="82"/>
        <item x="123"/>
        <item x="171"/>
        <item x="138"/>
        <item x="61"/>
        <item x="190"/>
        <item x="164"/>
        <item x="34"/>
        <item x="31"/>
        <item x="167"/>
        <item x="17"/>
        <item x="127"/>
        <item x="69"/>
        <item x="193"/>
        <item x="106"/>
        <item x="11"/>
        <item x="110"/>
        <item x="36"/>
        <item x="169"/>
        <item x="170"/>
        <item x="179"/>
        <item x="114"/>
        <item x="33"/>
        <item x="166"/>
        <item t="default"/>
      </items>
    </pivotField>
    <pivotField dataField="1" showAll="0">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8F0EAD-FD08-46F9-BEE3-608B227EA0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M6" firstHeaderRow="1" firstDataRow="1" firstDataCol="1"/>
  <pivotFields count="25">
    <pivotField showAll="0">
      <items count="7">
        <item x="4"/>
        <item x="3"/>
        <item x="5"/>
        <item x="0"/>
        <item x="2"/>
        <item x="1"/>
        <item t="default"/>
      </items>
    </pivotField>
    <pivotField showAll="0"/>
    <pivotField showAll="0"/>
    <pivotField dataField="1" showAll="0"/>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10"/>
  </rowFields>
  <rowItems count="3">
    <i>
      <x/>
    </i>
    <i>
      <x v="1"/>
    </i>
    <i t="grand">
      <x/>
    </i>
  </rowItems>
  <colItems count="1">
    <i/>
  </colItems>
  <dataFields count="1">
    <dataField name="Count of Name" fld="3"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0" count="1" selected="0">
            <x v="0"/>
          </reference>
        </references>
      </pivotArea>
    </chartFormat>
    <chartFormat chart="11"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FDFB59-6AA8-41E8-AD57-B699C069000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X3:Y15" firstHeaderRow="1" firstDataRow="1" firstDataCol="1"/>
  <pivotFields count="25">
    <pivotField showAll="0">
      <items count="7">
        <item x="4"/>
        <item x="3"/>
        <item x="5"/>
        <item x="0"/>
        <item x="2"/>
        <item x="1"/>
        <item t="default"/>
      </items>
    </pivotField>
    <pivotField showAll="0"/>
    <pivotField showAll="0"/>
    <pivotField axis="axisRow" showAll="0" measureFilter="1" sortType="ascending">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numFmtId="164" showAll="0"/>
    <pivotField showAll="0"/>
    <pivotField showAll="0"/>
    <pivotField showAll="0"/>
    <pivotField showAll="0"/>
    <pivotField showAll="0"/>
    <pivotField showAll="0">
      <items count="6">
        <item x="0"/>
        <item x="3"/>
        <item x="1"/>
        <item x="4"/>
        <item x="2"/>
        <item t="default"/>
      </items>
    </pivotField>
    <pivotField showAll="0"/>
    <pivotField showAll="0"/>
    <pivotField showAll="0">
      <items count="4">
        <item x="0"/>
        <item x="2"/>
        <item x="1"/>
        <item t="default"/>
      </items>
    </pivotField>
  </pivotFields>
  <rowFields count="1">
    <field x="3"/>
  </rowFields>
  <rowItems count="12">
    <i>
      <x v="50"/>
    </i>
    <i>
      <x v="61"/>
    </i>
    <i>
      <x v="67"/>
    </i>
    <i>
      <x v="104"/>
    </i>
    <i>
      <x v="108"/>
    </i>
    <i>
      <x v="128"/>
    </i>
    <i>
      <x v="158"/>
    </i>
    <i>
      <x v="185"/>
    </i>
    <i>
      <x v="209"/>
    </i>
    <i>
      <x v="289"/>
    </i>
    <i>
      <x v="317"/>
    </i>
    <i t="grand">
      <x/>
    </i>
  </rowItems>
  <colItems count="1">
    <i/>
  </colItems>
  <dataFields count="1">
    <dataField name="Sum of Number_Review_Lakhs" fld="15" baseField="3" baseItem="0">
      <extLst>
        <ext xmlns:x14="http://schemas.microsoft.com/office/spreadsheetml/2009/9/main" uri="{E15A36E0-9728-4e99-A89B-3F7291B0FE68}">
          <x14:dataField pivotShowAs="rankDescending"/>
        </ext>
      </extLst>
    </dataField>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5F8A6F-BD45-48EA-B486-0E1AF2FCBC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82" firstHeaderRow="1" firstDataRow="1" firstDataCol="1"/>
  <pivotFields count="25">
    <pivotField showAll="0">
      <items count="7">
        <item x="4"/>
        <item x="3"/>
        <item x="5"/>
        <item x="0"/>
        <item x="2"/>
        <item x="1"/>
        <item t="default"/>
      </items>
    </pivotField>
    <pivotField showAll="0"/>
    <pivotField showAll="0"/>
    <pivotField showAll="0"/>
    <pivotField axis="axisRow"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s>
  <rowFields count="1">
    <field x="4"/>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Average of Reiew_Rating" fld="7"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9BC647-1095-4736-99A2-2127F7C22F4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9" firstHeaderRow="1" firstDataRow="1" firstDataCol="1"/>
  <pivotFields count="25">
    <pivotField showAll="0">
      <items count="7">
        <item x="4"/>
        <item x="3"/>
        <item x="5"/>
        <item x="0"/>
        <item x="2"/>
        <item x="1"/>
        <item t="default"/>
      </items>
    </pivotField>
    <pivotField showAll="0"/>
    <pivotField showAll="0"/>
    <pivotField dataField="1" showAll="0">
      <items count="322">
        <item x="113"/>
        <item x="318"/>
        <item x="8"/>
        <item x="64"/>
        <item x="124"/>
        <item x="84"/>
        <item x="317"/>
        <item x="2"/>
        <item x="96"/>
        <item x="320"/>
        <item x="127"/>
        <item x="192"/>
        <item x="48"/>
        <item x="194"/>
        <item x="253"/>
        <item x="200"/>
        <item x="89"/>
        <item x="302"/>
        <item x="56"/>
        <item x="60"/>
        <item x="193"/>
        <item x="173"/>
        <item x="287"/>
        <item x="223"/>
        <item x="295"/>
        <item x="270"/>
        <item x="232"/>
        <item x="116"/>
        <item x="174"/>
        <item x="59"/>
        <item x="144"/>
        <item x="121"/>
        <item x="27"/>
        <item x="186"/>
        <item x="183"/>
        <item x="228"/>
        <item x="165"/>
        <item x="213"/>
        <item x="53"/>
        <item x="142"/>
        <item x="105"/>
        <item x="252"/>
        <item x="50"/>
        <item x="197"/>
        <item x="291"/>
        <item x="147"/>
        <item x="175"/>
        <item x="38"/>
        <item x="260"/>
        <item x="242"/>
        <item x="312"/>
        <item x="269"/>
        <item x="300"/>
        <item x="190"/>
        <item x="52"/>
        <item x="289"/>
        <item x="156"/>
        <item x="233"/>
        <item x="5"/>
        <item x="57"/>
        <item x="267"/>
        <item x="32"/>
        <item x="176"/>
        <item x="18"/>
        <item x="230"/>
        <item x="149"/>
        <item x="284"/>
        <item x="86"/>
        <item x="39"/>
        <item x="23"/>
        <item x="80"/>
        <item x="62"/>
        <item x="222"/>
        <item x="29"/>
        <item x="45"/>
        <item x="195"/>
        <item x="152"/>
        <item x="74"/>
        <item x="129"/>
        <item x="189"/>
        <item x="141"/>
        <item x="217"/>
        <item x="87"/>
        <item x="204"/>
        <item x="294"/>
        <item x="303"/>
        <item x="306"/>
        <item x="65"/>
        <item x="207"/>
        <item x="55"/>
        <item x="282"/>
        <item x="67"/>
        <item x="285"/>
        <item x="134"/>
        <item x="47"/>
        <item x="25"/>
        <item x="135"/>
        <item x="24"/>
        <item x="54"/>
        <item x="98"/>
        <item x="128"/>
        <item x="255"/>
        <item x="178"/>
        <item x="10"/>
        <item x="17"/>
        <item x="68"/>
        <item x="120"/>
        <item x="33"/>
        <item x="92"/>
        <item x="221"/>
        <item x="155"/>
        <item x="304"/>
        <item x="139"/>
        <item x="22"/>
        <item x="122"/>
        <item x="112"/>
        <item x="220"/>
        <item x="170"/>
        <item x="164"/>
        <item x="79"/>
        <item x="278"/>
        <item x="218"/>
        <item x="206"/>
        <item x="229"/>
        <item x="43"/>
        <item x="1"/>
        <item x="34"/>
        <item x="26"/>
        <item x="0"/>
        <item x="44"/>
        <item x="262"/>
        <item x="310"/>
        <item x="31"/>
        <item x="224"/>
        <item x="146"/>
        <item x="90"/>
        <item x="81"/>
        <item x="215"/>
        <item x="93"/>
        <item x="311"/>
        <item x="4"/>
        <item x="188"/>
        <item x="177"/>
        <item x="117"/>
        <item x="88"/>
        <item x="133"/>
        <item x="258"/>
        <item x="46"/>
        <item x="272"/>
        <item x="247"/>
        <item x="158"/>
        <item x="143"/>
        <item x="219"/>
        <item x="77"/>
        <item x="203"/>
        <item x="131"/>
        <item x="182"/>
        <item x="273"/>
        <item x="305"/>
        <item x="172"/>
        <item x="109"/>
        <item x="154"/>
        <item x="153"/>
        <item x="136"/>
        <item x="227"/>
        <item x="209"/>
        <item x="301"/>
        <item x="211"/>
        <item x="205"/>
        <item x="241"/>
        <item x="106"/>
        <item x="100"/>
        <item x="184"/>
        <item x="167"/>
        <item x="103"/>
        <item x="91"/>
        <item x="28"/>
        <item x="169"/>
        <item x="70"/>
        <item x="251"/>
        <item x="292"/>
        <item x="226"/>
        <item x="316"/>
        <item x="11"/>
        <item x="6"/>
        <item x="314"/>
        <item x="41"/>
        <item x="319"/>
        <item x="208"/>
        <item x="297"/>
        <item x="140"/>
        <item x="130"/>
        <item x="21"/>
        <item x="276"/>
        <item x="249"/>
        <item x="277"/>
        <item x="76"/>
        <item x="163"/>
        <item x="51"/>
        <item x="235"/>
        <item x="16"/>
        <item x="240"/>
        <item x="263"/>
        <item x="236"/>
        <item x="85"/>
        <item x="63"/>
        <item x="115"/>
        <item x="97"/>
        <item x="119"/>
        <item x="111"/>
        <item x="293"/>
        <item x="168"/>
        <item x="212"/>
        <item x="308"/>
        <item x="148"/>
        <item x="246"/>
        <item x="265"/>
        <item x="12"/>
        <item x="15"/>
        <item x="13"/>
        <item x="40"/>
        <item x="245"/>
        <item x="202"/>
        <item x="191"/>
        <item x="114"/>
        <item x="239"/>
        <item x="145"/>
        <item x="309"/>
        <item x="99"/>
        <item x="296"/>
        <item x="61"/>
        <item x="118"/>
        <item x="196"/>
        <item x="250"/>
        <item x="288"/>
        <item x="161"/>
        <item x="199"/>
        <item x="266"/>
        <item x="102"/>
        <item x="313"/>
        <item x="279"/>
        <item x="256"/>
        <item x="160"/>
        <item x="210"/>
        <item x="286"/>
        <item x="83"/>
        <item x="37"/>
        <item x="14"/>
        <item x="290"/>
        <item x="315"/>
        <item x="138"/>
        <item x="185"/>
        <item x="237"/>
        <item x="35"/>
        <item x="72"/>
        <item x="82"/>
        <item x="7"/>
        <item x="248"/>
        <item x="171"/>
        <item x="95"/>
        <item x="268"/>
        <item x="66"/>
        <item x="75"/>
        <item x="126"/>
        <item x="36"/>
        <item x="234"/>
        <item x="137"/>
        <item x="157"/>
        <item x="298"/>
        <item x="19"/>
        <item x="78"/>
        <item x="49"/>
        <item x="58"/>
        <item x="108"/>
        <item x="166"/>
        <item x="123"/>
        <item x="243"/>
        <item x="20"/>
        <item x="257"/>
        <item x="275"/>
        <item x="151"/>
        <item x="71"/>
        <item x="107"/>
        <item x="73"/>
        <item x="259"/>
        <item x="125"/>
        <item x="225"/>
        <item x="216"/>
        <item x="9"/>
        <item x="181"/>
        <item x="299"/>
        <item x="231"/>
        <item x="132"/>
        <item x="280"/>
        <item x="159"/>
        <item x="307"/>
        <item x="150"/>
        <item x="201"/>
        <item x="214"/>
        <item x="162"/>
        <item x="187"/>
        <item x="271"/>
        <item x="179"/>
        <item x="281"/>
        <item x="274"/>
        <item x="283"/>
        <item x="254"/>
        <item x="198"/>
        <item x="180"/>
        <item x="104"/>
        <item x="42"/>
        <item x="30"/>
        <item x="264"/>
        <item x="238"/>
        <item x="94"/>
        <item x="261"/>
        <item x="3"/>
        <item x="101"/>
        <item x="69"/>
        <item x="110"/>
        <item x="244"/>
        <item t="default"/>
      </items>
    </pivotField>
    <pivotField showAll="0">
      <items count="79">
        <item x="52"/>
        <item x="17"/>
        <item x="66"/>
        <item x="16"/>
        <item x="30"/>
        <item x="38"/>
        <item x="19"/>
        <item x="25"/>
        <item x="43"/>
        <item x="28"/>
        <item x="75"/>
        <item x="59"/>
        <item x="26"/>
        <item x="32"/>
        <item x="64"/>
        <item x="73"/>
        <item x="23"/>
        <item x="6"/>
        <item x="57"/>
        <item x="20"/>
        <item x="61"/>
        <item x="54"/>
        <item x="60"/>
        <item x="31"/>
        <item x="68"/>
        <item x="22"/>
        <item x="21"/>
        <item x="74"/>
        <item x="5"/>
        <item x="44"/>
        <item x="37"/>
        <item x="50"/>
        <item x="11"/>
        <item x="76"/>
        <item x="42"/>
        <item x="9"/>
        <item x="14"/>
        <item x="72"/>
        <item x="4"/>
        <item x="58"/>
        <item x="18"/>
        <item x="8"/>
        <item x="48"/>
        <item x="13"/>
        <item x="77"/>
        <item x="67"/>
        <item x="15"/>
        <item x="36"/>
        <item x="69"/>
        <item x="70"/>
        <item x="40"/>
        <item x="49"/>
        <item x="12"/>
        <item x="39"/>
        <item x="35"/>
        <item x="27"/>
        <item x="55"/>
        <item x="65"/>
        <item x="7"/>
        <item x="63"/>
        <item x="56"/>
        <item x="51"/>
        <item x="2"/>
        <item x="47"/>
        <item x="3"/>
        <item x="1"/>
        <item x="24"/>
        <item x="71"/>
        <item x="53"/>
        <item x="33"/>
        <item x="46"/>
        <item x="41"/>
        <item x="62"/>
        <item x="45"/>
        <item x="0"/>
        <item x="29"/>
        <item x="34"/>
        <item x="1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64" showAll="0"/>
    <pivotField showAll="0"/>
    <pivotField showAll="0"/>
    <pivotField showAll="0"/>
    <pivotField showAll="0"/>
    <pivotField showAll="0"/>
    <pivotField axis="axisRow" showAll="0">
      <items count="6">
        <item x="0"/>
        <item x="3"/>
        <item x="1"/>
        <item x="4"/>
        <item x="2"/>
        <item t="default"/>
      </items>
    </pivotField>
    <pivotField showAll="0"/>
    <pivotField showAll="0"/>
    <pivotField showAll="0">
      <items count="4">
        <item x="0"/>
        <item x="2"/>
        <item x="1"/>
        <item t="default"/>
      </items>
    </pivotField>
  </pivotFields>
  <rowFields count="1">
    <field x="21"/>
  </rowFields>
  <rowItems count="6">
    <i>
      <x/>
    </i>
    <i>
      <x v="1"/>
    </i>
    <i>
      <x v="2"/>
    </i>
    <i>
      <x v="3"/>
    </i>
    <i>
      <x v="4"/>
    </i>
    <i t="grand">
      <x/>
    </i>
  </rowItems>
  <colItems count="1">
    <i/>
  </colItems>
  <dataFields count="1">
    <dataField name="Count of Name" fld="3" subtotal="count" baseField="0" baseItem="0"/>
  </dataFields>
  <chartFormats count="12">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1" count="1" selected="0">
            <x v="0"/>
          </reference>
        </references>
      </pivotArea>
    </chartFormat>
    <chartFormat chart="7" format="9">
      <pivotArea type="data" outline="0" fieldPosition="0">
        <references count="2">
          <reference field="4294967294" count="1" selected="0">
            <x v="0"/>
          </reference>
          <reference field="21" count="1" selected="0">
            <x v="1"/>
          </reference>
        </references>
      </pivotArea>
    </chartFormat>
    <chartFormat chart="7" format="10">
      <pivotArea type="data" outline="0" fieldPosition="0">
        <references count="2">
          <reference field="4294967294" count="1" selected="0">
            <x v="0"/>
          </reference>
          <reference field="21" count="1" selected="0">
            <x v="2"/>
          </reference>
        </references>
      </pivotArea>
    </chartFormat>
    <chartFormat chart="7" format="11">
      <pivotArea type="data" outline="0" fieldPosition="0">
        <references count="2">
          <reference field="4294967294" count="1" selected="0">
            <x v="0"/>
          </reference>
          <reference field="21" count="1" selected="0">
            <x v="3"/>
          </reference>
        </references>
      </pivotArea>
    </chartFormat>
    <chartFormat chart="7" format="12">
      <pivotArea type="data" outline="0" fieldPosition="0">
        <references count="2">
          <reference field="4294967294" count="1" selected="0">
            <x v="0"/>
          </reference>
          <reference field="21"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21" count="1" selected="0">
            <x v="0"/>
          </reference>
        </references>
      </pivotArea>
    </chartFormat>
    <chartFormat chart="10" format="21">
      <pivotArea type="data" outline="0" fieldPosition="0">
        <references count="2">
          <reference field="4294967294" count="1" selected="0">
            <x v="0"/>
          </reference>
          <reference field="21" count="1" selected="0">
            <x v="1"/>
          </reference>
        </references>
      </pivotArea>
    </chartFormat>
    <chartFormat chart="10" format="22">
      <pivotArea type="data" outline="0" fieldPosition="0">
        <references count="2">
          <reference field="4294967294" count="1" selected="0">
            <x v="0"/>
          </reference>
          <reference field="21" count="1" selected="0">
            <x v="2"/>
          </reference>
        </references>
      </pivotArea>
    </chartFormat>
    <chartFormat chart="10" format="23">
      <pivotArea type="data" outline="0" fieldPosition="0">
        <references count="2">
          <reference field="4294967294" count="1" selected="0">
            <x v="0"/>
          </reference>
          <reference field="21" count="1" selected="0">
            <x v="3"/>
          </reference>
        </references>
      </pivotArea>
    </chartFormat>
    <chartFormat chart="10" format="2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C14865F0-3BCB-4611-A871-A34099093504}" sourceName="Zone">
  <pivotTables>
    <pivotTable tabId="8" name="PivotTable7"/>
    <pivotTable tabId="8" name="PivotTable10"/>
    <pivotTable tabId="8" name="PivotTable11"/>
    <pivotTable tabId="8" name="PivotTable12"/>
    <pivotTable tabId="8" name="PivotTable13"/>
    <pivotTable tabId="8" name="PivotTable14"/>
    <pivotTable tabId="8" name="PivotTable8"/>
    <pivotTable tabId="8" name="PivotTable9"/>
    <pivotTable tabId="8" name="PivotTable15"/>
    <pivotTable tabId="8" name="PivotTable17"/>
  </pivotTables>
  <data>
    <tabular pivotCacheId="1953484465">
      <items count="6">
        <i x="4" s="1"/>
        <i x="3" s="1"/>
        <i x="5"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A92F7BD-4FEF-4AA6-8576-253A90429F4C}" sourceName="State">
  <pivotTables>
    <pivotTable tabId="8" name="PivotTable7"/>
  </pivotTables>
  <data>
    <tabular pivotCacheId="1953484465">
      <items count="33">
        <i x="27" s="1"/>
        <i x="19" s="1"/>
        <i x="22" s="1"/>
        <i x="21" s="1"/>
        <i x="30" s="1"/>
        <i x="24" s="1"/>
        <i x="28" s="1"/>
        <i x="0" s="1"/>
        <i x="5" s="1"/>
        <i x="6" s="1"/>
        <i x="31" s="1"/>
        <i x="12" s="1"/>
        <i x="15" s="1"/>
        <i x="29" s="1"/>
        <i x="2" s="1"/>
        <i x="9" s="1"/>
        <i x="16" s="1"/>
        <i x="11" s="1"/>
        <i x="10" s="1"/>
        <i x="1" s="1"/>
        <i x="32" s="1"/>
        <i x="25" s="1"/>
        <i x="17" s="1"/>
        <i x="26" s="1"/>
        <i x="8" s="1"/>
        <i x="7" s="1"/>
        <i x="20" s="1"/>
        <i x="18" s="1"/>
        <i x="3" s="1"/>
        <i x="23" s="1"/>
        <i x="14" s="1"/>
        <i x="1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1E73EC6-52E5-476C-852E-A9141BA64CE4}" sourceName="Type">
  <pivotTables>
    <pivotTable tabId="8" name="PivotTable7"/>
    <pivotTable tabId="8" name="PivotTable10"/>
    <pivotTable tabId="8" name="PivotTable11"/>
    <pivotTable tabId="8" name="PivotTable12"/>
    <pivotTable tabId="8" name="PivotTable13"/>
    <pivotTable tabId="8" name="PivotTable14"/>
    <pivotTable tabId="8" name="PivotTable15"/>
    <pivotTable tabId="8" name="PivotTable8"/>
    <pivotTable tabId="8" name="PivotTable9"/>
    <pivotTable tabId="8" name="PivotTable17"/>
  </pivotTables>
  <data>
    <tabular pivotCacheId="1953484465">
      <items count="78">
        <i x="52" s="1"/>
        <i x="17" s="1"/>
        <i x="66" s="1"/>
        <i x="16" s="1"/>
        <i x="30" s="1"/>
        <i x="38" s="1"/>
        <i x="19" s="1"/>
        <i x="25" s="1"/>
        <i x="43" s="1"/>
        <i x="28" s="1"/>
        <i x="75" s="1"/>
        <i x="59" s="1"/>
        <i x="26" s="1"/>
        <i x="32" s="1"/>
        <i x="64" s="1"/>
        <i x="73" s="1"/>
        <i x="23" s="1"/>
        <i x="6" s="1"/>
        <i x="57" s="1"/>
        <i x="20" s="1"/>
        <i x="61" s="1"/>
        <i x="54" s="1"/>
        <i x="60" s="1"/>
        <i x="31" s="1"/>
        <i x="68" s="1"/>
        <i x="22" s="1"/>
        <i x="21" s="1"/>
        <i x="74" s="1"/>
        <i x="5" s="1"/>
        <i x="44" s="1"/>
        <i x="37" s="1"/>
        <i x="50" s="1"/>
        <i x="11" s="1"/>
        <i x="76" s="1"/>
        <i x="42" s="1"/>
        <i x="9" s="1"/>
        <i x="14" s="1"/>
        <i x="72" s="1"/>
        <i x="4" s="1"/>
        <i x="58" s="1"/>
        <i x="18" s="1"/>
        <i x="8" s="1"/>
        <i x="48" s="1"/>
        <i x="13" s="1"/>
        <i x="77" s="1"/>
        <i x="67" s="1"/>
        <i x="15" s="1"/>
        <i x="36" s="1"/>
        <i x="69" s="1"/>
        <i x="70" s="1"/>
        <i x="40" s="1"/>
        <i x="49" s="1"/>
        <i x="12" s="1"/>
        <i x="39" s="1"/>
        <i x="35" s="1"/>
        <i x="27" s="1"/>
        <i x="55" s="1"/>
        <i x="65" s="1"/>
        <i x="7" s="1"/>
        <i x="63" s="1"/>
        <i x="56" s="1"/>
        <i x="51" s="1"/>
        <i x="2" s="1"/>
        <i x="47" s="1"/>
        <i x="3" s="1"/>
        <i x="1" s="1"/>
        <i x="24" s="1"/>
        <i x="71" s="1"/>
        <i x="53" s="1"/>
        <i x="33" s="1"/>
        <i x="46" s="1"/>
        <i x="41" s="1"/>
        <i x="62" s="1"/>
        <i x="45" s="1"/>
        <i x="0" s="1"/>
        <i x="29" s="1"/>
        <i x="34"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ry_Type" xr10:uid="{87F37DEC-0A96-4F1A-BA66-33471DE1D731}" sourceName="Entry_Type">
  <pivotTables>
    <pivotTable tabId="8" name="PivotTable7"/>
    <pivotTable tabId="8" name="PivotTable10"/>
    <pivotTable tabId="8" name="PivotTable11"/>
    <pivotTable tabId="8" name="PivotTable12"/>
    <pivotTable tabId="8" name="PivotTable13"/>
    <pivotTable tabId="8" name="PivotTable14"/>
    <pivotTable tabId="8" name="PivotTable15"/>
    <pivotTable tabId="8" name="PivotTable8"/>
    <pivotTable tabId="8" name="PivotTable9"/>
    <pivotTable tabId="8" name="PivotTable17"/>
  </pivotTables>
  <data>
    <tabular pivotCacheId="195348446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Classification" xr10:uid="{B0B662EB-2307-4E87-9A65-9C1928F364BD}" sourceName="Site Classification">
  <pivotTables>
    <pivotTable tabId="8" name="PivotTable7"/>
    <pivotTable tabId="8" name="PivotTable10"/>
    <pivotTable tabId="8" name="PivotTable11"/>
    <pivotTable tabId="8" name="PivotTable12"/>
    <pivotTable tabId="8" name="PivotTable13"/>
    <pivotTable tabId="8" name="PivotTable14"/>
    <pivotTable tabId="8" name="PivotTable15"/>
    <pivotTable tabId="8" name="PivotTable8"/>
  </pivotTables>
  <data>
    <tabular pivotCacheId="1953484465">
      <items count="5">
        <i x="0" s="1"/>
        <i x="3" s="1"/>
        <i x="1" s="1"/>
        <i x="4"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rity_Traffic" xr10:uid="{EC06DE64-C686-4CB9-BB4D-94460D1983CF}" sourceName="popularity_Traffic">
  <pivotTables>
    <pivotTable tabId="8" name="PivotTable7"/>
    <pivotTable tabId="8" name="PivotTable10"/>
    <pivotTable tabId="8" name="PivotTable11"/>
    <pivotTable tabId="8" name="PivotTable12"/>
    <pivotTable tabId="8" name="PivotTable13"/>
    <pivotTable tabId="8" name="PivotTable14"/>
    <pivotTable tabId="8" name="PivotTable15"/>
    <pivotTable tabId="8" name="PivotTable8"/>
    <pivotTable tabId="8" name="PivotTable9"/>
    <pivotTable tabId="8" name="PivotTable17"/>
  </pivotTables>
  <data>
    <tabular pivotCacheId="19534844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41367E3F-1601-4A20-B5C5-6AE6B5878632}" cache="Slicer_Zone" caption="Zone" rowHeight="234950"/>
  <slicer name="State" xr10:uid="{CD78696D-9D70-4F8E-876F-9C3429F2A128}" cache="Slicer_State" caption="State" startItem="14" rowHeight="234950"/>
  <slicer name="Type" xr10:uid="{862ACEAD-98B0-41E4-82EE-F81817B6CD7C}" cache="Slicer_Type" caption="Type" rowHeight="234950"/>
  <slicer name="Entry_Type" xr10:uid="{19D34F51-8D1A-46F5-B9F5-5787A59565B1}" cache="Slicer_Entry_Type" caption="Entry_Type" rowHeight="234950"/>
  <slicer name="Site Classification" xr10:uid="{951F63AB-FFED-40DC-A421-930E55747A36}" cache="Slicer_Site_Classification" caption="Site Classification" rowHeight="234950"/>
  <slicer name="popularity_Traffic" xr10:uid="{6E55CA80-C140-4EAC-A682-05A41B168CDD}" cache="Slicer_popularity_Traffic" caption="popularity_Traffi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5FCEF56E-FBC0-4B7F-85EA-73F1BBB175F0}" cache="Slicer_Zone" caption="Zone" rowHeight="234950"/>
  <slicer name="Type 1" xr10:uid="{A704EFFA-677A-4B20-8055-6FBA1B26029D}" cache="Slicer_Type" caption="Type" rowHeight="234950"/>
  <slicer name="Entry_Type 1" xr10:uid="{3715ED38-161D-4DE2-ADE3-CBBFB3861015}" cache="Slicer_Entry_Type" caption="Entry_Type" rowHeight="234950"/>
  <slicer name="popularity_Traffic 1" xr10:uid="{E8A0524F-2C3E-4197-B38A-5905CB356BA5}" cache="Slicer_popularity_Traffic" caption="popularity_Traffi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Y326" totalsRowShown="0" headerRowDxfId="26" dataDxfId="25">
  <autoFilter ref="A1:Y326" xr:uid="{00000000-000C-0000-FFFF-FFFF01000000}"/>
  <tableColumns count="25">
    <tableColumn id="1" xr3:uid="{00000000-0010-0000-0100-000001000000}" name="Zone" dataDxfId="24"/>
    <tableColumn id="2" xr3:uid="{00000000-0010-0000-0100-000002000000}" name="State" dataDxfId="23"/>
    <tableColumn id="3" xr3:uid="{00000000-0010-0000-0100-000003000000}" name="City" dataDxfId="22"/>
    <tableColumn id="4" xr3:uid="{00000000-0010-0000-0100-000004000000}" name="Name" dataDxfId="21"/>
    <tableColumn id="5" xr3:uid="{00000000-0010-0000-0100-000005000000}" name="Type" dataDxfId="20"/>
    <tableColumn id="6" xr3:uid="{00000000-0010-0000-0100-000006000000}" name="Establishment_Year" dataDxfId="19"/>
    <tableColumn id="7" xr3:uid="{00000000-0010-0000-0100-000007000000}" name="Visit_Time_Hrs" dataDxfId="18"/>
    <tableColumn id="8" xr3:uid="{00000000-0010-0000-0100-000008000000}" name="Reiew_Rating" dataDxfId="17"/>
    <tableColumn id="17" xr3:uid="{00000000-0010-0000-0100-000011000000}" name="Rating_Category" dataDxfId="16">
      <calculatedColumnFormula>IF(Table13[[#This Row],[Reiew_Rating]]&gt;=4.5,"Excellent",
IF(Table13[[#This Row],[Reiew_Rating]]&gt;=4,"Good","Average"))</calculatedColumnFormula>
    </tableColumn>
    <tableColumn id="9" xr3:uid="{00000000-0010-0000-0100-000009000000}" name="Entrance_Fee_INR" dataDxfId="15"/>
    <tableColumn id="10" xr3:uid="{00000000-0010-0000-0100-00000A000000}" name="Entry_Type" dataDxfId="14">
      <calculatedColumnFormula>IF(Table13[[#This Row],[Entrance_Fee_INR]]=0,"Free","Paid")</calculatedColumnFormula>
    </tableColumn>
    <tableColumn id="11" xr3:uid="{00000000-0010-0000-0100-00000B000000}" name="Airport_50km_Radius" dataDxfId="13"/>
    <tableColumn id="12" xr3:uid="{00000000-0010-0000-0100-00000C000000}" name="Weekly_Off" dataDxfId="12"/>
    <tableColumn id="13" xr3:uid="{00000000-0010-0000-0100-00000D000000}" name="Significance" dataDxfId="11"/>
    <tableColumn id="14" xr3:uid="{00000000-0010-0000-0100-00000E000000}" name="DSLR_Allowed" dataDxfId="10"/>
    <tableColumn id="15" xr3:uid="{00000000-0010-0000-0100-00000F000000}" name="Number_Review_Lakhs" dataDxfId="9"/>
    <tableColumn id="16" xr3:uid="{00000000-0010-0000-0100-000010000000}" name="Best_Time_to_visit" dataDxfId="8"/>
    <tableColumn id="18" xr3:uid="{00000000-0010-0000-0100-000012000000}" name="Popularity" dataDxfId="7">
      <calculatedColumnFormula>IF(Table13[[#This Row],[Number_Review_Lakhs]]&gt;=1,"Highly Popular", IF(Table13[[#This Row],[Number_Review_Lakhs]]&gt;=0.5,"Popular","Less Popular"))</calculatedColumnFormula>
    </tableColumn>
    <tableColumn id="19" xr3:uid="{00000000-0010-0000-0100-000013000000}" name="Visit_Duration" dataDxfId="6">
      <calculatedColumnFormula>IF(Table13[[#This Row],[Visit_Time_Hrs]]&lt;=2,"Short Visit", IF(Table13[[#This Row],[Visit_Time_Hrs]]&lt;=5,"Medium Visit","Full Day"))</calculatedColumnFormula>
    </tableColumn>
    <tableColumn id="20" xr3:uid="{00000000-0010-0000-0100-000014000000}" name="Airport_Access" dataDxfId="5">
      <calculatedColumnFormula>IF(Table13[[#This Row],[Airport_50km_Radius]]="Yes","Accessible","Remote")</calculatedColumnFormula>
    </tableColumn>
    <tableColumn id="23" xr3:uid="{00000000-0010-0000-0100-000017000000}" name="Top_Rated" dataDxfId="4">
      <calculatedColumnFormula>IF(Table13[[#This Row],[Reiew_Rating]]&gt;=4.7,"Yes","No")</calculatedColumnFormula>
    </tableColumn>
    <tableColumn id="21" xr3:uid="{00000000-0010-0000-0100-000015000000}" name="Site Classification" dataDxfId="3">
      <calculatedColumnFormula>IF(OR(N2="Historical",N2="Artistic",N2="Religious",N2="Architectural"), "Heritage &amp; Culture",
IF(OR(N2="Environmental",N2="Botanical",N2="Scenic",N2="Wildlife",N2="Nature"), "Nature &amp; Wildlife",
IF(OR(N2="Recreational",N2="Market",N2="Entertainment"), "Leisure &amp; Commerce",
IF(N2="Scientific", "Science &amp; Education", "Other"))))</calculatedColumnFormula>
    </tableColumn>
    <tableColumn id="25" xr3:uid="{00000000-0010-0000-0100-000019000000}" name="Column1" dataDxfId="2">
      <calculatedColumnFormula>REPT("★", ROUND(H2, 0)) &amp; REPT("☆", 5 - ROUND(H2, 0))</calculatedColumnFormula>
    </tableColumn>
    <tableColumn id="26" xr3:uid="{00000000-0010-0000-0100-00001A000000}" name="Star_rating" dataDxfId="1">
      <calculatedColumnFormula>ROUND(H2, 0) &amp; " / 5 Stars"</calculatedColumnFormula>
    </tableColumn>
    <tableColumn id="27" xr3:uid="{00000000-0010-0000-0100-00001B000000}" name="popularity_Traffic" dataDxfId="0">
      <calculatedColumnFormula>IF(P2&gt;=1.5, "High Traffic", IF(P2&gt;=0.4, "Medium Traffic", "Low Traffic"))</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6"/>
  <sheetViews>
    <sheetView workbookViewId="0"/>
  </sheetViews>
  <sheetFormatPr defaultRowHeight="14.4" x14ac:dyDescent="0.3"/>
  <sheetData>
    <row r="1" spans="1:16" x14ac:dyDescent="0.3">
      <c r="B1" t="s">
        <v>0</v>
      </c>
      <c r="C1" t="s">
        <v>1</v>
      </c>
      <c r="D1" t="s">
        <v>2</v>
      </c>
      <c r="E1" t="s">
        <v>3</v>
      </c>
      <c r="F1" t="s">
        <v>4</v>
      </c>
      <c r="G1" t="s">
        <v>5</v>
      </c>
      <c r="H1" t="s">
        <v>6</v>
      </c>
      <c r="I1" t="s">
        <v>7</v>
      </c>
      <c r="J1" t="s">
        <v>8</v>
      </c>
      <c r="K1" t="s">
        <v>9</v>
      </c>
      <c r="L1" t="s">
        <v>10</v>
      </c>
      <c r="M1" t="s">
        <v>11</v>
      </c>
      <c r="N1" t="s">
        <v>12</v>
      </c>
      <c r="O1" t="s">
        <v>13</v>
      </c>
      <c r="P1" t="s">
        <v>14</v>
      </c>
    </row>
    <row r="2" spans="1:16" x14ac:dyDescent="0.3">
      <c r="A2">
        <v>0</v>
      </c>
      <c r="B2" t="s">
        <v>15</v>
      </c>
      <c r="C2" t="s">
        <v>16</v>
      </c>
      <c r="D2" t="s">
        <v>16</v>
      </c>
      <c r="E2" t="s">
        <v>17</v>
      </c>
      <c r="F2" t="s">
        <v>18</v>
      </c>
      <c r="G2">
        <v>1921</v>
      </c>
      <c r="H2">
        <v>0.5</v>
      </c>
      <c r="I2">
        <v>4.5999999999999996</v>
      </c>
      <c r="J2">
        <v>0</v>
      </c>
      <c r="K2" t="s">
        <v>19</v>
      </c>
      <c r="L2" t="s">
        <v>20</v>
      </c>
      <c r="M2" t="s">
        <v>21</v>
      </c>
      <c r="N2" t="s">
        <v>19</v>
      </c>
      <c r="O2">
        <v>2.6</v>
      </c>
      <c r="P2" t="s">
        <v>22</v>
      </c>
    </row>
    <row r="3" spans="1:16" x14ac:dyDescent="0.3">
      <c r="A3">
        <v>1</v>
      </c>
      <c r="B3" t="s">
        <v>15</v>
      </c>
      <c r="C3" t="s">
        <v>16</v>
      </c>
      <c r="D3" t="s">
        <v>16</v>
      </c>
      <c r="E3" t="s">
        <v>23</v>
      </c>
      <c r="F3" t="s">
        <v>24</v>
      </c>
      <c r="G3">
        <v>1572</v>
      </c>
      <c r="H3">
        <v>2</v>
      </c>
      <c r="I3">
        <v>4.5</v>
      </c>
      <c r="J3">
        <v>30</v>
      </c>
      <c r="K3" t="s">
        <v>19</v>
      </c>
      <c r="L3" t="s">
        <v>20</v>
      </c>
      <c r="M3" t="s">
        <v>21</v>
      </c>
      <c r="N3" t="s">
        <v>19</v>
      </c>
      <c r="O3">
        <v>0.4</v>
      </c>
      <c r="P3" t="s">
        <v>25</v>
      </c>
    </row>
    <row r="4" spans="1:16" x14ac:dyDescent="0.3">
      <c r="A4">
        <v>2</v>
      </c>
      <c r="B4" t="s">
        <v>15</v>
      </c>
      <c r="C4" t="s">
        <v>16</v>
      </c>
      <c r="D4" t="s">
        <v>16</v>
      </c>
      <c r="E4" t="s">
        <v>26</v>
      </c>
      <c r="F4" t="s">
        <v>27</v>
      </c>
      <c r="G4">
        <v>2005</v>
      </c>
      <c r="H4">
        <v>5</v>
      </c>
      <c r="I4">
        <v>4.5999999999999996</v>
      </c>
      <c r="J4">
        <v>60</v>
      </c>
      <c r="K4" t="s">
        <v>19</v>
      </c>
      <c r="L4" t="s">
        <v>20</v>
      </c>
      <c r="M4" t="s">
        <v>28</v>
      </c>
      <c r="N4" t="s">
        <v>29</v>
      </c>
      <c r="O4">
        <v>0.4</v>
      </c>
      <c r="P4" t="s">
        <v>25</v>
      </c>
    </row>
    <row r="5" spans="1:16" x14ac:dyDescent="0.3">
      <c r="A5">
        <v>3</v>
      </c>
      <c r="B5" t="s">
        <v>15</v>
      </c>
      <c r="C5" t="s">
        <v>16</v>
      </c>
      <c r="D5" t="s">
        <v>16</v>
      </c>
      <c r="E5" t="s">
        <v>30</v>
      </c>
      <c r="F5" t="s">
        <v>31</v>
      </c>
      <c r="G5">
        <v>2019</v>
      </c>
      <c r="H5">
        <v>2</v>
      </c>
      <c r="I5">
        <v>4.0999999999999996</v>
      </c>
      <c r="J5">
        <v>50</v>
      </c>
      <c r="K5" t="s">
        <v>19</v>
      </c>
      <c r="L5" t="s">
        <v>32</v>
      </c>
      <c r="M5" t="s">
        <v>33</v>
      </c>
      <c r="N5" t="s">
        <v>19</v>
      </c>
      <c r="O5">
        <v>0.27</v>
      </c>
      <c r="P5" t="s">
        <v>22</v>
      </c>
    </row>
    <row r="6" spans="1:16" x14ac:dyDescent="0.3">
      <c r="A6">
        <v>4</v>
      </c>
      <c r="B6" t="s">
        <v>15</v>
      </c>
      <c r="C6" t="s">
        <v>16</v>
      </c>
      <c r="D6" t="s">
        <v>16</v>
      </c>
      <c r="E6" t="s">
        <v>34</v>
      </c>
      <c r="F6" t="s">
        <v>35</v>
      </c>
      <c r="G6">
        <v>1724</v>
      </c>
      <c r="H6">
        <v>2</v>
      </c>
      <c r="I6">
        <v>4.2</v>
      </c>
      <c r="J6">
        <v>15</v>
      </c>
      <c r="K6" t="s">
        <v>19</v>
      </c>
      <c r="L6" t="s">
        <v>20</v>
      </c>
      <c r="M6" t="s">
        <v>36</v>
      </c>
      <c r="N6" t="s">
        <v>19</v>
      </c>
      <c r="O6">
        <v>0.31</v>
      </c>
      <c r="P6" t="s">
        <v>37</v>
      </c>
    </row>
    <row r="7" spans="1:16" x14ac:dyDescent="0.3">
      <c r="A7">
        <v>5</v>
      </c>
      <c r="B7" t="s">
        <v>15</v>
      </c>
      <c r="C7" t="s">
        <v>16</v>
      </c>
      <c r="D7" t="s">
        <v>16</v>
      </c>
      <c r="E7" t="s">
        <v>38</v>
      </c>
      <c r="F7" t="s">
        <v>39</v>
      </c>
      <c r="G7">
        <v>1700</v>
      </c>
      <c r="H7">
        <v>3</v>
      </c>
      <c r="I7">
        <v>4.2</v>
      </c>
      <c r="J7">
        <v>0</v>
      </c>
      <c r="K7" t="s">
        <v>19</v>
      </c>
      <c r="L7" t="s">
        <v>40</v>
      </c>
      <c r="M7" t="s">
        <v>39</v>
      </c>
      <c r="N7" t="s">
        <v>19</v>
      </c>
      <c r="O7">
        <v>0.25</v>
      </c>
      <c r="P7" t="s">
        <v>25</v>
      </c>
    </row>
    <row r="8" spans="1:16" x14ac:dyDescent="0.3">
      <c r="A8">
        <v>6</v>
      </c>
      <c r="B8" t="s">
        <v>15</v>
      </c>
      <c r="C8" t="s">
        <v>16</v>
      </c>
      <c r="D8" t="s">
        <v>16</v>
      </c>
      <c r="E8" t="s">
        <v>41</v>
      </c>
      <c r="F8" t="s">
        <v>27</v>
      </c>
      <c r="G8">
        <v>1986</v>
      </c>
      <c r="H8">
        <v>1</v>
      </c>
      <c r="I8">
        <v>4.5</v>
      </c>
      <c r="J8">
        <v>0</v>
      </c>
      <c r="K8" t="s">
        <v>19</v>
      </c>
      <c r="L8" t="s">
        <v>32</v>
      </c>
      <c r="M8" t="s">
        <v>28</v>
      </c>
      <c r="N8" t="s">
        <v>19</v>
      </c>
      <c r="O8">
        <v>0.59</v>
      </c>
      <c r="P8" t="s">
        <v>22</v>
      </c>
    </row>
    <row r="9" spans="1:16" x14ac:dyDescent="0.3">
      <c r="A9">
        <v>7</v>
      </c>
      <c r="B9" t="s">
        <v>15</v>
      </c>
      <c r="C9" t="s">
        <v>16</v>
      </c>
      <c r="D9" t="s">
        <v>16</v>
      </c>
      <c r="E9" t="s">
        <v>42</v>
      </c>
      <c r="F9" t="s">
        <v>43</v>
      </c>
      <c r="G9">
        <v>1648</v>
      </c>
      <c r="H9">
        <v>2</v>
      </c>
      <c r="I9">
        <v>4.5</v>
      </c>
      <c r="J9">
        <v>35</v>
      </c>
      <c r="K9" t="s">
        <v>19</v>
      </c>
      <c r="L9" t="s">
        <v>20</v>
      </c>
      <c r="M9" t="s">
        <v>21</v>
      </c>
      <c r="N9" t="s">
        <v>19</v>
      </c>
      <c r="O9">
        <v>1.5</v>
      </c>
      <c r="P9" t="s">
        <v>25</v>
      </c>
    </row>
    <row r="10" spans="1:16" x14ac:dyDescent="0.3">
      <c r="A10">
        <v>8</v>
      </c>
      <c r="B10" t="s">
        <v>15</v>
      </c>
      <c r="C10" t="s">
        <v>16</v>
      </c>
      <c r="D10" t="s">
        <v>16</v>
      </c>
      <c r="E10" t="s">
        <v>44</v>
      </c>
      <c r="F10" t="s">
        <v>45</v>
      </c>
      <c r="G10">
        <v>1400</v>
      </c>
      <c r="H10">
        <v>1</v>
      </c>
      <c r="I10">
        <v>4.2</v>
      </c>
      <c r="J10">
        <v>0</v>
      </c>
      <c r="K10" t="s">
        <v>19</v>
      </c>
      <c r="L10" t="s">
        <v>20</v>
      </c>
      <c r="M10" t="s">
        <v>21</v>
      </c>
      <c r="N10" t="s">
        <v>19</v>
      </c>
      <c r="O10">
        <v>0.41</v>
      </c>
      <c r="P10" t="s">
        <v>25</v>
      </c>
    </row>
    <row r="11" spans="1:16" x14ac:dyDescent="0.3">
      <c r="A11">
        <v>9</v>
      </c>
      <c r="B11" t="s">
        <v>15</v>
      </c>
      <c r="C11" t="s">
        <v>16</v>
      </c>
      <c r="D11" t="s">
        <v>16</v>
      </c>
      <c r="E11" t="s">
        <v>46</v>
      </c>
      <c r="F11" t="s">
        <v>47</v>
      </c>
      <c r="G11">
        <v>1600</v>
      </c>
      <c r="H11">
        <v>2</v>
      </c>
      <c r="I11">
        <v>4.5999999999999996</v>
      </c>
      <c r="J11">
        <v>0</v>
      </c>
      <c r="K11" t="s">
        <v>19</v>
      </c>
      <c r="L11" t="s">
        <v>20</v>
      </c>
      <c r="M11" t="s">
        <v>48</v>
      </c>
      <c r="N11" t="s">
        <v>19</v>
      </c>
      <c r="O11">
        <v>0.16</v>
      </c>
      <c r="P11" t="s">
        <v>25</v>
      </c>
    </row>
    <row r="12" spans="1:16" x14ac:dyDescent="0.3">
      <c r="A12">
        <v>10</v>
      </c>
      <c r="B12" t="s">
        <v>15</v>
      </c>
      <c r="C12" t="s">
        <v>16</v>
      </c>
      <c r="D12" t="s">
        <v>16</v>
      </c>
      <c r="E12" t="s">
        <v>49</v>
      </c>
      <c r="F12" t="s">
        <v>47</v>
      </c>
      <c r="G12">
        <v>2003</v>
      </c>
      <c r="H12">
        <v>2</v>
      </c>
      <c r="I12">
        <v>4.0999999999999996</v>
      </c>
      <c r="J12">
        <v>35</v>
      </c>
      <c r="K12" t="s">
        <v>19</v>
      </c>
      <c r="L12" t="s">
        <v>20</v>
      </c>
      <c r="M12" t="s">
        <v>48</v>
      </c>
      <c r="N12" t="s">
        <v>19</v>
      </c>
      <c r="O12">
        <v>0.23</v>
      </c>
      <c r="P12" t="s">
        <v>37</v>
      </c>
    </row>
    <row r="13" spans="1:16" x14ac:dyDescent="0.3">
      <c r="A13">
        <v>11</v>
      </c>
      <c r="B13" t="s">
        <v>15</v>
      </c>
      <c r="C13" t="s">
        <v>16</v>
      </c>
      <c r="D13" t="s">
        <v>16</v>
      </c>
      <c r="E13" t="s">
        <v>50</v>
      </c>
      <c r="F13" t="s">
        <v>47</v>
      </c>
      <c r="G13">
        <v>1500</v>
      </c>
      <c r="H13">
        <v>1</v>
      </c>
      <c r="I13">
        <v>4.5</v>
      </c>
      <c r="J13">
        <v>0</v>
      </c>
      <c r="K13" t="s">
        <v>19</v>
      </c>
      <c r="L13" t="s">
        <v>20</v>
      </c>
      <c r="M13" t="s">
        <v>48</v>
      </c>
      <c r="N13" t="s">
        <v>19</v>
      </c>
      <c r="O13">
        <v>0.48</v>
      </c>
      <c r="P13" t="s">
        <v>51</v>
      </c>
    </row>
    <row r="14" spans="1:16" x14ac:dyDescent="0.3">
      <c r="A14">
        <v>12</v>
      </c>
      <c r="B14" t="s">
        <v>15</v>
      </c>
      <c r="C14" t="s">
        <v>16</v>
      </c>
      <c r="D14" t="s">
        <v>16</v>
      </c>
      <c r="E14" t="s">
        <v>52</v>
      </c>
      <c r="F14" t="s">
        <v>53</v>
      </c>
      <c r="G14">
        <v>1954</v>
      </c>
      <c r="H14">
        <v>3</v>
      </c>
      <c r="I14">
        <v>4.5</v>
      </c>
      <c r="J14">
        <v>20</v>
      </c>
      <c r="K14" t="s">
        <v>19</v>
      </c>
      <c r="L14" t="s">
        <v>32</v>
      </c>
      <c r="M14" t="s">
        <v>54</v>
      </c>
      <c r="N14" t="s">
        <v>19</v>
      </c>
      <c r="O14">
        <v>0.08</v>
      </c>
      <c r="P14" t="s">
        <v>51</v>
      </c>
    </row>
    <row r="15" spans="1:16" x14ac:dyDescent="0.3">
      <c r="A15">
        <v>13</v>
      </c>
      <c r="B15" t="s">
        <v>15</v>
      </c>
      <c r="C15" t="s">
        <v>16</v>
      </c>
      <c r="D15" t="s">
        <v>16</v>
      </c>
      <c r="E15" t="s">
        <v>55</v>
      </c>
      <c r="F15" t="s">
        <v>56</v>
      </c>
      <c r="G15">
        <v>1959</v>
      </c>
      <c r="H15">
        <v>3</v>
      </c>
      <c r="I15">
        <v>4.0999999999999996</v>
      </c>
      <c r="J15">
        <v>80</v>
      </c>
      <c r="K15" t="s">
        <v>19</v>
      </c>
      <c r="L15" t="s">
        <v>57</v>
      </c>
      <c r="M15" t="s">
        <v>33</v>
      </c>
      <c r="N15" t="s">
        <v>19</v>
      </c>
      <c r="O15">
        <v>0.41</v>
      </c>
      <c r="P15" t="s">
        <v>51</v>
      </c>
    </row>
    <row r="16" spans="1:16" x14ac:dyDescent="0.3">
      <c r="A16">
        <v>14</v>
      </c>
      <c r="B16" t="s">
        <v>15</v>
      </c>
      <c r="C16" t="s">
        <v>16</v>
      </c>
      <c r="D16" t="s">
        <v>16</v>
      </c>
      <c r="E16" t="s">
        <v>58</v>
      </c>
      <c r="F16" t="s">
        <v>59</v>
      </c>
      <c r="G16">
        <v>1192</v>
      </c>
      <c r="H16">
        <v>1</v>
      </c>
      <c r="I16">
        <v>4.5</v>
      </c>
      <c r="J16">
        <v>35</v>
      </c>
      <c r="K16" t="s">
        <v>19</v>
      </c>
      <c r="L16" t="s">
        <v>20</v>
      </c>
      <c r="M16" t="s">
        <v>21</v>
      </c>
      <c r="N16" t="s">
        <v>19</v>
      </c>
      <c r="O16">
        <v>1.37</v>
      </c>
      <c r="P16" t="s">
        <v>25</v>
      </c>
    </row>
    <row r="17" spans="1:16" x14ac:dyDescent="0.3">
      <c r="A17">
        <v>15</v>
      </c>
      <c r="B17" t="s">
        <v>15</v>
      </c>
      <c r="C17" t="s">
        <v>16</v>
      </c>
      <c r="D17" t="s">
        <v>16</v>
      </c>
      <c r="E17" t="s">
        <v>60</v>
      </c>
      <c r="F17" t="s">
        <v>61</v>
      </c>
      <c r="G17">
        <v>1992</v>
      </c>
      <c r="H17">
        <v>5</v>
      </c>
      <c r="I17">
        <v>4.4000000000000004</v>
      </c>
      <c r="J17">
        <v>70</v>
      </c>
      <c r="K17" t="s">
        <v>19</v>
      </c>
      <c r="L17" t="s">
        <v>20</v>
      </c>
      <c r="M17" t="s">
        <v>36</v>
      </c>
      <c r="N17" t="s">
        <v>19</v>
      </c>
      <c r="O17">
        <v>0.23</v>
      </c>
      <c r="P17" t="s">
        <v>51</v>
      </c>
    </row>
    <row r="18" spans="1:16" x14ac:dyDescent="0.3">
      <c r="A18">
        <v>16</v>
      </c>
      <c r="B18" t="s">
        <v>62</v>
      </c>
      <c r="C18" t="s">
        <v>63</v>
      </c>
      <c r="D18" t="s">
        <v>64</v>
      </c>
      <c r="E18" t="s">
        <v>65</v>
      </c>
      <c r="F18" t="s">
        <v>66</v>
      </c>
      <c r="G18" t="s">
        <v>67</v>
      </c>
      <c r="H18">
        <v>2</v>
      </c>
      <c r="I18">
        <v>4.5</v>
      </c>
      <c r="J18">
        <v>0</v>
      </c>
      <c r="K18" t="s">
        <v>19</v>
      </c>
      <c r="L18" t="s">
        <v>20</v>
      </c>
      <c r="M18" t="s">
        <v>68</v>
      </c>
      <c r="N18" t="s">
        <v>19</v>
      </c>
      <c r="O18">
        <v>1.5</v>
      </c>
      <c r="P18" t="s">
        <v>22</v>
      </c>
    </row>
    <row r="19" spans="1:16" x14ac:dyDescent="0.3">
      <c r="A19">
        <v>17</v>
      </c>
      <c r="B19" t="s">
        <v>62</v>
      </c>
      <c r="C19" t="s">
        <v>63</v>
      </c>
      <c r="D19" t="s">
        <v>64</v>
      </c>
      <c r="E19" t="s">
        <v>69</v>
      </c>
      <c r="F19" t="s">
        <v>59</v>
      </c>
      <c r="G19">
        <v>1924</v>
      </c>
      <c r="H19">
        <v>1</v>
      </c>
      <c r="I19">
        <v>4.5999999999999996</v>
      </c>
      <c r="J19">
        <v>0</v>
      </c>
      <c r="K19" t="s">
        <v>19</v>
      </c>
      <c r="L19" t="s">
        <v>20</v>
      </c>
      <c r="M19" t="s">
        <v>21</v>
      </c>
      <c r="N19" t="s">
        <v>19</v>
      </c>
      <c r="O19">
        <v>3.6</v>
      </c>
      <c r="P19" t="s">
        <v>51</v>
      </c>
    </row>
    <row r="20" spans="1:16" x14ac:dyDescent="0.3">
      <c r="A20">
        <v>18</v>
      </c>
      <c r="B20" t="s">
        <v>62</v>
      </c>
      <c r="C20" t="s">
        <v>63</v>
      </c>
      <c r="D20" t="s">
        <v>64</v>
      </c>
      <c r="E20" t="s">
        <v>70</v>
      </c>
      <c r="F20" t="s">
        <v>53</v>
      </c>
      <c r="G20">
        <v>1922</v>
      </c>
      <c r="H20">
        <v>1</v>
      </c>
      <c r="I20">
        <v>4.5999999999999996</v>
      </c>
      <c r="J20">
        <v>500</v>
      </c>
      <c r="K20" t="s">
        <v>19</v>
      </c>
      <c r="L20" t="s">
        <v>20</v>
      </c>
      <c r="M20" t="s">
        <v>21</v>
      </c>
      <c r="N20" t="s">
        <v>19</v>
      </c>
      <c r="O20">
        <v>0.34</v>
      </c>
      <c r="P20" t="s">
        <v>51</v>
      </c>
    </row>
    <row r="21" spans="1:16" x14ac:dyDescent="0.3">
      <c r="A21">
        <v>19</v>
      </c>
      <c r="B21" t="s">
        <v>62</v>
      </c>
      <c r="C21" t="s">
        <v>63</v>
      </c>
      <c r="D21" t="s">
        <v>64</v>
      </c>
      <c r="E21" t="s">
        <v>71</v>
      </c>
      <c r="F21" t="s">
        <v>72</v>
      </c>
      <c r="G21">
        <v>1996</v>
      </c>
      <c r="H21">
        <v>3</v>
      </c>
      <c r="I21">
        <v>4.3</v>
      </c>
      <c r="J21">
        <v>50</v>
      </c>
      <c r="K21" t="s">
        <v>19</v>
      </c>
      <c r="L21" t="s">
        <v>32</v>
      </c>
      <c r="M21" t="s">
        <v>73</v>
      </c>
      <c r="N21" t="s">
        <v>19</v>
      </c>
      <c r="O21">
        <v>0.6</v>
      </c>
      <c r="P21" t="s">
        <v>51</v>
      </c>
    </row>
    <row r="22" spans="1:16" x14ac:dyDescent="0.3">
      <c r="A22">
        <v>20</v>
      </c>
      <c r="B22" t="s">
        <v>62</v>
      </c>
      <c r="C22" t="s">
        <v>63</v>
      </c>
      <c r="D22" t="s">
        <v>64</v>
      </c>
      <c r="E22" t="s">
        <v>74</v>
      </c>
      <c r="F22" t="s">
        <v>27</v>
      </c>
      <c r="G22">
        <v>1881</v>
      </c>
      <c r="H22">
        <v>2</v>
      </c>
      <c r="I22">
        <v>4.8</v>
      </c>
      <c r="J22">
        <v>0</v>
      </c>
      <c r="K22" t="s">
        <v>19</v>
      </c>
      <c r="L22" t="s">
        <v>20</v>
      </c>
      <c r="M22" t="s">
        <v>28</v>
      </c>
      <c r="N22" t="s">
        <v>29</v>
      </c>
      <c r="O22">
        <v>1.05</v>
      </c>
      <c r="P22" t="s">
        <v>51</v>
      </c>
    </row>
    <row r="23" spans="1:16" x14ac:dyDescent="0.3">
      <c r="A23">
        <v>21</v>
      </c>
      <c r="B23" t="s">
        <v>62</v>
      </c>
      <c r="C23" t="s">
        <v>63</v>
      </c>
      <c r="D23" t="s">
        <v>64</v>
      </c>
      <c r="E23" t="s">
        <v>75</v>
      </c>
      <c r="F23" t="s">
        <v>27</v>
      </c>
      <c r="G23">
        <v>1831</v>
      </c>
      <c r="H23">
        <v>1</v>
      </c>
      <c r="I23">
        <v>4.7</v>
      </c>
      <c r="J23">
        <v>0</v>
      </c>
      <c r="K23" t="s">
        <v>19</v>
      </c>
      <c r="L23" t="s">
        <v>20</v>
      </c>
      <c r="M23" t="s">
        <v>28</v>
      </c>
      <c r="N23" t="s">
        <v>29</v>
      </c>
      <c r="O23">
        <v>0.33</v>
      </c>
      <c r="P23" t="s">
        <v>51</v>
      </c>
    </row>
    <row r="24" spans="1:16" x14ac:dyDescent="0.3">
      <c r="A24">
        <v>22</v>
      </c>
      <c r="B24" t="s">
        <v>62</v>
      </c>
      <c r="C24" t="s">
        <v>63</v>
      </c>
      <c r="D24" t="s">
        <v>64</v>
      </c>
      <c r="E24" t="s">
        <v>76</v>
      </c>
      <c r="F24" t="s">
        <v>77</v>
      </c>
      <c r="G24">
        <v>1431</v>
      </c>
      <c r="H24">
        <v>2</v>
      </c>
      <c r="I24">
        <v>4.4000000000000004</v>
      </c>
      <c r="J24">
        <v>0</v>
      </c>
      <c r="K24" t="s">
        <v>19</v>
      </c>
      <c r="L24" t="s">
        <v>20</v>
      </c>
      <c r="M24" t="s">
        <v>28</v>
      </c>
      <c r="N24" t="s">
        <v>29</v>
      </c>
      <c r="O24">
        <v>0.16</v>
      </c>
      <c r="P24" t="s">
        <v>51</v>
      </c>
    </row>
    <row r="25" spans="1:16" x14ac:dyDescent="0.3">
      <c r="A25">
        <v>23</v>
      </c>
      <c r="B25" t="s">
        <v>62</v>
      </c>
      <c r="C25" t="s">
        <v>63</v>
      </c>
      <c r="D25" t="s">
        <v>64</v>
      </c>
      <c r="E25" t="s">
        <v>78</v>
      </c>
      <c r="F25" t="s">
        <v>79</v>
      </c>
      <c r="G25" t="s">
        <v>67</v>
      </c>
      <c r="H25">
        <v>2</v>
      </c>
      <c r="I25">
        <v>4.3</v>
      </c>
      <c r="J25">
        <v>0</v>
      </c>
      <c r="K25" t="s">
        <v>19</v>
      </c>
      <c r="L25" t="s">
        <v>20</v>
      </c>
      <c r="M25" t="s">
        <v>80</v>
      </c>
      <c r="N25" t="s">
        <v>19</v>
      </c>
      <c r="O25">
        <v>0.05</v>
      </c>
      <c r="P25" t="s">
        <v>22</v>
      </c>
    </row>
    <row r="26" spans="1:16" x14ac:dyDescent="0.3">
      <c r="A26">
        <v>24</v>
      </c>
      <c r="B26" t="s">
        <v>62</v>
      </c>
      <c r="C26" t="s">
        <v>63</v>
      </c>
      <c r="D26" t="s">
        <v>64</v>
      </c>
      <c r="E26" t="s">
        <v>81</v>
      </c>
      <c r="F26" t="s">
        <v>82</v>
      </c>
      <c r="G26">
        <v>1986</v>
      </c>
      <c r="H26">
        <v>5</v>
      </c>
      <c r="I26">
        <v>4.3</v>
      </c>
      <c r="J26">
        <v>1149</v>
      </c>
      <c r="K26" t="s">
        <v>19</v>
      </c>
      <c r="L26" t="s">
        <v>20</v>
      </c>
      <c r="M26" t="s">
        <v>80</v>
      </c>
      <c r="N26" t="s">
        <v>19</v>
      </c>
      <c r="O26">
        <v>0.27</v>
      </c>
      <c r="P26" t="s">
        <v>51</v>
      </c>
    </row>
    <row r="27" spans="1:16" x14ac:dyDescent="0.3">
      <c r="A27">
        <v>25</v>
      </c>
      <c r="B27" t="s">
        <v>62</v>
      </c>
      <c r="C27" t="s">
        <v>63</v>
      </c>
      <c r="D27" t="s">
        <v>64</v>
      </c>
      <c r="E27" t="s">
        <v>83</v>
      </c>
      <c r="F27" t="s">
        <v>59</v>
      </c>
      <c r="G27">
        <v>1987</v>
      </c>
      <c r="H27">
        <v>4</v>
      </c>
      <c r="I27">
        <v>4.3</v>
      </c>
      <c r="J27">
        <v>550</v>
      </c>
      <c r="K27" t="s">
        <v>19</v>
      </c>
      <c r="L27" t="s">
        <v>20</v>
      </c>
      <c r="M27" t="s">
        <v>21</v>
      </c>
      <c r="N27" t="s">
        <v>19</v>
      </c>
      <c r="O27">
        <v>0.35</v>
      </c>
      <c r="P27" t="s">
        <v>84</v>
      </c>
    </row>
    <row r="28" spans="1:16" x14ac:dyDescent="0.3">
      <c r="A28">
        <v>26</v>
      </c>
      <c r="B28" t="s">
        <v>62</v>
      </c>
      <c r="C28" t="s">
        <v>63</v>
      </c>
      <c r="D28" t="s">
        <v>85</v>
      </c>
      <c r="E28" t="s">
        <v>86</v>
      </c>
      <c r="F28" t="s">
        <v>82</v>
      </c>
      <c r="G28">
        <v>2013</v>
      </c>
      <c r="H28">
        <v>5</v>
      </c>
      <c r="I28">
        <v>1.4</v>
      </c>
      <c r="J28">
        <v>1149</v>
      </c>
      <c r="K28" t="s">
        <v>29</v>
      </c>
      <c r="L28" t="s">
        <v>32</v>
      </c>
      <c r="M28" t="s">
        <v>80</v>
      </c>
      <c r="N28" t="s">
        <v>19</v>
      </c>
      <c r="O28">
        <v>0.95</v>
      </c>
      <c r="P28" t="s">
        <v>51</v>
      </c>
    </row>
    <row r="29" spans="1:16" x14ac:dyDescent="0.3">
      <c r="A29">
        <v>27</v>
      </c>
      <c r="B29" t="s">
        <v>87</v>
      </c>
      <c r="C29" t="s">
        <v>88</v>
      </c>
      <c r="D29" t="s">
        <v>89</v>
      </c>
      <c r="E29" t="s">
        <v>90</v>
      </c>
      <c r="F29" t="s">
        <v>91</v>
      </c>
      <c r="G29">
        <v>1878</v>
      </c>
      <c r="H29">
        <v>2</v>
      </c>
      <c r="I29">
        <v>4.2</v>
      </c>
      <c r="J29">
        <v>500</v>
      </c>
      <c r="K29" t="s">
        <v>19</v>
      </c>
      <c r="L29" t="s">
        <v>32</v>
      </c>
      <c r="M29" t="s">
        <v>21</v>
      </c>
      <c r="N29" t="s">
        <v>19</v>
      </c>
      <c r="O29">
        <v>0.9</v>
      </c>
      <c r="P29" t="s">
        <v>37</v>
      </c>
    </row>
    <row r="30" spans="1:16" x14ac:dyDescent="0.3">
      <c r="A30">
        <v>28</v>
      </c>
      <c r="B30" t="s">
        <v>87</v>
      </c>
      <c r="C30" t="s">
        <v>88</v>
      </c>
      <c r="D30" t="s">
        <v>89</v>
      </c>
      <c r="E30" t="s">
        <v>92</v>
      </c>
      <c r="F30" t="s">
        <v>93</v>
      </c>
      <c r="G30">
        <v>1760</v>
      </c>
      <c r="H30">
        <v>1.5</v>
      </c>
      <c r="I30">
        <v>4.4000000000000004</v>
      </c>
      <c r="J30">
        <v>20</v>
      </c>
      <c r="K30" t="s">
        <v>19</v>
      </c>
      <c r="L30" t="s">
        <v>20</v>
      </c>
      <c r="M30" t="s">
        <v>94</v>
      </c>
      <c r="N30" t="s">
        <v>19</v>
      </c>
      <c r="O30">
        <v>1.5</v>
      </c>
      <c r="P30" t="s">
        <v>22</v>
      </c>
    </row>
    <row r="31" spans="1:16" x14ac:dyDescent="0.3">
      <c r="A31">
        <v>29</v>
      </c>
      <c r="B31" t="s">
        <v>87</v>
      </c>
      <c r="C31" t="s">
        <v>88</v>
      </c>
      <c r="D31" t="s">
        <v>89</v>
      </c>
      <c r="E31" t="s">
        <v>95</v>
      </c>
      <c r="F31" t="s">
        <v>47</v>
      </c>
      <c r="G31">
        <v>1870</v>
      </c>
      <c r="H31">
        <v>1</v>
      </c>
      <c r="I31">
        <v>4.4000000000000004</v>
      </c>
      <c r="J31">
        <v>0</v>
      </c>
      <c r="K31" t="s">
        <v>19</v>
      </c>
      <c r="L31" t="s">
        <v>20</v>
      </c>
      <c r="M31" t="s">
        <v>94</v>
      </c>
      <c r="N31" t="s">
        <v>19</v>
      </c>
      <c r="O31">
        <v>1.32</v>
      </c>
      <c r="P31" t="s">
        <v>37</v>
      </c>
    </row>
    <row r="32" spans="1:16" x14ac:dyDescent="0.3">
      <c r="A32">
        <v>30</v>
      </c>
      <c r="B32" t="s">
        <v>87</v>
      </c>
      <c r="C32" t="s">
        <v>88</v>
      </c>
      <c r="D32" t="s">
        <v>89</v>
      </c>
      <c r="E32" t="s">
        <v>96</v>
      </c>
      <c r="F32" t="s">
        <v>97</v>
      </c>
      <c r="G32">
        <v>1956</v>
      </c>
      <c r="H32">
        <v>0.5</v>
      </c>
      <c r="I32">
        <v>4.5999999999999996</v>
      </c>
      <c r="J32">
        <v>0</v>
      </c>
      <c r="K32" t="s">
        <v>19</v>
      </c>
      <c r="L32" t="s">
        <v>20</v>
      </c>
      <c r="M32" t="s">
        <v>98</v>
      </c>
      <c r="N32" t="s">
        <v>29</v>
      </c>
      <c r="O32">
        <v>0.8</v>
      </c>
      <c r="P32" t="s">
        <v>37</v>
      </c>
    </row>
    <row r="33" spans="1:16" x14ac:dyDescent="0.3">
      <c r="A33">
        <v>31</v>
      </c>
      <c r="B33" t="s">
        <v>87</v>
      </c>
      <c r="C33" t="s">
        <v>88</v>
      </c>
      <c r="D33" t="s">
        <v>89</v>
      </c>
      <c r="E33" t="s">
        <v>99</v>
      </c>
      <c r="F33" t="s">
        <v>27</v>
      </c>
      <c r="G33">
        <v>1997</v>
      </c>
      <c r="H33">
        <v>1</v>
      </c>
      <c r="I33">
        <v>4.5999999999999996</v>
      </c>
      <c r="J33">
        <v>0</v>
      </c>
      <c r="K33" t="s">
        <v>19</v>
      </c>
      <c r="L33" t="s">
        <v>20</v>
      </c>
      <c r="M33" t="s">
        <v>28</v>
      </c>
      <c r="N33" t="s">
        <v>19</v>
      </c>
      <c r="O33">
        <v>1.1399999999999999</v>
      </c>
      <c r="P33" t="s">
        <v>22</v>
      </c>
    </row>
    <row r="34" spans="1:16" x14ac:dyDescent="0.3">
      <c r="A34">
        <v>32</v>
      </c>
      <c r="B34" t="s">
        <v>87</v>
      </c>
      <c r="C34" t="s">
        <v>100</v>
      </c>
      <c r="D34" t="s">
        <v>101</v>
      </c>
      <c r="E34" t="s">
        <v>102</v>
      </c>
      <c r="F34" t="s">
        <v>103</v>
      </c>
      <c r="G34">
        <v>1591</v>
      </c>
      <c r="H34">
        <v>1</v>
      </c>
      <c r="I34">
        <v>4.5</v>
      </c>
      <c r="J34">
        <v>25</v>
      </c>
      <c r="K34" t="s">
        <v>19</v>
      </c>
      <c r="L34" t="s">
        <v>57</v>
      </c>
      <c r="M34" t="s">
        <v>21</v>
      </c>
      <c r="N34" t="s">
        <v>19</v>
      </c>
      <c r="O34">
        <v>2.1</v>
      </c>
      <c r="P34" t="s">
        <v>37</v>
      </c>
    </row>
    <row r="35" spans="1:16" x14ac:dyDescent="0.3">
      <c r="A35">
        <v>33</v>
      </c>
      <c r="B35" t="s">
        <v>87</v>
      </c>
      <c r="C35" t="s">
        <v>100</v>
      </c>
      <c r="D35" t="s">
        <v>101</v>
      </c>
      <c r="E35" t="s">
        <v>104</v>
      </c>
      <c r="F35" t="s">
        <v>43</v>
      </c>
      <c r="G35">
        <v>1600</v>
      </c>
      <c r="H35">
        <v>2</v>
      </c>
      <c r="I35">
        <v>4.4000000000000004</v>
      </c>
      <c r="J35">
        <v>30</v>
      </c>
      <c r="K35" t="s">
        <v>19</v>
      </c>
      <c r="L35" t="s">
        <v>20</v>
      </c>
      <c r="M35" t="s">
        <v>21</v>
      </c>
      <c r="N35" t="s">
        <v>19</v>
      </c>
      <c r="O35">
        <v>1.2</v>
      </c>
      <c r="P35" t="s">
        <v>37</v>
      </c>
    </row>
    <row r="36" spans="1:16" x14ac:dyDescent="0.3">
      <c r="A36">
        <v>34</v>
      </c>
      <c r="B36" t="s">
        <v>87</v>
      </c>
      <c r="C36" t="s">
        <v>100</v>
      </c>
      <c r="D36" t="s">
        <v>101</v>
      </c>
      <c r="E36" t="s">
        <v>105</v>
      </c>
      <c r="F36" t="s">
        <v>106</v>
      </c>
      <c r="G36">
        <v>1563</v>
      </c>
      <c r="H36">
        <v>1</v>
      </c>
      <c r="I36">
        <v>4.3</v>
      </c>
      <c r="J36">
        <v>0</v>
      </c>
      <c r="K36" t="s">
        <v>19</v>
      </c>
      <c r="L36" t="s">
        <v>20</v>
      </c>
      <c r="M36" t="s">
        <v>68</v>
      </c>
      <c r="N36" t="s">
        <v>19</v>
      </c>
      <c r="O36">
        <v>0.5</v>
      </c>
      <c r="P36" t="s">
        <v>22</v>
      </c>
    </row>
    <row r="37" spans="1:16" x14ac:dyDescent="0.3">
      <c r="A37">
        <v>35</v>
      </c>
      <c r="B37" t="s">
        <v>87</v>
      </c>
      <c r="C37" t="s">
        <v>100</v>
      </c>
      <c r="D37" t="s">
        <v>101</v>
      </c>
      <c r="E37" t="s">
        <v>107</v>
      </c>
      <c r="F37" t="s">
        <v>108</v>
      </c>
      <c r="G37">
        <v>1996</v>
      </c>
      <c r="H37">
        <v>4</v>
      </c>
      <c r="I37">
        <v>4.4000000000000004</v>
      </c>
      <c r="J37">
        <v>1150</v>
      </c>
      <c r="K37" t="s">
        <v>19</v>
      </c>
      <c r="L37" t="s">
        <v>20</v>
      </c>
      <c r="M37" t="s">
        <v>109</v>
      </c>
      <c r="N37" t="s">
        <v>19</v>
      </c>
      <c r="O37">
        <v>0.45</v>
      </c>
      <c r="P37" t="s">
        <v>51</v>
      </c>
    </row>
    <row r="38" spans="1:16" x14ac:dyDescent="0.3">
      <c r="A38">
        <v>36</v>
      </c>
      <c r="B38" t="s">
        <v>87</v>
      </c>
      <c r="C38" t="s">
        <v>100</v>
      </c>
      <c r="D38" t="s">
        <v>101</v>
      </c>
      <c r="E38" t="s">
        <v>110</v>
      </c>
      <c r="F38" t="s">
        <v>53</v>
      </c>
      <c r="G38">
        <v>1951</v>
      </c>
      <c r="H38">
        <v>2</v>
      </c>
      <c r="I38">
        <v>4.4000000000000004</v>
      </c>
      <c r="J38">
        <v>20</v>
      </c>
      <c r="K38" t="s">
        <v>19</v>
      </c>
      <c r="L38" t="s">
        <v>20</v>
      </c>
      <c r="M38" t="s">
        <v>21</v>
      </c>
      <c r="N38" t="s">
        <v>19</v>
      </c>
      <c r="O38">
        <v>0.67</v>
      </c>
      <c r="P38" t="s">
        <v>51</v>
      </c>
    </row>
    <row r="39" spans="1:16" x14ac:dyDescent="0.3">
      <c r="A39">
        <v>37</v>
      </c>
      <c r="B39" t="s">
        <v>87</v>
      </c>
      <c r="C39" t="s">
        <v>100</v>
      </c>
      <c r="D39" t="s">
        <v>101</v>
      </c>
      <c r="E39" t="s">
        <v>111</v>
      </c>
      <c r="F39" t="s">
        <v>112</v>
      </c>
      <c r="G39">
        <v>1600</v>
      </c>
      <c r="H39">
        <v>1</v>
      </c>
      <c r="I39">
        <v>4.4000000000000004</v>
      </c>
      <c r="J39">
        <v>25</v>
      </c>
      <c r="K39" t="s">
        <v>19</v>
      </c>
      <c r="L39" t="s">
        <v>20</v>
      </c>
      <c r="M39" t="s">
        <v>21</v>
      </c>
      <c r="N39" t="s">
        <v>19</v>
      </c>
      <c r="O39">
        <v>0.2</v>
      </c>
      <c r="P39" t="s">
        <v>37</v>
      </c>
    </row>
    <row r="40" spans="1:16" x14ac:dyDescent="0.3">
      <c r="A40">
        <v>38</v>
      </c>
      <c r="B40" t="s">
        <v>87</v>
      </c>
      <c r="C40" t="s">
        <v>100</v>
      </c>
      <c r="D40" t="s">
        <v>101</v>
      </c>
      <c r="E40" t="s">
        <v>113</v>
      </c>
      <c r="F40" t="s">
        <v>27</v>
      </c>
      <c r="G40">
        <v>1976</v>
      </c>
      <c r="H40">
        <v>1</v>
      </c>
      <c r="I40">
        <v>4.7</v>
      </c>
      <c r="J40">
        <v>0</v>
      </c>
      <c r="K40" t="s">
        <v>19</v>
      </c>
      <c r="L40" t="s">
        <v>20</v>
      </c>
      <c r="M40" t="s">
        <v>28</v>
      </c>
      <c r="N40" t="s">
        <v>29</v>
      </c>
      <c r="O40">
        <v>0.41</v>
      </c>
      <c r="P40" t="s">
        <v>51</v>
      </c>
    </row>
    <row r="41" spans="1:16" x14ac:dyDescent="0.3">
      <c r="A41">
        <v>39</v>
      </c>
      <c r="B41" t="s">
        <v>87</v>
      </c>
      <c r="C41" t="s">
        <v>100</v>
      </c>
      <c r="D41" t="s">
        <v>101</v>
      </c>
      <c r="E41" t="s">
        <v>114</v>
      </c>
      <c r="F41" t="s">
        <v>91</v>
      </c>
      <c r="G41">
        <v>1800</v>
      </c>
      <c r="H41">
        <v>1.5</v>
      </c>
      <c r="I41">
        <v>4.4000000000000004</v>
      </c>
      <c r="J41">
        <v>80</v>
      </c>
      <c r="K41" t="s">
        <v>19</v>
      </c>
      <c r="L41" t="s">
        <v>20</v>
      </c>
      <c r="M41" t="s">
        <v>21</v>
      </c>
      <c r="N41" t="s">
        <v>19</v>
      </c>
      <c r="O41">
        <v>0.45</v>
      </c>
      <c r="P41" t="s">
        <v>37</v>
      </c>
    </row>
    <row r="42" spans="1:16" x14ac:dyDescent="0.3">
      <c r="A42">
        <v>40</v>
      </c>
      <c r="B42" t="s">
        <v>87</v>
      </c>
      <c r="C42" t="s">
        <v>100</v>
      </c>
      <c r="D42" t="s">
        <v>101</v>
      </c>
      <c r="E42" t="s">
        <v>115</v>
      </c>
      <c r="F42" t="s">
        <v>56</v>
      </c>
      <c r="G42">
        <v>1963</v>
      </c>
      <c r="H42">
        <v>3</v>
      </c>
      <c r="I42">
        <v>4.2</v>
      </c>
      <c r="J42">
        <v>50</v>
      </c>
      <c r="K42" t="s">
        <v>19</v>
      </c>
      <c r="L42" t="s">
        <v>20</v>
      </c>
      <c r="M42" t="s">
        <v>73</v>
      </c>
      <c r="N42" t="s">
        <v>19</v>
      </c>
      <c r="O42">
        <v>0.86</v>
      </c>
      <c r="P42" t="s">
        <v>37</v>
      </c>
    </row>
    <row r="43" spans="1:16" x14ac:dyDescent="0.3">
      <c r="A43">
        <v>41</v>
      </c>
      <c r="B43" t="s">
        <v>87</v>
      </c>
      <c r="C43" t="s">
        <v>100</v>
      </c>
      <c r="D43" t="s">
        <v>101</v>
      </c>
      <c r="E43" t="s">
        <v>116</v>
      </c>
      <c r="F43" t="s">
        <v>47</v>
      </c>
      <c r="G43">
        <v>1994</v>
      </c>
      <c r="H43">
        <v>1</v>
      </c>
      <c r="I43">
        <v>4.0999999999999996</v>
      </c>
      <c r="J43">
        <v>20</v>
      </c>
      <c r="K43" t="s">
        <v>19</v>
      </c>
      <c r="L43" t="s">
        <v>20</v>
      </c>
      <c r="M43" t="s">
        <v>80</v>
      </c>
      <c r="N43" t="s">
        <v>19</v>
      </c>
      <c r="O43">
        <v>0.73</v>
      </c>
      <c r="P43" t="s">
        <v>22</v>
      </c>
    </row>
    <row r="44" spans="1:16" x14ac:dyDescent="0.3">
      <c r="A44">
        <v>42</v>
      </c>
      <c r="B44" t="s">
        <v>117</v>
      </c>
      <c r="C44" t="s">
        <v>118</v>
      </c>
      <c r="D44" t="s">
        <v>119</v>
      </c>
      <c r="E44" t="s">
        <v>120</v>
      </c>
      <c r="F44" t="s">
        <v>53</v>
      </c>
      <c r="G44">
        <v>1921</v>
      </c>
      <c r="H44">
        <v>1.5</v>
      </c>
      <c r="I44">
        <v>4.5999999999999996</v>
      </c>
      <c r="J44">
        <v>30</v>
      </c>
      <c r="K44" t="s">
        <v>19</v>
      </c>
      <c r="L44" t="s">
        <v>32</v>
      </c>
      <c r="M44" t="s">
        <v>21</v>
      </c>
      <c r="N44" t="s">
        <v>19</v>
      </c>
      <c r="O44">
        <v>0.73</v>
      </c>
      <c r="P44" t="s">
        <v>37</v>
      </c>
    </row>
    <row r="45" spans="1:16" x14ac:dyDescent="0.3">
      <c r="A45">
        <v>43</v>
      </c>
      <c r="B45" t="s">
        <v>117</v>
      </c>
      <c r="C45" t="s">
        <v>118</v>
      </c>
      <c r="D45" t="s">
        <v>119</v>
      </c>
      <c r="E45" t="s">
        <v>121</v>
      </c>
      <c r="F45" t="s">
        <v>122</v>
      </c>
      <c r="G45">
        <v>1943</v>
      </c>
      <c r="H45">
        <v>0.5</v>
      </c>
      <c r="I45">
        <v>4.5999999999999996</v>
      </c>
      <c r="J45">
        <v>0</v>
      </c>
      <c r="K45" t="s">
        <v>19</v>
      </c>
      <c r="L45" t="s">
        <v>20</v>
      </c>
      <c r="M45" t="s">
        <v>98</v>
      </c>
      <c r="N45" t="s">
        <v>29</v>
      </c>
      <c r="O45">
        <v>1.2</v>
      </c>
      <c r="P45" t="s">
        <v>123</v>
      </c>
    </row>
    <row r="46" spans="1:16" x14ac:dyDescent="0.3">
      <c r="A46">
        <v>44</v>
      </c>
      <c r="B46" t="s">
        <v>117</v>
      </c>
      <c r="C46" t="s">
        <v>118</v>
      </c>
      <c r="D46" t="s">
        <v>119</v>
      </c>
      <c r="E46" t="s">
        <v>124</v>
      </c>
      <c r="F46" t="s">
        <v>53</v>
      </c>
      <c r="G46">
        <v>1814</v>
      </c>
      <c r="H46">
        <v>2</v>
      </c>
      <c r="I46">
        <v>4.5999999999999996</v>
      </c>
      <c r="J46">
        <v>50</v>
      </c>
      <c r="K46" t="s">
        <v>19</v>
      </c>
      <c r="L46" t="s">
        <v>32</v>
      </c>
      <c r="M46" t="s">
        <v>21</v>
      </c>
      <c r="N46" t="s">
        <v>19</v>
      </c>
      <c r="O46">
        <v>0.18</v>
      </c>
      <c r="P46" t="s">
        <v>37</v>
      </c>
    </row>
    <row r="47" spans="1:16" x14ac:dyDescent="0.3">
      <c r="A47">
        <v>45</v>
      </c>
      <c r="B47" t="s">
        <v>117</v>
      </c>
      <c r="C47" t="s">
        <v>118</v>
      </c>
      <c r="D47" t="s">
        <v>119</v>
      </c>
      <c r="E47" t="s">
        <v>125</v>
      </c>
      <c r="F47" t="s">
        <v>27</v>
      </c>
      <c r="G47">
        <v>1855</v>
      </c>
      <c r="H47">
        <v>1</v>
      </c>
      <c r="I47">
        <v>4.7</v>
      </c>
      <c r="J47">
        <v>0</v>
      </c>
      <c r="K47" t="s">
        <v>19</v>
      </c>
      <c r="L47" t="s">
        <v>20</v>
      </c>
      <c r="M47" t="s">
        <v>28</v>
      </c>
      <c r="N47" t="s">
        <v>19</v>
      </c>
      <c r="O47">
        <v>0.82</v>
      </c>
      <c r="P47" t="s">
        <v>37</v>
      </c>
    </row>
    <row r="48" spans="1:16" x14ac:dyDescent="0.3">
      <c r="A48">
        <v>46</v>
      </c>
      <c r="B48" t="s">
        <v>117</v>
      </c>
      <c r="C48" t="s">
        <v>118</v>
      </c>
      <c r="D48" t="s">
        <v>119</v>
      </c>
      <c r="E48" t="s">
        <v>126</v>
      </c>
      <c r="F48" t="s">
        <v>27</v>
      </c>
      <c r="G48">
        <v>1809</v>
      </c>
      <c r="H48">
        <v>1</v>
      </c>
      <c r="I48">
        <v>4.4000000000000004</v>
      </c>
      <c r="J48">
        <v>0</v>
      </c>
      <c r="K48" t="s">
        <v>19</v>
      </c>
      <c r="L48" t="s">
        <v>20</v>
      </c>
      <c r="M48" t="s">
        <v>28</v>
      </c>
      <c r="N48" t="s">
        <v>19</v>
      </c>
      <c r="O48">
        <v>0.5</v>
      </c>
      <c r="P48" t="s">
        <v>37</v>
      </c>
    </row>
    <row r="49" spans="1:16" x14ac:dyDescent="0.3">
      <c r="A49">
        <v>47</v>
      </c>
      <c r="B49" t="s">
        <v>117</v>
      </c>
      <c r="C49" t="s">
        <v>118</v>
      </c>
      <c r="D49" t="s">
        <v>119</v>
      </c>
      <c r="E49" t="s">
        <v>127</v>
      </c>
      <c r="F49" t="s">
        <v>128</v>
      </c>
      <c r="G49">
        <v>1864</v>
      </c>
      <c r="H49">
        <v>3</v>
      </c>
      <c r="I49">
        <v>4.0999999999999996</v>
      </c>
      <c r="J49">
        <v>2500</v>
      </c>
      <c r="K49" t="s">
        <v>19</v>
      </c>
      <c r="L49" t="s">
        <v>20</v>
      </c>
      <c r="M49" t="s">
        <v>129</v>
      </c>
      <c r="N49" t="s">
        <v>19</v>
      </c>
      <c r="O49">
        <v>0.1</v>
      </c>
      <c r="P49" t="s">
        <v>51</v>
      </c>
    </row>
    <row r="50" spans="1:16" x14ac:dyDescent="0.3">
      <c r="A50">
        <v>48</v>
      </c>
      <c r="B50" t="s">
        <v>117</v>
      </c>
      <c r="C50" t="s">
        <v>118</v>
      </c>
      <c r="D50" t="s">
        <v>119</v>
      </c>
      <c r="E50" t="s">
        <v>130</v>
      </c>
      <c r="F50" t="s">
        <v>56</v>
      </c>
      <c r="G50">
        <v>1876</v>
      </c>
      <c r="H50">
        <v>2</v>
      </c>
      <c r="I50">
        <v>4.3</v>
      </c>
      <c r="J50">
        <v>25</v>
      </c>
      <c r="K50" t="s">
        <v>19</v>
      </c>
      <c r="L50" t="s">
        <v>20</v>
      </c>
      <c r="M50" t="s">
        <v>73</v>
      </c>
      <c r="N50" t="s">
        <v>19</v>
      </c>
      <c r="O50">
        <v>0.66</v>
      </c>
      <c r="P50" t="s">
        <v>25</v>
      </c>
    </row>
    <row r="51" spans="1:16" x14ac:dyDescent="0.3">
      <c r="A51">
        <v>49</v>
      </c>
      <c r="B51" t="s">
        <v>117</v>
      </c>
      <c r="C51" t="s">
        <v>118</v>
      </c>
      <c r="D51" t="s">
        <v>119</v>
      </c>
      <c r="E51" t="s">
        <v>131</v>
      </c>
      <c r="F51" t="s">
        <v>61</v>
      </c>
      <c r="G51">
        <v>1997</v>
      </c>
      <c r="H51">
        <v>3</v>
      </c>
      <c r="I51">
        <v>4.4000000000000004</v>
      </c>
      <c r="J51">
        <v>60</v>
      </c>
      <c r="K51" t="s">
        <v>19</v>
      </c>
      <c r="L51" t="s">
        <v>20</v>
      </c>
      <c r="M51" t="s">
        <v>132</v>
      </c>
      <c r="N51" t="s">
        <v>19</v>
      </c>
      <c r="O51">
        <v>0.88</v>
      </c>
      <c r="P51" t="s">
        <v>51</v>
      </c>
    </row>
    <row r="52" spans="1:16" x14ac:dyDescent="0.3">
      <c r="A52">
        <v>50</v>
      </c>
      <c r="B52" t="s">
        <v>117</v>
      </c>
      <c r="C52" t="s">
        <v>118</v>
      </c>
      <c r="D52" t="s">
        <v>119</v>
      </c>
      <c r="E52" t="s">
        <v>133</v>
      </c>
      <c r="F52" t="s">
        <v>134</v>
      </c>
      <c r="G52">
        <v>1898</v>
      </c>
      <c r="H52">
        <v>1.5</v>
      </c>
      <c r="I52">
        <v>4.7</v>
      </c>
      <c r="J52">
        <v>0</v>
      </c>
      <c r="K52" t="s">
        <v>19</v>
      </c>
      <c r="L52" t="s">
        <v>20</v>
      </c>
      <c r="M52" t="s">
        <v>28</v>
      </c>
      <c r="N52" t="s">
        <v>19</v>
      </c>
      <c r="O52">
        <v>0.47</v>
      </c>
      <c r="P52" t="s">
        <v>37</v>
      </c>
    </row>
    <row r="53" spans="1:16" x14ac:dyDescent="0.3">
      <c r="A53">
        <v>51</v>
      </c>
      <c r="B53" t="s">
        <v>117</v>
      </c>
      <c r="C53" t="s">
        <v>118</v>
      </c>
      <c r="D53" t="s">
        <v>119</v>
      </c>
      <c r="E53" t="s">
        <v>135</v>
      </c>
      <c r="F53" t="s">
        <v>91</v>
      </c>
      <c r="G53">
        <v>1835</v>
      </c>
      <c r="H53">
        <v>1</v>
      </c>
      <c r="I53">
        <v>4.4000000000000004</v>
      </c>
      <c r="J53">
        <v>0</v>
      </c>
      <c r="K53" t="s">
        <v>19</v>
      </c>
      <c r="L53" t="s">
        <v>20</v>
      </c>
      <c r="M53" t="s">
        <v>21</v>
      </c>
      <c r="N53" t="s">
        <v>19</v>
      </c>
      <c r="O53">
        <v>0.1</v>
      </c>
      <c r="P53" t="s">
        <v>25</v>
      </c>
    </row>
    <row r="54" spans="1:16" x14ac:dyDescent="0.3">
      <c r="A54">
        <v>52</v>
      </c>
      <c r="B54" t="s">
        <v>87</v>
      </c>
      <c r="C54" t="s">
        <v>136</v>
      </c>
      <c r="D54" t="s">
        <v>136</v>
      </c>
      <c r="E54" t="s">
        <v>137</v>
      </c>
      <c r="F54" t="s">
        <v>79</v>
      </c>
      <c r="G54" t="s">
        <v>67</v>
      </c>
      <c r="H54">
        <v>2</v>
      </c>
      <c r="I54">
        <v>4.4000000000000004</v>
      </c>
      <c r="J54">
        <v>0</v>
      </c>
      <c r="K54" t="s">
        <v>19</v>
      </c>
      <c r="L54" t="s">
        <v>20</v>
      </c>
      <c r="M54" t="s">
        <v>68</v>
      </c>
      <c r="N54" t="s">
        <v>19</v>
      </c>
      <c r="O54">
        <v>0.26</v>
      </c>
      <c r="P54" t="s">
        <v>22</v>
      </c>
    </row>
    <row r="55" spans="1:16" x14ac:dyDescent="0.3">
      <c r="A55">
        <v>53</v>
      </c>
      <c r="B55" t="s">
        <v>87</v>
      </c>
      <c r="C55" t="s">
        <v>136</v>
      </c>
      <c r="D55" t="s">
        <v>136</v>
      </c>
      <c r="E55" t="s">
        <v>138</v>
      </c>
      <c r="F55" t="s">
        <v>139</v>
      </c>
      <c r="G55">
        <v>1605</v>
      </c>
      <c r="H55">
        <v>1</v>
      </c>
      <c r="I55">
        <v>4.5</v>
      </c>
      <c r="J55">
        <v>0</v>
      </c>
      <c r="K55" t="s">
        <v>19</v>
      </c>
      <c r="L55" t="s">
        <v>20</v>
      </c>
      <c r="M55" t="s">
        <v>21</v>
      </c>
      <c r="N55" t="s">
        <v>19</v>
      </c>
      <c r="O55">
        <v>0.59</v>
      </c>
      <c r="P55" t="s">
        <v>25</v>
      </c>
    </row>
    <row r="56" spans="1:16" x14ac:dyDescent="0.3">
      <c r="A56">
        <v>54</v>
      </c>
      <c r="B56" t="s">
        <v>87</v>
      </c>
      <c r="C56" t="s">
        <v>136</v>
      </c>
      <c r="D56" t="s">
        <v>136</v>
      </c>
      <c r="E56" t="s">
        <v>140</v>
      </c>
      <c r="F56" t="s">
        <v>43</v>
      </c>
      <c r="G56">
        <v>1612</v>
      </c>
      <c r="H56">
        <v>1.5</v>
      </c>
      <c r="I56">
        <v>4.2</v>
      </c>
      <c r="J56">
        <v>0</v>
      </c>
      <c r="K56" t="s">
        <v>19</v>
      </c>
      <c r="L56" t="s">
        <v>20</v>
      </c>
      <c r="M56" t="s">
        <v>21</v>
      </c>
      <c r="N56" t="s">
        <v>19</v>
      </c>
      <c r="O56">
        <v>0.95</v>
      </c>
      <c r="P56" t="s">
        <v>37</v>
      </c>
    </row>
    <row r="57" spans="1:16" x14ac:dyDescent="0.3">
      <c r="A57">
        <v>55</v>
      </c>
      <c r="B57" t="s">
        <v>87</v>
      </c>
      <c r="C57" t="s">
        <v>136</v>
      </c>
      <c r="D57" t="s">
        <v>136</v>
      </c>
      <c r="E57" t="s">
        <v>141</v>
      </c>
      <c r="F57" t="s">
        <v>142</v>
      </c>
      <c r="G57" t="s">
        <v>67</v>
      </c>
      <c r="H57">
        <v>3</v>
      </c>
      <c r="I57">
        <v>4.5999999999999996</v>
      </c>
      <c r="J57">
        <v>500</v>
      </c>
      <c r="K57" t="s">
        <v>19</v>
      </c>
      <c r="L57" t="s">
        <v>20</v>
      </c>
      <c r="M57" t="s">
        <v>94</v>
      </c>
      <c r="N57" t="s">
        <v>19</v>
      </c>
      <c r="O57">
        <v>0.3</v>
      </c>
      <c r="P57" t="s">
        <v>25</v>
      </c>
    </row>
    <row r="58" spans="1:16" x14ac:dyDescent="0.3">
      <c r="A58">
        <v>56</v>
      </c>
      <c r="B58" t="s">
        <v>87</v>
      </c>
      <c r="C58" t="s">
        <v>136</v>
      </c>
      <c r="D58" t="s">
        <v>136</v>
      </c>
      <c r="E58" t="s">
        <v>143</v>
      </c>
      <c r="F58" t="s">
        <v>79</v>
      </c>
      <c r="G58" t="s">
        <v>67</v>
      </c>
      <c r="H58">
        <v>2</v>
      </c>
      <c r="I58">
        <v>4.4000000000000004</v>
      </c>
      <c r="J58">
        <v>0</v>
      </c>
      <c r="K58" t="s">
        <v>19</v>
      </c>
      <c r="L58" t="s">
        <v>20</v>
      </c>
      <c r="M58" t="s">
        <v>68</v>
      </c>
      <c r="N58" t="s">
        <v>19</v>
      </c>
      <c r="O58">
        <v>0.18</v>
      </c>
      <c r="P58" t="s">
        <v>22</v>
      </c>
    </row>
    <row r="59" spans="1:16" x14ac:dyDescent="0.3">
      <c r="A59">
        <v>57</v>
      </c>
      <c r="B59" t="s">
        <v>87</v>
      </c>
      <c r="C59" t="s">
        <v>136</v>
      </c>
      <c r="D59" t="s">
        <v>136</v>
      </c>
      <c r="E59" t="s">
        <v>144</v>
      </c>
      <c r="F59" t="s">
        <v>43</v>
      </c>
      <c r="G59">
        <v>1617</v>
      </c>
      <c r="H59">
        <v>1</v>
      </c>
      <c r="I59">
        <v>4.2</v>
      </c>
      <c r="J59">
        <v>0</v>
      </c>
      <c r="K59" t="s">
        <v>19</v>
      </c>
      <c r="L59" t="s">
        <v>20</v>
      </c>
      <c r="M59" t="s">
        <v>21</v>
      </c>
      <c r="N59" t="s">
        <v>19</v>
      </c>
      <c r="O59">
        <v>0.19</v>
      </c>
      <c r="P59" t="s">
        <v>22</v>
      </c>
    </row>
    <row r="60" spans="1:16" x14ac:dyDescent="0.3">
      <c r="A60">
        <v>58</v>
      </c>
      <c r="B60" t="s">
        <v>87</v>
      </c>
      <c r="C60" t="s">
        <v>136</v>
      </c>
      <c r="D60" t="s">
        <v>136</v>
      </c>
      <c r="E60" t="s">
        <v>145</v>
      </c>
      <c r="F60" t="s">
        <v>139</v>
      </c>
      <c r="G60">
        <v>1640</v>
      </c>
      <c r="H60">
        <v>1</v>
      </c>
      <c r="I60">
        <v>4.5</v>
      </c>
      <c r="J60">
        <v>0</v>
      </c>
      <c r="K60" t="s">
        <v>19</v>
      </c>
      <c r="L60" t="s">
        <v>20</v>
      </c>
      <c r="M60" t="s">
        <v>21</v>
      </c>
      <c r="N60" t="s">
        <v>19</v>
      </c>
      <c r="O60">
        <v>0.05</v>
      </c>
      <c r="P60" t="s">
        <v>25</v>
      </c>
    </row>
    <row r="61" spans="1:16" x14ac:dyDescent="0.3">
      <c r="A61">
        <v>59</v>
      </c>
      <c r="B61" t="s">
        <v>87</v>
      </c>
      <c r="C61" t="s">
        <v>136</v>
      </c>
      <c r="D61" t="s">
        <v>136</v>
      </c>
      <c r="E61" t="s">
        <v>146</v>
      </c>
      <c r="F61" t="s">
        <v>79</v>
      </c>
      <c r="G61" t="s">
        <v>67</v>
      </c>
      <c r="H61">
        <v>2</v>
      </c>
      <c r="I61">
        <v>4.5</v>
      </c>
      <c r="J61">
        <v>0</v>
      </c>
      <c r="K61" t="s">
        <v>19</v>
      </c>
      <c r="L61" t="s">
        <v>20</v>
      </c>
      <c r="M61" t="s">
        <v>68</v>
      </c>
      <c r="N61" t="s">
        <v>19</v>
      </c>
      <c r="O61">
        <v>0.35</v>
      </c>
      <c r="P61" t="s">
        <v>22</v>
      </c>
    </row>
    <row r="62" spans="1:16" x14ac:dyDescent="0.3">
      <c r="A62">
        <v>60</v>
      </c>
      <c r="B62" t="s">
        <v>87</v>
      </c>
      <c r="C62" t="s">
        <v>136</v>
      </c>
      <c r="D62" t="s">
        <v>136</v>
      </c>
      <c r="E62" t="s">
        <v>147</v>
      </c>
      <c r="F62" t="s">
        <v>79</v>
      </c>
      <c r="G62" t="s">
        <v>67</v>
      </c>
      <c r="H62">
        <v>2</v>
      </c>
      <c r="I62">
        <v>4.5999999999999996</v>
      </c>
      <c r="J62">
        <v>0</v>
      </c>
      <c r="K62" t="s">
        <v>19</v>
      </c>
      <c r="L62" t="s">
        <v>20</v>
      </c>
      <c r="M62" t="s">
        <v>68</v>
      </c>
      <c r="N62" t="s">
        <v>19</v>
      </c>
      <c r="O62">
        <v>0.1</v>
      </c>
      <c r="P62" t="s">
        <v>22</v>
      </c>
    </row>
    <row r="63" spans="1:16" x14ac:dyDescent="0.3">
      <c r="A63">
        <v>61</v>
      </c>
      <c r="B63" t="s">
        <v>87</v>
      </c>
      <c r="C63" t="s">
        <v>136</v>
      </c>
      <c r="D63" t="s">
        <v>136</v>
      </c>
      <c r="E63" t="s">
        <v>148</v>
      </c>
      <c r="F63" t="s">
        <v>79</v>
      </c>
      <c r="G63" t="s">
        <v>67</v>
      </c>
      <c r="H63">
        <v>2</v>
      </c>
      <c r="I63">
        <v>4.5999999999999996</v>
      </c>
      <c r="J63">
        <v>0</v>
      </c>
      <c r="K63" t="s">
        <v>19</v>
      </c>
      <c r="L63" t="s">
        <v>20</v>
      </c>
      <c r="M63" t="s">
        <v>68</v>
      </c>
      <c r="N63" t="s">
        <v>19</v>
      </c>
      <c r="O63">
        <v>0.27</v>
      </c>
      <c r="P63" t="s">
        <v>22</v>
      </c>
    </row>
    <row r="64" spans="1:16" x14ac:dyDescent="0.3">
      <c r="A64">
        <v>62</v>
      </c>
      <c r="B64" t="s">
        <v>87</v>
      </c>
      <c r="C64" t="s">
        <v>136</v>
      </c>
      <c r="D64" t="s">
        <v>136</v>
      </c>
      <c r="E64" t="s">
        <v>149</v>
      </c>
      <c r="F64" t="s">
        <v>79</v>
      </c>
      <c r="G64" t="s">
        <v>67</v>
      </c>
      <c r="H64">
        <v>2</v>
      </c>
      <c r="I64">
        <v>4.3</v>
      </c>
      <c r="J64">
        <v>0</v>
      </c>
      <c r="K64" t="s">
        <v>19</v>
      </c>
      <c r="L64" t="s">
        <v>20</v>
      </c>
      <c r="M64" t="s">
        <v>68</v>
      </c>
      <c r="N64" t="s">
        <v>19</v>
      </c>
      <c r="O64">
        <v>0.1</v>
      </c>
      <c r="P64" t="s">
        <v>22</v>
      </c>
    </row>
    <row r="65" spans="1:16" x14ac:dyDescent="0.3">
      <c r="A65">
        <v>63</v>
      </c>
      <c r="B65" t="s">
        <v>87</v>
      </c>
      <c r="C65" t="s">
        <v>136</v>
      </c>
      <c r="D65" t="s">
        <v>136</v>
      </c>
      <c r="E65" t="s">
        <v>150</v>
      </c>
      <c r="F65" t="s">
        <v>79</v>
      </c>
      <c r="G65" t="s">
        <v>67</v>
      </c>
      <c r="H65">
        <v>1.5</v>
      </c>
      <c r="I65">
        <v>4.2</v>
      </c>
      <c r="J65">
        <v>0</v>
      </c>
      <c r="K65" t="s">
        <v>19</v>
      </c>
      <c r="L65" t="s">
        <v>20</v>
      </c>
      <c r="M65" t="s">
        <v>68</v>
      </c>
      <c r="N65" t="s">
        <v>19</v>
      </c>
      <c r="O65">
        <v>0.3</v>
      </c>
      <c r="P65" t="s">
        <v>22</v>
      </c>
    </row>
    <row r="66" spans="1:16" x14ac:dyDescent="0.3">
      <c r="A66">
        <v>64</v>
      </c>
      <c r="B66" t="s">
        <v>87</v>
      </c>
      <c r="C66" t="s">
        <v>136</v>
      </c>
      <c r="D66" t="s">
        <v>136</v>
      </c>
      <c r="E66" t="s">
        <v>151</v>
      </c>
      <c r="F66" t="s">
        <v>79</v>
      </c>
      <c r="G66" t="s">
        <v>67</v>
      </c>
      <c r="H66">
        <v>2</v>
      </c>
      <c r="I66">
        <v>4.5</v>
      </c>
      <c r="J66">
        <v>0</v>
      </c>
      <c r="K66" t="s">
        <v>19</v>
      </c>
      <c r="L66" t="s">
        <v>20</v>
      </c>
      <c r="M66" t="s">
        <v>68</v>
      </c>
      <c r="N66" t="s">
        <v>19</v>
      </c>
      <c r="O66">
        <v>0.01</v>
      </c>
      <c r="P66" t="s">
        <v>22</v>
      </c>
    </row>
    <row r="67" spans="1:16" x14ac:dyDescent="0.3">
      <c r="A67">
        <v>65</v>
      </c>
      <c r="B67" t="s">
        <v>87</v>
      </c>
      <c r="C67" t="s">
        <v>136</v>
      </c>
      <c r="D67" t="s">
        <v>136</v>
      </c>
      <c r="E67" t="s">
        <v>152</v>
      </c>
      <c r="F67" t="s">
        <v>153</v>
      </c>
      <c r="G67">
        <v>1988</v>
      </c>
      <c r="H67">
        <v>2</v>
      </c>
      <c r="I67">
        <v>3.9</v>
      </c>
      <c r="J67">
        <v>10</v>
      </c>
      <c r="K67" t="s">
        <v>19</v>
      </c>
      <c r="L67" t="s">
        <v>20</v>
      </c>
      <c r="M67" t="s">
        <v>73</v>
      </c>
      <c r="N67" t="s">
        <v>19</v>
      </c>
      <c r="O67">
        <v>0.03</v>
      </c>
      <c r="P67" t="s">
        <v>25</v>
      </c>
    </row>
    <row r="68" spans="1:16" x14ac:dyDescent="0.3">
      <c r="A68">
        <v>66</v>
      </c>
      <c r="B68" t="s">
        <v>62</v>
      </c>
      <c r="C68" t="s">
        <v>154</v>
      </c>
      <c r="D68" t="s">
        <v>155</v>
      </c>
      <c r="E68" t="s">
        <v>156</v>
      </c>
      <c r="F68" t="s">
        <v>21</v>
      </c>
      <c r="G68">
        <v>1915</v>
      </c>
      <c r="H68">
        <v>1.5</v>
      </c>
      <c r="I68">
        <v>4.5999999999999996</v>
      </c>
      <c r="J68">
        <v>0</v>
      </c>
      <c r="K68" t="s">
        <v>19</v>
      </c>
      <c r="L68" t="s">
        <v>20</v>
      </c>
      <c r="M68" t="s">
        <v>21</v>
      </c>
      <c r="N68" t="s">
        <v>19</v>
      </c>
      <c r="O68">
        <v>0.35</v>
      </c>
      <c r="P68" t="s">
        <v>37</v>
      </c>
    </row>
    <row r="69" spans="1:16" x14ac:dyDescent="0.3">
      <c r="A69">
        <v>67</v>
      </c>
      <c r="B69" t="s">
        <v>62</v>
      </c>
      <c r="C69" t="s">
        <v>154</v>
      </c>
      <c r="D69" t="s">
        <v>157</v>
      </c>
      <c r="E69" t="s">
        <v>158</v>
      </c>
      <c r="F69" t="s">
        <v>27</v>
      </c>
      <c r="G69">
        <v>-400</v>
      </c>
      <c r="H69">
        <v>2</v>
      </c>
      <c r="I69">
        <v>4.7</v>
      </c>
      <c r="J69">
        <v>0</v>
      </c>
      <c r="K69" t="s">
        <v>29</v>
      </c>
      <c r="L69" t="s">
        <v>20</v>
      </c>
      <c r="M69" t="s">
        <v>28</v>
      </c>
      <c r="N69" t="s">
        <v>29</v>
      </c>
      <c r="O69">
        <v>0.59</v>
      </c>
      <c r="P69" t="s">
        <v>22</v>
      </c>
    </row>
    <row r="70" spans="1:16" x14ac:dyDescent="0.3">
      <c r="A70">
        <v>68</v>
      </c>
      <c r="B70" t="s">
        <v>62</v>
      </c>
      <c r="C70" t="s">
        <v>154</v>
      </c>
      <c r="D70" t="s">
        <v>159</v>
      </c>
      <c r="E70" t="s">
        <v>160</v>
      </c>
      <c r="F70" t="s">
        <v>72</v>
      </c>
      <c r="G70">
        <v>1965</v>
      </c>
      <c r="H70">
        <v>3</v>
      </c>
      <c r="I70">
        <v>4.5</v>
      </c>
      <c r="J70">
        <v>3500</v>
      </c>
      <c r="K70" t="s">
        <v>29</v>
      </c>
      <c r="L70" t="s">
        <v>20</v>
      </c>
      <c r="M70" t="s">
        <v>73</v>
      </c>
      <c r="N70" t="s">
        <v>19</v>
      </c>
      <c r="O70">
        <v>0.08</v>
      </c>
      <c r="P70" t="s">
        <v>37</v>
      </c>
    </row>
    <row r="71" spans="1:16" x14ac:dyDescent="0.3">
      <c r="A71">
        <v>69</v>
      </c>
      <c r="B71" t="s">
        <v>62</v>
      </c>
      <c r="C71" t="s">
        <v>154</v>
      </c>
      <c r="D71" t="s">
        <v>161</v>
      </c>
      <c r="E71" t="s">
        <v>162</v>
      </c>
      <c r="F71" t="s">
        <v>134</v>
      </c>
      <c r="G71">
        <v>1950</v>
      </c>
      <c r="H71">
        <v>2.5</v>
      </c>
      <c r="I71">
        <v>4.5999999999999996</v>
      </c>
      <c r="J71">
        <v>0</v>
      </c>
      <c r="K71" t="s">
        <v>19</v>
      </c>
      <c r="L71" t="s">
        <v>20</v>
      </c>
      <c r="M71" t="s">
        <v>94</v>
      </c>
      <c r="N71" t="s">
        <v>19</v>
      </c>
      <c r="O71">
        <v>0.12</v>
      </c>
      <c r="P71" t="s">
        <v>22</v>
      </c>
    </row>
    <row r="72" spans="1:16" x14ac:dyDescent="0.3">
      <c r="A72">
        <v>70</v>
      </c>
      <c r="B72" t="s">
        <v>62</v>
      </c>
      <c r="C72" t="s">
        <v>154</v>
      </c>
      <c r="D72" t="s">
        <v>163</v>
      </c>
      <c r="E72" t="s">
        <v>164</v>
      </c>
      <c r="F72" t="s">
        <v>91</v>
      </c>
      <c r="G72">
        <v>1890</v>
      </c>
      <c r="H72">
        <v>2</v>
      </c>
      <c r="I72">
        <v>4.4000000000000004</v>
      </c>
      <c r="J72">
        <v>200</v>
      </c>
      <c r="K72" t="s">
        <v>19</v>
      </c>
      <c r="L72" t="s">
        <v>32</v>
      </c>
      <c r="M72" t="s">
        <v>21</v>
      </c>
      <c r="N72" t="s">
        <v>19</v>
      </c>
      <c r="O72">
        <v>0.17</v>
      </c>
      <c r="P72" t="s">
        <v>25</v>
      </c>
    </row>
    <row r="73" spans="1:16" x14ac:dyDescent="0.3">
      <c r="A73">
        <v>71</v>
      </c>
      <c r="B73" t="s">
        <v>62</v>
      </c>
      <c r="C73" t="s">
        <v>154</v>
      </c>
      <c r="D73" t="s">
        <v>165</v>
      </c>
      <c r="E73" t="s">
        <v>166</v>
      </c>
      <c r="F73" t="s">
        <v>27</v>
      </c>
      <c r="G73">
        <v>1951</v>
      </c>
      <c r="H73">
        <v>2</v>
      </c>
      <c r="I73">
        <v>4.8</v>
      </c>
      <c r="J73">
        <v>0</v>
      </c>
      <c r="K73" t="s">
        <v>29</v>
      </c>
      <c r="L73" t="s">
        <v>20</v>
      </c>
      <c r="M73" t="s">
        <v>28</v>
      </c>
      <c r="N73" t="s">
        <v>29</v>
      </c>
      <c r="O73">
        <v>0.39</v>
      </c>
      <c r="P73" t="s">
        <v>37</v>
      </c>
    </row>
    <row r="74" spans="1:16" x14ac:dyDescent="0.3">
      <c r="A74">
        <v>72</v>
      </c>
      <c r="B74" t="s">
        <v>62</v>
      </c>
      <c r="C74" t="s">
        <v>154</v>
      </c>
      <c r="D74" t="s">
        <v>167</v>
      </c>
      <c r="E74" t="s">
        <v>168</v>
      </c>
      <c r="F74" t="s">
        <v>169</v>
      </c>
      <c r="G74" t="s">
        <v>67</v>
      </c>
      <c r="H74">
        <v>3</v>
      </c>
      <c r="I74">
        <v>4.9000000000000004</v>
      </c>
      <c r="J74">
        <v>7500</v>
      </c>
      <c r="K74" t="s">
        <v>19</v>
      </c>
      <c r="L74" t="s">
        <v>20</v>
      </c>
      <c r="M74" t="s">
        <v>169</v>
      </c>
      <c r="N74" t="s">
        <v>19</v>
      </c>
      <c r="O74">
        <v>0.1</v>
      </c>
      <c r="P74" t="s">
        <v>22</v>
      </c>
    </row>
    <row r="75" spans="1:16" x14ac:dyDescent="0.3">
      <c r="A75">
        <v>73</v>
      </c>
      <c r="B75" t="s">
        <v>62</v>
      </c>
      <c r="C75" t="s">
        <v>154</v>
      </c>
      <c r="D75" t="s">
        <v>170</v>
      </c>
      <c r="E75" t="s">
        <v>171</v>
      </c>
      <c r="F75" t="s">
        <v>59</v>
      </c>
      <c r="G75">
        <v>2018</v>
      </c>
      <c r="H75">
        <v>3</v>
      </c>
      <c r="I75">
        <v>4.5999999999999996</v>
      </c>
      <c r="J75">
        <v>350</v>
      </c>
      <c r="K75" t="s">
        <v>29</v>
      </c>
      <c r="L75" t="s">
        <v>32</v>
      </c>
      <c r="M75" t="s">
        <v>21</v>
      </c>
      <c r="N75" t="s">
        <v>19</v>
      </c>
      <c r="O75">
        <v>0.67</v>
      </c>
      <c r="P75" t="s">
        <v>51</v>
      </c>
    </row>
    <row r="76" spans="1:16" x14ac:dyDescent="0.3">
      <c r="A76">
        <v>74</v>
      </c>
      <c r="B76" t="s">
        <v>62</v>
      </c>
      <c r="C76" t="s">
        <v>154</v>
      </c>
      <c r="D76" t="s">
        <v>172</v>
      </c>
      <c r="E76" t="s">
        <v>173</v>
      </c>
      <c r="F76" t="s">
        <v>53</v>
      </c>
      <c r="G76">
        <v>2013</v>
      </c>
      <c r="H76">
        <v>1.5</v>
      </c>
      <c r="I76">
        <v>4.5</v>
      </c>
      <c r="J76">
        <v>0</v>
      </c>
      <c r="K76" t="s">
        <v>29</v>
      </c>
      <c r="L76" t="s">
        <v>20</v>
      </c>
      <c r="M76" t="s">
        <v>21</v>
      </c>
      <c r="N76" t="s">
        <v>19</v>
      </c>
      <c r="O76">
        <v>0.05</v>
      </c>
      <c r="P76" t="s">
        <v>51</v>
      </c>
    </row>
    <row r="77" spans="1:16" x14ac:dyDescent="0.3">
      <c r="A77">
        <v>75</v>
      </c>
      <c r="B77" t="s">
        <v>62</v>
      </c>
      <c r="C77" t="s">
        <v>154</v>
      </c>
      <c r="D77" t="s">
        <v>155</v>
      </c>
      <c r="E77" t="s">
        <v>174</v>
      </c>
      <c r="F77" t="s">
        <v>175</v>
      </c>
      <c r="G77">
        <v>2012</v>
      </c>
      <c r="H77">
        <v>1</v>
      </c>
      <c r="I77">
        <v>4.5999999999999996</v>
      </c>
      <c r="J77">
        <v>0</v>
      </c>
      <c r="K77" t="s">
        <v>19</v>
      </c>
      <c r="L77" t="s">
        <v>20</v>
      </c>
      <c r="M77" t="s">
        <v>80</v>
      </c>
      <c r="N77" t="s">
        <v>19</v>
      </c>
      <c r="O77">
        <v>0.1</v>
      </c>
      <c r="P77" t="s">
        <v>22</v>
      </c>
    </row>
    <row r="78" spans="1:16" x14ac:dyDescent="0.3">
      <c r="A78">
        <v>76</v>
      </c>
      <c r="B78" t="s">
        <v>62</v>
      </c>
      <c r="C78" t="s">
        <v>154</v>
      </c>
      <c r="D78" t="s">
        <v>155</v>
      </c>
      <c r="E78" t="s">
        <v>176</v>
      </c>
      <c r="F78" t="s">
        <v>39</v>
      </c>
      <c r="G78" t="s">
        <v>67</v>
      </c>
      <c r="H78">
        <v>2</v>
      </c>
      <c r="I78">
        <v>4.4000000000000004</v>
      </c>
      <c r="J78">
        <v>0</v>
      </c>
      <c r="K78" t="s">
        <v>19</v>
      </c>
      <c r="L78" t="s">
        <v>20</v>
      </c>
      <c r="M78" t="s">
        <v>177</v>
      </c>
      <c r="N78" t="s">
        <v>19</v>
      </c>
      <c r="O78">
        <v>0.49</v>
      </c>
      <c r="P78" t="s">
        <v>178</v>
      </c>
    </row>
    <row r="79" spans="1:16" x14ac:dyDescent="0.3">
      <c r="A79">
        <v>77</v>
      </c>
      <c r="B79" t="s">
        <v>62</v>
      </c>
      <c r="C79" t="s">
        <v>154</v>
      </c>
      <c r="D79" t="s">
        <v>155</v>
      </c>
      <c r="E79" t="s">
        <v>179</v>
      </c>
      <c r="F79" t="s">
        <v>106</v>
      </c>
      <c r="G79">
        <v>1451</v>
      </c>
      <c r="H79">
        <v>3</v>
      </c>
      <c r="I79">
        <v>4.5</v>
      </c>
      <c r="J79">
        <v>10</v>
      </c>
      <c r="K79" t="s">
        <v>19</v>
      </c>
      <c r="L79" t="s">
        <v>20</v>
      </c>
      <c r="M79" t="s">
        <v>80</v>
      </c>
      <c r="N79" t="s">
        <v>19</v>
      </c>
      <c r="O79">
        <v>0.3</v>
      </c>
      <c r="P79" t="s">
        <v>25</v>
      </c>
    </row>
    <row r="80" spans="1:16" x14ac:dyDescent="0.3">
      <c r="A80">
        <v>78</v>
      </c>
      <c r="B80" t="s">
        <v>62</v>
      </c>
      <c r="C80" t="s">
        <v>154</v>
      </c>
      <c r="D80" t="s">
        <v>155</v>
      </c>
      <c r="E80" t="s">
        <v>180</v>
      </c>
      <c r="F80" t="s">
        <v>61</v>
      </c>
      <c r="G80">
        <v>2002</v>
      </c>
      <c r="H80">
        <v>7</v>
      </c>
      <c r="I80">
        <v>4.4000000000000004</v>
      </c>
      <c r="J80">
        <v>500</v>
      </c>
      <c r="K80" t="s">
        <v>19</v>
      </c>
      <c r="L80" t="s">
        <v>32</v>
      </c>
      <c r="M80" t="s">
        <v>132</v>
      </c>
      <c r="N80" t="s">
        <v>19</v>
      </c>
      <c r="O80">
        <v>0.11</v>
      </c>
      <c r="P80" t="s">
        <v>51</v>
      </c>
    </row>
    <row r="81" spans="1:16" x14ac:dyDescent="0.3">
      <c r="A81">
        <v>79</v>
      </c>
      <c r="B81" t="s">
        <v>15</v>
      </c>
      <c r="C81" t="s">
        <v>181</v>
      </c>
      <c r="D81" t="s">
        <v>182</v>
      </c>
      <c r="E81" t="s">
        <v>183</v>
      </c>
      <c r="F81" t="s">
        <v>91</v>
      </c>
      <c r="G81">
        <v>1799</v>
      </c>
      <c r="H81">
        <v>1</v>
      </c>
      <c r="I81">
        <v>4.4000000000000004</v>
      </c>
      <c r="J81">
        <v>50</v>
      </c>
      <c r="K81" t="s">
        <v>19</v>
      </c>
      <c r="L81" t="s">
        <v>20</v>
      </c>
      <c r="M81" t="s">
        <v>98</v>
      </c>
      <c r="N81" t="s">
        <v>19</v>
      </c>
      <c r="O81">
        <v>1.3</v>
      </c>
      <c r="P81" t="s">
        <v>37</v>
      </c>
    </row>
    <row r="82" spans="1:16" x14ac:dyDescent="0.3">
      <c r="A82">
        <v>80</v>
      </c>
      <c r="B82" t="s">
        <v>15</v>
      </c>
      <c r="C82" t="s">
        <v>181</v>
      </c>
      <c r="D82" t="s">
        <v>184</v>
      </c>
      <c r="E82" t="s">
        <v>185</v>
      </c>
      <c r="F82" t="s">
        <v>91</v>
      </c>
      <c r="G82">
        <v>1559</v>
      </c>
      <c r="H82">
        <v>2</v>
      </c>
      <c r="I82">
        <v>4.4000000000000004</v>
      </c>
      <c r="J82">
        <v>300</v>
      </c>
      <c r="K82" t="s">
        <v>19</v>
      </c>
      <c r="L82" t="s">
        <v>20</v>
      </c>
      <c r="M82" t="s">
        <v>21</v>
      </c>
      <c r="N82" t="s">
        <v>19</v>
      </c>
      <c r="O82">
        <v>0.51</v>
      </c>
      <c r="P82" t="s">
        <v>51</v>
      </c>
    </row>
    <row r="83" spans="1:16" x14ac:dyDescent="0.3">
      <c r="A83">
        <v>81</v>
      </c>
      <c r="B83" t="s">
        <v>15</v>
      </c>
      <c r="C83" t="s">
        <v>181</v>
      </c>
      <c r="D83" t="s">
        <v>186</v>
      </c>
      <c r="E83" t="s">
        <v>187</v>
      </c>
      <c r="F83" t="s">
        <v>43</v>
      </c>
      <c r="G83">
        <v>1156</v>
      </c>
      <c r="H83">
        <v>2.5</v>
      </c>
      <c r="I83">
        <v>4.4000000000000004</v>
      </c>
      <c r="J83">
        <v>50</v>
      </c>
      <c r="K83" t="s">
        <v>29</v>
      </c>
      <c r="L83" t="s">
        <v>20</v>
      </c>
      <c r="M83" t="s">
        <v>21</v>
      </c>
      <c r="N83" t="s">
        <v>19</v>
      </c>
      <c r="O83">
        <v>0.56000000000000005</v>
      </c>
      <c r="P83" t="s">
        <v>51</v>
      </c>
    </row>
    <row r="84" spans="1:16" x14ac:dyDescent="0.3">
      <c r="A84">
        <v>82</v>
      </c>
      <c r="B84" t="s">
        <v>15</v>
      </c>
      <c r="C84" t="s">
        <v>181</v>
      </c>
      <c r="D84" t="s">
        <v>188</v>
      </c>
      <c r="E84" t="s">
        <v>189</v>
      </c>
      <c r="F84" t="s">
        <v>190</v>
      </c>
      <c r="G84">
        <v>1980</v>
      </c>
      <c r="H84">
        <v>3</v>
      </c>
      <c r="I84">
        <v>4.5999999999999996</v>
      </c>
      <c r="J84">
        <v>500</v>
      </c>
      <c r="K84" t="s">
        <v>29</v>
      </c>
      <c r="L84" t="s">
        <v>20</v>
      </c>
      <c r="M84" t="s">
        <v>73</v>
      </c>
      <c r="N84" t="s">
        <v>19</v>
      </c>
      <c r="O84">
        <v>0.09</v>
      </c>
      <c r="P84" t="s">
        <v>51</v>
      </c>
    </row>
    <row r="85" spans="1:16" x14ac:dyDescent="0.3">
      <c r="A85">
        <v>83</v>
      </c>
      <c r="B85" t="s">
        <v>15</v>
      </c>
      <c r="C85" t="s">
        <v>181</v>
      </c>
      <c r="D85" t="s">
        <v>191</v>
      </c>
      <c r="E85" t="s">
        <v>192</v>
      </c>
      <c r="F85" t="s">
        <v>27</v>
      </c>
      <c r="G85">
        <v>1400</v>
      </c>
      <c r="H85">
        <v>1.5</v>
      </c>
      <c r="I85">
        <v>4.4000000000000004</v>
      </c>
      <c r="J85">
        <v>0</v>
      </c>
      <c r="K85" t="s">
        <v>29</v>
      </c>
      <c r="L85" t="s">
        <v>20</v>
      </c>
      <c r="M85" t="s">
        <v>28</v>
      </c>
      <c r="N85" t="s">
        <v>19</v>
      </c>
      <c r="O85">
        <v>1.6</v>
      </c>
      <c r="P85" t="s">
        <v>51</v>
      </c>
    </row>
    <row r="86" spans="1:16" x14ac:dyDescent="0.3">
      <c r="A86">
        <v>84</v>
      </c>
      <c r="B86" t="s">
        <v>15</v>
      </c>
      <c r="C86" t="s">
        <v>181</v>
      </c>
      <c r="D86" t="s">
        <v>193</v>
      </c>
      <c r="E86" t="s">
        <v>194</v>
      </c>
      <c r="F86" t="s">
        <v>195</v>
      </c>
      <c r="G86">
        <v>1236</v>
      </c>
      <c r="H86">
        <v>1</v>
      </c>
      <c r="I86">
        <v>4.5999999999999996</v>
      </c>
      <c r="J86">
        <v>0</v>
      </c>
      <c r="K86" t="s">
        <v>19</v>
      </c>
      <c r="L86" t="s">
        <v>20</v>
      </c>
      <c r="M86" t="s">
        <v>28</v>
      </c>
      <c r="N86" t="s">
        <v>29</v>
      </c>
      <c r="O86">
        <v>0.35</v>
      </c>
      <c r="P86" t="s">
        <v>51</v>
      </c>
    </row>
    <row r="87" spans="1:16" x14ac:dyDescent="0.3">
      <c r="A87">
        <v>85</v>
      </c>
      <c r="B87" t="s">
        <v>15</v>
      </c>
      <c r="C87" t="s">
        <v>181</v>
      </c>
      <c r="D87" t="s">
        <v>196</v>
      </c>
      <c r="E87" t="s">
        <v>197</v>
      </c>
      <c r="F87" t="s">
        <v>43</v>
      </c>
      <c r="G87">
        <v>1459</v>
      </c>
      <c r="H87">
        <v>2</v>
      </c>
      <c r="I87">
        <v>4.5999999999999996</v>
      </c>
      <c r="J87">
        <v>100</v>
      </c>
      <c r="K87" t="s">
        <v>19</v>
      </c>
      <c r="L87" t="s">
        <v>20</v>
      </c>
      <c r="M87" t="s">
        <v>21</v>
      </c>
      <c r="N87" t="s">
        <v>19</v>
      </c>
      <c r="O87">
        <v>0.64</v>
      </c>
      <c r="P87" t="s">
        <v>51</v>
      </c>
    </row>
    <row r="88" spans="1:16" x14ac:dyDescent="0.3">
      <c r="A88">
        <v>86</v>
      </c>
      <c r="B88" t="s">
        <v>15</v>
      </c>
      <c r="C88" t="s">
        <v>181</v>
      </c>
      <c r="D88" t="s">
        <v>198</v>
      </c>
      <c r="E88" t="s">
        <v>199</v>
      </c>
      <c r="F88" t="s">
        <v>43</v>
      </c>
      <c r="G88">
        <v>700</v>
      </c>
      <c r="H88">
        <v>2</v>
      </c>
      <c r="I88">
        <v>4.5999999999999996</v>
      </c>
      <c r="J88">
        <v>40</v>
      </c>
      <c r="K88" t="s">
        <v>29</v>
      </c>
      <c r="L88" t="s">
        <v>20</v>
      </c>
      <c r="M88" t="s">
        <v>21</v>
      </c>
      <c r="N88" t="s">
        <v>19</v>
      </c>
      <c r="O88">
        <v>1.9</v>
      </c>
      <c r="P88" t="s">
        <v>51</v>
      </c>
    </row>
    <row r="89" spans="1:16" x14ac:dyDescent="0.3">
      <c r="A89">
        <v>87</v>
      </c>
      <c r="B89" t="s">
        <v>15</v>
      </c>
      <c r="C89" t="s">
        <v>181</v>
      </c>
      <c r="D89" t="s">
        <v>200</v>
      </c>
      <c r="E89" t="s">
        <v>201</v>
      </c>
      <c r="F89" t="s">
        <v>27</v>
      </c>
      <c r="G89">
        <v>1100</v>
      </c>
      <c r="H89">
        <v>1</v>
      </c>
      <c r="I89">
        <v>4.5999999999999996</v>
      </c>
      <c r="J89">
        <v>0</v>
      </c>
      <c r="K89" t="s">
        <v>29</v>
      </c>
      <c r="L89" t="s">
        <v>20</v>
      </c>
      <c r="M89" t="s">
        <v>28</v>
      </c>
      <c r="N89" t="s">
        <v>29</v>
      </c>
      <c r="O89">
        <v>0.05</v>
      </c>
      <c r="P89" t="s">
        <v>51</v>
      </c>
    </row>
    <row r="90" spans="1:16" x14ac:dyDescent="0.3">
      <c r="A90">
        <v>88</v>
      </c>
      <c r="B90" t="s">
        <v>15</v>
      </c>
      <c r="C90" t="s">
        <v>181</v>
      </c>
      <c r="D90" t="s">
        <v>202</v>
      </c>
      <c r="E90" t="s">
        <v>203</v>
      </c>
      <c r="F90" t="s">
        <v>43</v>
      </c>
      <c r="G90">
        <v>1589</v>
      </c>
      <c r="H90">
        <v>2</v>
      </c>
      <c r="I90">
        <v>4.5</v>
      </c>
      <c r="J90">
        <v>50</v>
      </c>
      <c r="K90" t="s">
        <v>19</v>
      </c>
      <c r="L90" t="s">
        <v>20</v>
      </c>
      <c r="M90" t="s">
        <v>21</v>
      </c>
      <c r="N90" t="s">
        <v>19</v>
      </c>
      <c r="O90">
        <v>0.32</v>
      </c>
      <c r="P90" t="s">
        <v>51</v>
      </c>
    </row>
    <row r="91" spans="1:16" x14ac:dyDescent="0.3">
      <c r="A91">
        <v>89</v>
      </c>
      <c r="B91" t="s">
        <v>15</v>
      </c>
      <c r="C91" t="s">
        <v>181</v>
      </c>
      <c r="D91" t="s">
        <v>182</v>
      </c>
      <c r="E91" t="s">
        <v>204</v>
      </c>
      <c r="F91" t="s">
        <v>43</v>
      </c>
      <c r="G91">
        <v>1592</v>
      </c>
      <c r="H91">
        <v>2</v>
      </c>
      <c r="I91">
        <v>4.5999999999999996</v>
      </c>
      <c r="J91">
        <v>100</v>
      </c>
      <c r="K91" t="s">
        <v>19</v>
      </c>
      <c r="L91" t="s">
        <v>20</v>
      </c>
      <c r="M91" t="s">
        <v>21</v>
      </c>
      <c r="N91" t="s">
        <v>19</v>
      </c>
      <c r="O91">
        <v>1.5</v>
      </c>
      <c r="P91" t="s">
        <v>51</v>
      </c>
    </row>
    <row r="92" spans="1:16" x14ac:dyDescent="0.3">
      <c r="A92">
        <v>90</v>
      </c>
      <c r="B92" t="s">
        <v>15</v>
      </c>
      <c r="C92" t="s">
        <v>181</v>
      </c>
      <c r="D92" t="s">
        <v>182</v>
      </c>
      <c r="E92" t="s">
        <v>205</v>
      </c>
      <c r="F92" t="s">
        <v>43</v>
      </c>
      <c r="G92">
        <v>1726</v>
      </c>
      <c r="H92">
        <v>1.5</v>
      </c>
      <c r="I92">
        <v>4.5</v>
      </c>
      <c r="J92">
        <v>35</v>
      </c>
      <c r="K92" t="s">
        <v>19</v>
      </c>
      <c r="L92" t="s">
        <v>20</v>
      </c>
      <c r="M92" t="s">
        <v>21</v>
      </c>
      <c r="N92" t="s">
        <v>19</v>
      </c>
      <c r="O92">
        <v>0.3</v>
      </c>
      <c r="P92" t="s">
        <v>51</v>
      </c>
    </row>
    <row r="93" spans="1:16" x14ac:dyDescent="0.3">
      <c r="A93">
        <v>91</v>
      </c>
      <c r="B93" t="s">
        <v>15</v>
      </c>
      <c r="C93" t="s">
        <v>181</v>
      </c>
      <c r="D93" t="s">
        <v>184</v>
      </c>
      <c r="E93" t="s">
        <v>206</v>
      </c>
      <c r="F93" t="s">
        <v>106</v>
      </c>
      <c r="G93">
        <v>1362</v>
      </c>
      <c r="H93">
        <v>1</v>
      </c>
      <c r="I93">
        <v>4.5999999999999996</v>
      </c>
      <c r="J93">
        <v>0</v>
      </c>
      <c r="K93" t="s">
        <v>19</v>
      </c>
      <c r="L93" t="s">
        <v>20</v>
      </c>
      <c r="M93" t="s">
        <v>94</v>
      </c>
      <c r="N93" t="s">
        <v>19</v>
      </c>
      <c r="O93">
        <v>0.5</v>
      </c>
      <c r="P93" t="s">
        <v>51</v>
      </c>
    </row>
    <row r="94" spans="1:16" x14ac:dyDescent="0.3">
      <c r="A94">
        <v>92</v>
      </c>
      <c r="B94" t="s">
        <v>15</v>
      </c>
      <c r="C94" t="s">
        <v>207</v>
      </c>
      <c r="D94" t="s">
        <v>208</v>
      </c>
      <c r="E94" t="s">
        <v>209</v>
      </c>
      <c r="F94" t="s">
        <v>210</v>
      </c>
      <c r="G94">
        <v>1604</v>
      </c>
      <c r="H94">
        <v>1.5</v>
      </c>
      <c r="I94">
        <v>4.9000000000000004</v>
      </c>
      <c r="J94">
        <v>0</v>
      </c>
      <c r="K94" t="s">
        <v>19</v>
      </c>
      <c r="L94" t="s">
        <v>20</v>
      </c>
      <c r="M94" t="s">
        <v>211</v>
      </c>
      <c r="N94" t="s">
        <v>19</v>
      </c>
      <c r="O94">
        <v>1.9</v>
      </c>
      <c r="P94" t="s">
        <v>51</v>
      </c>
    </row>
    <row r="95" spans="1:16" x14ac:dyDescent="0.3">
      <c r="A95">
        <v>93</v>
      </c>
      <c r="B95" t="s">
        <v>15</v>
      </c>
      <c r="C95" t="s">
        <v>207</v>
      </c>
      <c r="D95" t="s">
        <v>208</v>
      </c>
      <c r="E95" t="s">
        <v>212</v>
      </c>
      <c r="F95" t="s">
        <v>213</v>
      </c>
      <c r="G95">
        <v>1951</v>
      </c>
      <c r="H95">
        <v>1</v>
      </c>
      <c r="I95">
        <v>4.8</v>
      </c>
      <c r="J95">
        <v>0</v>
      </c>
      <c r="K95" t="s">
        <v>19</v>
      </c>
      <c r="L95" t="s">
        <v>20</v>
      </c>
      <c r="M95" t="s">
        <v>21</v>
      </c>
      <c r="N95" t="s">
        <v>19</v>
      </c>
      <c r="O95">
        <v>0.3</v>
      </c>
      <c r="P95" t="s">
        <v>25</v>
      </c>
    </row>
    <row r="96" spans="1:16" x14ac:dyDescent="0.3">
      <c r="A96">
        <v>94</v>
      </c>
      <c r="B96" t="s">
        <v>15</v>
      </c>
      <c r="C96" t="s">
        <v>207</v>
      </c>
      <c r="D96" t="s">
        <v>208</v>
      </c>
      <c r="E96" t="s">
        <v>214</v>
      </c>
      <c r="F96" t="s">
        <v>215</v>
      </c>
      <c r="G96">
        <v>1950</v>
      </c>
      <c r="H96">
        <v>2</v>
      </c>
      <c r="I96">
        <v>4.8</v>
      </c>
      <c r="J96">
        <v>0</v>
      </c>
      <c r="K96" t="s">
        <v>19</v>
      </c>
      <c r="L96" t="s">
        <v>20</v>
      </c>
      <c r="M96" t="s">
        <v>169</v>
      </c>
      <c r="N96" t="s">
        <v>19</v>
      </c>
      <c r="O96">
        <v>0.17</v>
      </c>
      <c r="P96" t="s">
        <v>22</v>
      </c>
    </row>
    <row r="97" spans="1:16" x14ac:dyDescent="0.3">
      <c r="A97">
        <v>95</v>
      </c>
      <c r="B97" t="s">
        <v>15</v>
      </c>
      <c r="C97" t="s">
        <v>207</v>
      </c>
      <c r="D97" t="s">
        <v>216</v>
      </c>
      <c r="E97" t="s">
        <v>217</v>
      </c>
      <c r="F97" t="s">
        <v>218</v>
      </c>
      <c r="G97">
        <v>1976</v>
      </c>
      <c r="H97">
        <v>2</v>
      </c>
      <c r="I97">
        <v>4.5</v>
      </c>
      <c r="J97">
        <v>30</v>
      </c>
      <c r="K97" t="s">
        <v>19</v>
      </c>
      <c r="L97" t="s">
        <v>20</v>
      </c>
      <c r="M97" t="s">
        <v>54</v>
      </c>
      <c r="N97" t="s">
        <v>19</v>
      </c>
      <c r="O97">
        <v>0.5</v>
      </c>
      <c r="P97" t="s">
        <v>51</v>
      </c>
    </row>
    <row r="98" spans="1:16" x14ac:dyDescent="0.3">
      <c r="A98">
        <v>96</v>
      </c>
      <c r="B98" t="s">
        <v>87</v>
      </c>
      <c r="C98" t="s">
        <v>219</v>
      </c>
      <c r="D98" t="s">
        <v>220</v>
      </c>
      <c r="E98" t="s">
        <v>221</v>
      </c>
      <c r="F98" t="s">
        <v>79</v>
      </c>
      <c r="G98" t="s">
        <v>67</v>
      </c>
      <c r="H98">
        <v>1.5</v>
      </c>
      <c r="I98">
        <v>4.5</v>
      </c>
      <c r="J98">
        <v>0</v>
      </c>
      <c r="K98" t="s">
        <v>19</v>
      </c>
      <c r="L98" t="s">
        <v>20</v>
      </c>
      <c r="M98" t="s">
        <v>80</v>
      </c>
      <c r="N98" t="s">
        <v>19</v>
      </c>
      <c r="O98">
        <v>0.11</v>
      </c>
      <c r="P98" t="s">
        <v>51</v>
      </c>
    </row>
    <row r="99" spans="1:16" x14ac:dyDescent="0.3">
      <c r="A99">
        <v>97</v>
      </c>
      <c r="B99" t="s">
        <v>87</v>
      </c>
      <c r="C99" t="s">
        <v>219</v>
      </c>
      <c r="D99" t="s">
        <v>222</v>
      </c>
      <c r="E99" t="s">
        <v>223</v>
      </c>
      <c r="F99" t="s">
        <v>224</v>
      </c>
      <c r="G99" t="s">
        <v>67</v>
      </c>
      <c r="H99">
        <v>2</v>
      </c>
      <c r="I99">
        <v>4.3</v>
      </c>
      <c r="J99">
        <v>0</v>
      </c>
      <c r="K99" t="s">
        <v>29</v>
      </c>
      <c r="L99" t="s">
        <v>20</v>
      </c>
      <c r="M99" t="s">
        <v>94</v>
      </c>
      <c r="N99" t="s">
        <v>19</v>
      </c>
      <c r="O99">
        <v>0.3</v>
      </c>
      <c r="P99" t="s">
        <v>51</v>
      </c>
    </row>
    <row r="100" spans="1:16" x14ac:dyDescent="0.3">
      <c r="A100">
        <v>98</v>
      </c>
      <c r="B100" t="s">
        <v>87</v>
      </c>
      <c r="C100" t="s">
        <v>219</v>
      </c>
      <c r="D100" t="s">
        <v>225</v>
      </c>
      <c r="E100" t="s">
        <v>226</v>
      </c>
      <c r="F100" t="s">
        <v>134</v>
      </c>
      <c r="G100">
        <v>1503</v>
      </c>
      <c r="H100">
        <v>1</v>
      </c>
      <c r="I100">
        <v>4.4000000000000004</v>
      </c>
      <c r="J100">
        <v>0</v>
      </c>
      <c r="K100" t="s">
        <v>19</v>
      </c>
      <c r="L100" t="s">
        <v>20</v>
      </c>
      <c r="M100" t="s">
        <v>21</v>
      </c>
      <c r="N100" t="s">
        <v>19</v>
      </c>
      <c r="O100">
        <v>0.1</v>
      </c>
      <c r="P100" t="s">
        <v>51</v>
      </c>
    </row>
    <row r="101" spans="1:16" x14ac:dyDescent="0.3">
      <c r="A101">
        <v>99</v>
      </c>
      <c r="B101" t="s">
        <v>87</v>
      </c>
      <c r="C101" t="s">
        <v>219</v>
      </c>
      <c r="D101" t="s">
        <v>227</v>
      </c>
      <c r="E101" t="s">
        <v>228</v>
      </c>
      <c r="F101" t="s">
        <v>27</v>
      </c>
      <c r="G101" t="s">
        <v>67</v>
      </c>
      <c r="H101">
        <v>1</v>
      </c>
      <c r="I101">
        <v>4.7</v>
      </c>
      <c r="J101">
        <v>0</v>
      </c>
      <c r="K101" t="s">
        <v>19</v>
      </c>
      <c r="L101" t="s">
        <v>20</v>
      </c>
      <c r="M101" t="s">
        <v>28</v>
      </c>
      <c r="N101" t="s">
        <v>29</v>
      </c>
      <c r="O101">
        <v>0.46</v>
      </c>
      <c r="P101" t="s">
        <v>51</v>
      </c>
    </row>
    <row r="102" spans="1:16" x14ac:dyDescent="0.3">
      <c r="A102">
        <v>100</v>
      </c>
      <c r="B102" t="s">
        <v>87</v>
      </c>
      <c r="C102" t="s">
        <v>219</v>
      </c>
      <c r="D102" t="s">
        <v>229</v>
      </c>
      <c r="E102" t="s">
        <v>230</v>
      </c>
      <c r="F102" t="s">
        <v>79</v>
      </c>
      <c r="G102" t="s">
        <v>67</v>
      </c>
      <c r="H102">
        <v>1.5</v>
      </c>
      <c r="I102">
        <v>3.9</v>
      </c>
      <c r="J102">
        <v>0</v>
      </c>
      <c r="K102" t="s">
        <v>19</v>
      </c>
      <c r="L102" t="s">
        <v>20</v>
      </c>
      <c r="M102" t="s">
        <v>80</v>
      </c>
      <c r="N102" t="s">
        <v>19</v>
      </c>
      <c r="O102">
        <v>5.8999999999999997E-2</v>
      </c>
      <c r="P102" t="s">
        <v>51</v>
      </c>
    </row>
    <row r="103" spans="1:16" x14ac:dyDescent="0.3">
      <c r="A103">
        <v>101</v>
      </c>
      <c r="B103" t="s">
        <v>87</v>
      </c>
      <c r="C103" t="s">
        <v>219</v>
      </c>
      <c r="D103" t="s">
        <v>231</v>
      </c>
      <c r="E103" t="s">
        <v>232</v>
      </c>
      <c r="F103" t="s">
        <v>190</v>
      </c>
      <c r="G103" t="s">
        <v>67</v>
      </c>
      <c r="H103">
        <v>3</v>
      </c>
      <c r="I103">
        <v>4.5</v>
      </c>
      <c r="J103">
        <v>300</v>
      </c>
      <c r="K103" t="s">
        <v>29</v>
      </c>
      <c r="L103" t="s">
        <v>20</v>
      </c>
      <c r="M103" t="s">
        <v>73</v>
      </c>
      <c r="N103" t="s">
        <v>19</v>
      </c>
      <c r="O103">
        <v>2.2000000000000002</v>
      </c>
      <c r="P103" t="s">
        <v>51</v>
      </c>
    </row>
    <row r="104" spans="1:16" x14ac:dyDescent="0.3">
      <c r="A104">
        <v>102</v>
      </c>
      <c r="B104" t="s">
        <v>87</v>
      </c>
      <c r="C104" t="s">
        <v>219</v>
      </c>
      <c r="D104" t="s">
        <v>233</v>
      </c>
      <c r="E104" t="s">
        <v>234</v>
      </c>
      <c r="F104" t="s">
        <v>72</v>
      </c>
      <c r="G104">
        <v>1982</v>
      </c>
      <c r="H104">
        <v>3</v>
      </c>
      <c r="I104">
        <v>4.3</v>
      </c>
      <c r="J104">
        <v>50</v>
      </c>
      <c r="K104" t="s">
        <v>29</v>
      </c>
      <c r="L104" t="s">
        <v>20</v>
      </c>
      <c r="M104" t="s">
        <v>73</v>
      </c>
      <c r="N104" t="s">
        <v>19</v>
      </c>
      <c r="O104">
        <v>0.14000000000000001</v>
      </c>
      <c r="P104" t="s">
        <v>51</v>
      </c>
    </row>
    <row r="105" spans="1:16" x14ac:dyDescent="0.3">
      <c r="A105">
        <v>103</v>
      </c>
      <c r="B105" t="s">
        <v>87</v>
      </c>
      <c r="C105" t="s">
        <v>219</v>
      </c>
      <c r="D105" t="s">
        <v>235</v>
      </c>
      <c r="E105" t="s">
        <v>236</v>
      </c>
      <c r="F105" t="s">
        <v>153</v>
      </c>
      <c r="G105">
        <v>1972</v>
      </c>
      <c r="H105">
        <v>2</v>
      </c>
      <c r="I105">
        <v>3.8</v>
      </c>
      <c r="J105">
        <v>50</v>
      </c>
      <c r="K105" t="s">
        <v>19</v>
      </c>
      <c r="L105" t="s">
        <v>20</v>
      </c>
      <c r="M105" t="s">
        <v>73</v>
      </c>
      <c r="N105" t="s">
        <v>19</v>
      </c>
      <c r="O105">
        <v>0.1</v>
      </c>
      <c r="P105" t="s">
        <v>51</v>
      </c>
    </row>
    <row r="106" spans="1:16" x14ac:dyDescent="0.3">
      <c r="A106">
        <v>104</v>
      </c>
      <c r="B106" t="s">
        <v>87</v>
      </c>
      <c r="C106" t="s">
        <v>219</v>
      </c>
      <c r="D106" t="s">
        <v>237</v>
      </c>
      <c r="E106" t="s">
        <v>238</v>
      </c>
      <c r="F106" t="s">
        <v>79</v>
      </c>
      <c r="G106" t="s">
        <v>67</v>
      </c>
      <c r="H106">
        <v>2</v>
      </c>
      <c r="I106">
        <v>4.5999999999999996</v>
      </c>
      <c r="J106">
        <v>0</v>
      </c>
      <c r="K106" t="s">
        <v>19</v>
      </c>
      <c r="L106" t="s">
        <v>20</v>
      </c>
      <c r="M106" t="s">
        <v>80</v>
      </c>
      <c r="N106" t="s">
        <v>19</v>
      </c>
      <c r="O106">
        <v>0.1</v>
      </c>
      <c r="P106" t="s">
        <v>51</v>
      </c>
    </row>
    <row r="107" spans="1:16" x14ac:dyDescent="0.3">
      <c r="A107">
        <v>105</v>
      </c>
      <c r="B107" t="s">
        <v>87</v>
      </c>
      <c r="C107" t="s">
        <v>219</v>
      </c>
      <c r="D107" t="s">
        <v>239</v>
      </c>
      <c r="E107" t="s">
        <v>240</v>
      </c>
      <c r="F107" t="s">
        <v>43</v>
      </c>
      <c r="G107">
        <v>1650</v>
      </c>
      <c r="H107">
        <v>1.5</v>
      </c>
      <c r="I107">
        <v>4.5</v>
      </c>
      <c r="J107">
        <v>20</v>
      </c>
      <c r="K107" t="s">
        <v>29</v>
      </c>
      <c r="L107" t="s">
        <v>20</v>
      </c>
      <c r="M107" t="s">
        <v>21</v>
      </c>
      <c r="N107" t="s">
        <v>19</v>
      </c>
      <c r="O107">
        <v>0.22</v>
      </c>
      <c r="P107" t="s">
        <v>51</v>
      </c>
    </row>
    <row r="108" spans="1:16" x14ac:dyDescent="0.3">
      <c r="A108">
        <v>106</v>
      </c>
      <c r="B108" t="s">
        <v>87</v>
      </c>
      <c r="C108" t="s">
        <v>219</v>
      </c>
      <c r="D108" t="s">
        <v>241</v>
      </c>
      <c r="E108" t="s">
        <v>242</v>
      </c>
      <c r="F108" t="s">
        <v>79</v>
      </c>
      <c r="G108" t="s">
        <v>67</v>
      </c>
      <c r="H108">
        <v>2</v>
      </c>
      <c r="I108">
        <v>4.4000000000000004</v>
      </c>
      <c r="J108">
        <v>0</v>
      </c>
      <c r="K108" t="s">
        <v>19</v>
      </c>
      <c r="L108" t="s">
        <v>20</v>
      </c>
      <c r="M108" t="s">
        <v>80</v>
      </c>
      <c r="N108" t="s">
        <v>19</v>
      </c>
      <c r="O108">
        <v>0.68</v>
      </c>
      <c r="P108" t="s">
        <v>51</v>
      </c>
    </row>
    <row r="109" spans="1:16" x14ac:dyDescent="0.3">
      <c r="A109">
        <v>107</v>
      </c>
      <c r="B109" t="s">
        <v>87</v>
      </c>
      <c r="C109" t="s">
        <v>219</v>
      </c>
      <c r="D109" t="s">
        <v>243</v>
      </c>
      <c r="E109" t="s">
        <v>244</v>
      </c>
      <c r="F109" t="s">
        <v>43</v>
      </c>
      <c r="G109">
        <v>1505</v>
      </c>
      <c r="H109">
        <v>1</v>
      </c>
      <c r="I109">
        <v>4.4000000000000004</v>
      </c>
      <c r="J109">
        <v>20</v>
      </c>
      <c r="K109" t="s">
        <v>19</v>
      </c>
      <c r="L109" t="s">
        <v>20</v>
      </c>
      <c r="M109" t="s">
        <v>21</v>
      </c>
      <c r="N109" t="s">
        <v>19</v>
      </c>
      <c r="O109">
        <v>0.11</v>
      </c>
      <c r="P109" t="s">
        <v>51</v>
      </c>
    </row>
    <row r="110" spans="1:16" x14ac:dyDescent="0.3">
      <c r="A110">
        <v>108</v>
      </c>
      <c r="B110" t="s">
        <v>87</v>
      </c>
      <c r="C110" t="s">
        <v>219</v>
      </c>
      <c r="D110" t="s">
        <v>245</v>
      </c>
      <c r="E110" t="s">
        <v>246</v>
      </c>
      <c r="F110" t="s">
        <v>247</v>
      </c>
      <c r="G110" t="s">
        <v>67</v>
      </c>
      <c r="H110">
        <v>1</v>
      </c>
      <c r="I110">
        <v>4.5</v>
      </c>
      <c r="J110">
        <v>0</v>
      </c>
      <c r="K110" t="s">
        <v>29</v>
      </c>
      <c r="L110" t="s">
        <v>20</v>
      </c>
      <c r="M110" t="s">
        <v>94</v>
      </c>
      <c r="N110" t="s">
        <v>19</v>
      </c>
      <c r="O110">
        <v>0.03</v>
      </c>
      <c r="P110" t="s">
        <v>37</v>
      </c>
    </row>
    <row r="111" spans="1:16" x14ac:dyDescent="0.3">
      <c r="A111">
        <v>109</v>
      </c>
      <c r="B111" t="s">
        <v>87</v>
      </c>
      <c r="C111" t="s">
        <v>219</v>
      </c>
      <c r="D111" t="s">
        <v>225</v>
      </c>
      <c r="E111" t="s">
        <v>248</v>
      </c>
      <c r="F111" t="s">
        <v>169</v>
      </c>
      <c r="G111">
        <v>2009</v>
      </c>
      <c r="H111">
        <v>1.5</v>
      </c>
      <c r="I111">
        <v>4.4000000000000004</v>
      </c>
      <c r="J111">
        <v>100</v>
      </c>
      <c r="K111" t="s">
        <v>19</v>
      </c>
      <c r="L111" t="s">
        <v>32</v>
      </c>
      <c r="M111" t="s">
        <v>169</v>
      </c>
      <c r="N111" t="s">
        <v>19</v>
      </c>
      <c r="O111">
        <v>0.1</v>
      </c>
      <c r="P111" t="s">
        <v>51</v>
      </c>
    </row>
    <row r="112" spans="1:16" x14ac:dyDescent="0.3">
      <c r="A112">
        <v>110</v>
      </c>
      <c r="B112" t="s">
        <v>87</v>
      </c>
      <c r="C112" t="s">
        <v>219</v>
      </c>
      <c r="D112" t="s">
        <v>225</v>
      </c>
      <c r="E112" t="s">
        <v>249</v>
      </c>
      <c r="F112" t="s">
        <v>82</v>
      </c>
      <c r="G112">
        <v>2016</v>
      </c>
      <c r="H112">
        <v>5.5</v>
      </c>
      <c r="I112">
        <v>4.5999999999999996</v>
      </c>
      <c r="J112">
        <v>750</v>
      </c>
      <c r="K112" t="s">
        <v>19</v>
      </c>
      <c r="L112" t="s">
        <v>20</v>
      </c>
      <c r="M112" t="s">
        <v>109</v>
      </c>
      <c r="N112" t="s">
        <v>19</v>
      </c>
      <c r="O112">
        <v>0.41</v>
      </c>
      <c r="P112" t="s">
        <v>51</v>
      </c>
    </row>
    <row r="113" spans="1:16" x14ac:dyDescent="0.3">
      <c r="A113">
        <v>111</v>
      </c>
      <c r="B113" t="s">
        <v>87</v>
      </c>
      <c r="C113" t="s">
        <v>88</v>
      </c>
      <c r="D113" t="s">
        <v>250</v>
      </c>
      <c r="E113" t="s">
        <v>251</v>
      </c>
      <c r="F113" t="s">
        <v>91</v>
      </c>
      <c r="G113">
        <v>1912</v>
      </c>
      <c r="H113">
        <v>2</v>
      </c>
      <c r="I113">
        <v>4.5999999999999996</v>
      </c>
      <c r="J113">
        <v>50</v>
      </c>
      <c r="K113" t="s">
        <v>19</v>
      </c>
      <c r="L113" t="s">
        <v>20</v>
      </c>
      <c r="M113" t="s">
        <v>21</v>
      </c>
      <c r="N113" t="s">
        <v>19</v>
      </c>
      <c r="O113">
        <v>2.5</v>
      </c>
      <c r="P113" t="s">
        <v>51</v>
      </c>
    </row>
    <row r="114" spans="1:16" x14ac:dyDescent="0.3">
      <c r="A114">
        <v>112</v>
      </c>
      <c r="B114" t="s">
        <v>87</v>
      </c>
      <c r="C114" t="s">
        <v>88</v>
      </c>
      <c r="D114" t="s">
        <v>252</v>
      </c>
      <c r="E114" t="s">
        <v>253</v>
      </c>
      <c r="F114" t="s">
        <v>134</v>
      </c>
      <c r="G114" t="s">
        <v>67</v>
      </c>
      <c r="H114">
        <v>3</v>
      </c>
      <c r="I114">
        <v>4.7</v>
      </c>
      <c r="J114">
        <v>0</v>
      </c>
      <c r="K114" t="s">
        <v>29</v>
      </c>
      <c r="L114" t="s">
        <v>20</v>
      </c>
      <c r="M114" t="s">
        <v>21</v>
      </c>
      <c r="N114" t="s">
        <v>19</v>
      </c>
      <c r="O114">
        <v>0.05</v>
      </c>
      <c r="P114" t="s">
        <v>51</v>
      </c>
    </row>
    <row r="115" spans="1:16" x14ac:dyDescent="0.3">
      <c r="A115">
        <v>113</v>
      </c>
      <c r="B115" t="s">
        <v>87</v>
      </c>
      <c r="C115" t="s">
        <v>88</v>
      </c>
      <c r="D115" t="s">
        <v>254</v>
      </c>
      <c r="E115" t="s">
        <v>255</v>
      </c>
      <c r="F115" t="s">
        <v>142</v>
      </c>
      <c r="G115" t="s">
        <v>67</v>
      </c>
      <c r="H115">
        <v>1</v>
      </c>
      <c r="I115">
        <v>4.0999999999999996</v>
      </c>
      <c r="J115">
        <v>0</v>
      </c>
      <c r="K115" t="s">
        <v>29</v>
      </c>
      <c r="L115" t="s">
        <v>20</v>
      </c>
      <c r="M115" t="s">
        <v>94</v>
      </c>
      <c r="N115" t="s">
        <v>19</v>
      </c>
      <c r="O115">
        <v>0.03</v>
      </c>
      <c r="P115" t="s">
        <v>37</v>
      </c>
    </row>
    <row r="116" spans="1:16" x14ac:dyDescent="0.3">
      <c r="A116">
        <v>114</v>
      </c>
      <c r="B116" t="s">
        <v>87</v>
      </c>
      <c r="C116" t="s">
        <v>88</v>
      </c>
      <c r="D116" t="s">
        <v>256</v>
      </c>
      <c r="E116" t="s">
        <v>257</v>
      </c>
      <c r="F116" t="s">
        <v>79</v>
      </c>
      <c r="G116" t="s">
        <v>67</v>
      </c>
      <c r="H116">
        <v>2</v>
      </c>
      <c r="I116">
        <v>4.5</v>
      </c>
      <c r="J116">
        <v>0</v>
      </c>
      <c r="K116" t="s">
        <v>29</v>
      </c>
      <c r="L116" t="s">
        <v>20</v>
      </c>
      <c r="M116" t="s">
        <v>94</v>
      </c>
      <c r="N116" t="s">
        <v>19</v>
      </c>
      <c r="O116">
        <v>0.09</v>
      </c>
      <c r="P116" t="s">
        <v>51</v>
      </c>
    </row>
    <row r="117" spans="1:16" x14ac:dyDescent="0.3">
      <c r="A117">
        <v>115</v>
      </c>
      <c r="B117" t="s">
        <v>87</v>
      </c>
      <c r="C117" t="s">
        <v>88</v>
      </c>
      <c r="D117" t="s">
        <v>258</v>
      </c>
      <c r="E117" t="s">
        <v>259</v>
      </c>
      <c r="F117" t="s">
        <v>260</v>
      </c>
      <c r="G117" t="s">
        <v>67</v>
      </c>
      <c r="H117">
        <v>3</v>
      </c>
      <c r="I117">
        <v>4.5</v>
      </c>
      <c r="J117">
        <v>0</v>
      </c>
      <c r="K117" t="s">
        <v>29</v>
      </c>
      <c r="L117" t="s">
        <v>20</v>
      </c>
      <c r="M117" t="s">
        <v>94</v>
      </c>
      <c r="N117" t="s">
        <v>19</v>
      </c>
      <c r="O117">
        <v>0.05</v>
      </c>
      <c r="P117" t="s">
        <v>51</v>
      </c>
    </row>
    <row r="118" spans="1:16" x14ac:dyDescent="0.3">
      <c r="A118">
        <v>116</v>
      </c>
      <c r="B118" t="s">
        <v>87</v>
      </c>
      <c r="C118" t="s">
        <v>88</v>
      </c>
      <c r="D118" t="s">
        <v>261</v>
      </c>
      <c r="E118" t="s">
        <v>262</v>
      </c>
      <c r="F118" t="s">
        <v>263</v>
      </c>
      <c r="G118">
        <v>600</v>
      </c>
      <c r="H118">
        <v>1.5</v>
      </c>
      <c r="I118">
        <v>4.5999999999999996</v>
      </c>
      <c r="J118">
        <v>30</v>
      </c>
      <c r="K118" t="s">
        <v>29</v>
      </c>
      <c r="L118" t="s">
        <v>20</v>
      </c>
      <c r="M118" t="s">
        <v>28</v>
      </c>
      <c r="N118" t="s">
        <v>29</v>
      </c>
      <c r="O118">
        <v>0.2</v>
      </c>
      <c r="P118" t="s">
        <v>51</v>
      </c>
    </row>
    <row r="119" spans="1:16" x14ac:dyDescent="0.3">
      <c r="A119">
        <v>117</v>
      </c>
      <c r="B119" t="s">
        <v>87</v>
      </c>
      <c r="C119" t="s">
        <v>88</v>
      </c>
      <c r="D119" t="s">
        <v>264</v>
      </c>
      <c r="E119" t="s">
        <v>265</v>
      </c>
      <c r="F119" t="s">
        <v>142</v>
      </c>
      <c r="G119">
        <v>1900</v>
      </c>
      <c r="H119">
        <v>1.5</v>
      </c>
      <c r="I119">
        <v>4.5999999999999996</v>
      </c>
      <c r="J119">
        <v>30</v>
      </c>
      <c r="K119" t="s">
        <v>29</v>
      </c>
      <c r="L119" t="s">
        <v>20</v>
      </c>
      <c r="M119" t="s">
        <v>94</v>
      </c>
      <c r="N119" t="s">
        <v>19</v>
      </c>
      <c r="O119">
        <v>0.23</v>
      </c>
      <c r="P119" t="s">
        <v>37</v>
      </c>
    </row>
    <row r="120" spans="1:16" x14ac:dyDescent="0.3">
      <c r="A120">
        <v>118</v>
      </c>
      <c r="B120" t="s">
        <v>87</v>
      </c>
      <c r="C120" t="s">
        <v>88</v>
      </c>
      <c r="D120" t="s">
        <v>266</v>
      </c>
      <c r="E120" t="s">
        <v>267</v>
      </c>
      <c r="F120" t="s">
        <v>79</v>
      </c>
      <c r="G120" t="s">
        <v>67</v>
      </c>
      <c r="H120">
        <v>1.5</v>
      </c>
      <c r="I120">
        <v>4.5</v>
      </c>
      <c r="J120">
        <v>0</v>
      </c>
      <c r="K120" t="s">
        <v>19</v>
      </c>
      <c r="L120" t="s">
        <v>20</v>
      </c>
      <c r="M120" t="s">
        <v>80</v>
      </c>
      <c r="N120" t="s">
        <v>19</v>
      </c>
      <c r="O120">
        <v>0.1</v>
      </c>
      <c r="P120" t="s">
        <v>51</v>
      </c>
    </row>
    <row r="121" spans="1:16" x14ac:dyDescent="0.3">
      <c r="A121">
        <v>119</v>
      </c>
      <c r="B121" t="s">
        <v>87</v>
      </c>
      <c r="C121" t="s">
        <v>88</v>
      </c>
      <c r="D121" t="s">
        <v>268</v>
      </c>
      <c r="E121" t="s">
        <v>269</v>
      </c>
      <c r="F121" t="s">
        <v>27</v>
      </c>
      <c r="G121" t="s">
        <v>67</v>
      </c>
      <c r="H121">
        <v>1</v>
      </c>
      <c r="I121">
        <v>4.7</v>
      </c>
      <c r="J121">
        <v>0</v>
      </c>
      <c r="K121" t="s">
        <v>19</v>
      </c>
      <c r="L121" t="s">
        <v>20</v>
      </c>
      <c r="M121" t="s">
        <v>28</v>
      </c>
      <c r="N121" t="s">
        <v>29</v>
      </c>
      <c r="O121">
        <v>0.49</v>
      </c>
      <c r="P121" t="s">
        <v>51</v>
      </c>
    </row>
    <row r="122" spans="1:16" x14ac:dyDescent="0.3">
      <c r="A122">
        <v>120</v>
      </c>
      <c r="B122" t="s">
        <v>87</v>
      </c>
      <c r="C122" t="s">
        <v>88</v>
      </c>
      <c r="D122" t="s">
        <v>270</v>
      </c>
      <c r="E122" t="s">
        <v>271</v>
      </c>
      <c r="F122" t="s">
        <v>272</v>
      </c>
      <c r="G122">
        <v>1656</v>
      </c>
      <c r="H122">
        <v>1.5</v>
      </c>
      <c r="I122">
        <v>4.5</v>
      </c>
      <c r="J122">
        <v>20</v>
      </c>
      <c r="K122" t="s">
        <v>29</v>
      </c>
      <c r="L122" t="s">
        <v>20</v>
      </c>
      <c r="M122" t="s">
        <v>21</v>
      </c>
      <c r="N122" t="s">
        <v>19</v>
      </c>
      <c r="O122">
        <v>0.25</v>
      </c>
      <c r="P122" t="s">
        <v>51</v>
      </c>
    </row>
    <row r="123" spans="1:16" x14ac:dyDescent="0.3">
      <c r="A123">
        <v>121</v>
      </c>
      <c r="B123" t="s">
        <v>87</v>
      </c>
      <c r="C123" t="s">
        <v>88</v>
      </c>
      <c r="D123" t="s">
        <v>273</v>
      </c>
      <c r="E123" t="s">
        <v>274</v>
      </c>
      <c r="F123" t="s">
        <v>72</v>
      </c>
      <c r="G123">
        <v>1974</v>
      </c>
      <c r="H123">
        <v>3</v>
      </c>
      <c r="I123">
        <v>4.4000000000000004</v>
      </c>
      <c r="J123">
        <v>300</v>
      </c>
      <c r="K123" t="s">
        <v>29</v>
      </c>
      <c r="L123" t="s">
        <v>20</v>
      </c>
      <c r="M123" t="s">
        <v>73</v>
      </c>
      <c r="N123" t="s">
        <v>19</v>
      </c>
      <c r="O123">
        <v>0.15</v>
      </c>
      <c r="P123" t="s">
        <v>37</v>
      </c>
    </row>
    <row r="124" spans="1:16" x14ac:dyDescent="0.3">
      <c r="A124">
        <v>122</v>
      </c>
      <c r="B124" t="s">
        <v>87</v>
      </c>
      <c r="C124" t="s">
        <v>88</v>
      </c>
      <c r="D124" t="s">
        <v>275</v>
      </c>
      <c r="E124" t="s">
        <v>276</v>
      </c>
      <c r="F124" t="s">
        <v>27</v>
      </c>
      <c r="G124">
        <v>1121</v>
      </c>
      <c r="H124">
        <v>1</v>
      </c>
      <c r="I124">
        <v>4.7</v>
      </c>
      <c r="J124">
        <v>15</v>
      </c>
      <c r="K124" t="s">
        <v>29</v>
      </c>
      <c r="L124" t="s">
        <v>20</v>
      </c>
      <c r="M124" t="s">
        <v>28</v>
      </c>
      <c r="N124" t="s">
        <v>29</v>
      </c>
      <c r="O124">
        <v>0.11</v>
      </c>
      <c r="P124" t="s">
        <v>51</v>
      </c>
    </row>
    <row r="125" spans="1:16" x14ac:dyDescent="0.3">
      <c r="A125">
        <v>123</v>
      </c>
      <c r="B125" t="s">
        <v>62</v>
      </c>
      <c r="C125" t="s">
        <v>63</v>
      </c>
      <c r="D125" t="s">
        <v>277</v>
      </c>
      <c r="E125" t="s">
        <v>278</v>
      </c>
      <c r="F125" t="s">
        <v>43</v>
      </c>
      <c r="G125">
        <v>1732</v>
      </c>
      <c r="H125">
        <v>2</v>
      </c>
      <c r="I125">
        <v>4.4000000000000004</v>
      </c>
      <c r="J125">
        <v>50</v>
      </c>
      <c r="K125" t="s">
        <v>19</v>
      </c>
      <c r="L125" t="s">
        <v>20</v>
      </c>
      <c r="M125" t="s">
        <v>21</v>
      </c>
      <c r="N125" t="s">
        <v>19</v>
      </c>
      <c r="O125">
        <v>1.2</v>
      </c>
      <c r="P125" t="s">
        <v>51</v>
      </c>
    </row>
    <row r="126" spans="1:16" x14ac:dyDescent="0.3">
      <c r="A126">
        <v>124</v>
      </c>
      <c r="B126" t="s">
        <v>62</v>
      </c>
      <c r="C126" t="s">
        <v>63</v>
      </c>
      <c r="D126" t="s">
        <v>279</v>
      </c>
      <c r="E126" t="s">
        <v>280</v>
      </c>
      <c r="F126" t="s">
        <v>263</v>
      </c>
      <c r="G126">
        <v>200</v>
      </c>
      <c r="H126">
        <v>3</v>
      </c>
      <c r="I126">
        <v>4.5999999999999996</v>
      </c>
      <c r="J126">
        <v>30</v>
      </c>
      <c r="K126" t="s">
        <v>19</v>
      </c>
      <c r="L126" t="s">
        <v>32</v>
      </c>
      <c r="M126" t="s">
        <v>21</v>
      </c>
      <c r="N126" t="s">
        <v>19</v>
      </c>
      <c r="O126">
        <v>0.21</v>
      </c>
      <c r="P126" t="s">
        <v>25</v>
      </c>
    </row>
    <row r="127" spans="1:16" x14ac:dyDescent="0.3">
      <c r="A127">
        <v>125</v>
      </c>
      <c r="B127" t="s">
        <v>62</v>
      </c>
      <c r="C127" t="s">
        <v>63</v>
      </c>
      <c r="D127" t="s">
        <v>281</v>
      </c>
      <c r="E127" t="s">
        <v>282</v>
      </c>
      <c r="F127" t="s">
        <v>283</v>
      </c>
      <c r="G127">
        <v>1999</v>
      </c>
      <c r="H127">
        <v>2</v>
      </c>
      <c r="I127">
        <v>4.0999999999999996</v>
      </c>
      <c r="J127">
        <v>300</v>
      </c>
      <c r="K127" t="s">
        <v>19</v>
      </c>
      <c r="L127" t="s">
        <v>20</v>
      </c>
      <c r="M127" t="s">
        <v>80</v>
      </c>
      <c r="N127" t="s">
        <v>19</v>
      </c>
      <c r="O127">
        <v>0.1</v>
      </c>
      <c r="P127" t="s">
        <v>25</v>
      </c>
    </row>
    <row r="128" spans="1:16" x14ac:dyDescent="0.3">
      <c r="A128">
        <v>126</v>
      </c>
      <c r="B128" t="s">
        <v>62</v>
      </c>
      <c r="C128" t="s">
        <v>63</v>
      </c>
      <c r="D128" t="s">
        <v>284</v>
      </c>
      <c r="E128" t="s">
        <v>285</v>
      </c>
      <c r="F128" t="s">
        <v>27</v>
      </c>
      <c r="G128">
        <v>1922</v>
      </c>
      <c r="H128">
        <v>1.5</v>
      </c>
      <c r="I128">
        <v>4.7</v>
      </c>
      <c r="J128">
        <v>0</v>
      </c>
      <c r="K128" t="s">
        <v>19</v>
      </c>
      <c r="L128" t="s">
        <v>20</v>
      </c>
      <c r="M128" t="s">
        <v>28</v>
      </c>
      <c r="N128" t="s">
        <v>29</v>
      </c>
      <c r="O128">
        <v>0.69</v>
      </c>
      <c r="P128" t="s">
        <v>51</v>
      </c>
    </row>
    <row r="129" spans="1:16" x14ac:dyDescent="0.3">
      <c r="A129">
        <v>127</v>
      </c>
      <c r="B129" t="s">
        <v>62</v>
      </c>
      <c r="C129" t="s">
        <v>63</v>
      </c>
      <c r="D129" t="s">
        <v>286</v>
      </c>
      <c r="E129" t="s">
        <v>287</v>
      </c>
      <c r="F129" t="s">
        <v>79</v>
      </c>
      <c r="G129" t="s">
        <v>67</v>
      </c>
      <c r="H129">
        <v>1.5</v>
      </c>
      <c r="I129">
        <v>4.2</v>
      </c>
      <c r="J129">
        <v>0</v>
      </c>
      <c r="K129" t="s">
        <v>19</v>
      </c>
      <c r="L129" t="s">
        <v>20</v>
      </c>
      <c r="M129" t="s">
        <v>80</v>
      </c>
      <c r="N129" t="s">
        <v>19</v>
      </c>
      <c r="O129">
        <v>0.05</v>
      </c>
      <c r="P129" t="s">
        <v>22</v>
      </c>
    </row>
    <row r="130" spans="1:16" x14ac:dyDescent="0.3">
      <c r="A130">
        <v>128</v>
      </c>
      <c r="B130" t="s">
        <v>62</v>
      </c>
      <c r="C130" t="s">
        <v>63</v>
      </c>
      <c r="D130" t="s">
        <v>288</v>
      </c>
      <c r="E130" t="s">
        <v>289</v>
      </c>
      <c r="F130" t="s">
        <v>27</v>
      </c>
      <c r="G130">
        <v>1600</v>
      </c>
      <c r="H130">
        <v>1</v>
      </c>
      <c r="I130">
        <v>4.7</v>
      </c>
      <c r="J130">
        <v>0</v>
      </c>
      <c r="K130" t="s">
        <v>29</v>
      </c>
      <c r="L130" t="s">
        <v>20</v>
      </c>
      <c r="M130" t="s">
        <v>28</v>
      </c>
      <c r="N130" t="s">
        <v>29</v>
      </c>
      <c r="O130">
        <v>0.1</v>
      </c>
      <c r="P130" t="s">
        <v>51</v>
      </c>
    </row>
    <row r="131" spans="1:16" x14ac:dyDescent="0.3">
      <c r="A131">
        <v>129</v>
      </c>
      <c r="B131" t="s">
        <v>62</v>
      </c>
      <c r="C131" t="s">
        <v>63</v>
      </c>
      <c r="D131" t="s">
        <v>290</v>
      </c>
      <c r="E131" t="s">
        <v>291</v>
      </c>
      <c r="F131" t="s">
        <v>59</v>
      </c>
      <c r="G131">
        <v>2001</v>
      </c>
      <c r="H131">
        <v>1</v>
      </c>
      <c r="I131">
        <v>4.5</v>
      </c>
      <c r="J131">
        <v>0</v>
      </c>
      <c r="K131" t="s">
        <v>19</v>
      </c>
      <c r="L131" t="s">
        <v>20</v>
      </c>
      <c r="M131" t="s">
        <v>28</v>
      </c>
      <c r="N131" t="s">
        <v>19</v>
      </c>
      <c r="O131">
        <v>0.11</v>
      </c>
      <c r="P131" t="s">
        <v>25</v>
      </c>
    </row>
    <row r="132" spans="1:16" x14ac:dyDescent="0.3">
      <c r="A132">
        <v>130</v>
      </c>
      <c r="B132" t="s">
        <v>62</v>
      </c>
      <c r="C132" t="s">
        <v>63</v>
      </c>
      <c r="D132" t="s">
        <v>292</v>
      </c>
      <c r="E132" t="s">
        <v>293</v>
      </c>
      <c r="F132" t="s">
        <v>27</v>
      </c>
      <c r="G132">
        <v>700</v>
      </c>
      <c r="H132">
        <v>1</v>
      </c>
      <c r="I132">
        <v>4.8</v>
      </c>
      <c r="J132">
        <v>0</v>
      </c>
      <c r="K132" t="s">
        <v>19</v>
      </c>
      <c r="L132" t="s">
        <v>20</v>
      </c>
      <c r="M132" t="s">
        <v>28</v>
      </c>
      <c r="N132" t="s">
        <v>29</v>
      </c>
      <c r="O132">
        <v>0.9</v>
      </c>
      <c r="P132" t="s">
        <v>51</v>
      </c>
    </row>
    <row r="133" spans="1:16" x14ac:dyDescent="0.3">
      <c r="A133">
        <v>131</v>
      </c>
      <c r="B133" t="s">
        <v>62</v>
      </c>
      <c r="C133" t="s">
        <v>63</v>
      </c>
      <c r="D133" t="s">
        <v>85</v>
      </c>
      <c r="E133" t="s">
        <v>294</v>
      </c>
      <c r="F133" t="s">
        <v>263</v>
      </c>
      <c r="G133">
        <v>200</v>
      </c>
      <c r="H133">
        <v>1.5</v>
      </c>
      <c r="I133">
        <v>4.4000000000000004</v>
      </c>
      <c r="J133">
        <v>25</v>
      </c>
      <c r="K133" t="s">
        <v>19</v>
      </c>
      <c r="L133" t="s">
        <v>19</v>
      </c>
      <c r="M133" t="s">
        <v>21</v>
      </c>
      <c r="N133" t="s">
        <v>19</v>
      </c>
      <c r="O133">
        <v>0.27</v>
      </c>
      <c r="P133" t="s">
        <v>25</v>
      </c>
    </row>
    <row r="134" spans="1:16" x14ac:dyDescent="0.3">
      <c r="A134">
        <v>132</v>
      </c>
      <c r="B134" t="s">
        <v>62</v>
      </c>
      <c r="C134" t="s">
        <v>295</v>
      </c>
      <c r="D134" t="s">
        <v>296</v>
      </c>
      <c r="E134" t="s">
        <v>297</v>
      </c>
      <c r="F134" t="s">
        <v>79</v>
      </c>
      <c r="G134" t="s">
        <v>67</v>
      </c>
      <c r="H134">
        <v>2</v>
      </c>
      <c r="I134">
        <v>4.5999999999999996</v>
      </c>
      <c r="J134">
        <v>0</v>
      </c>
      <c r="K134" t="s">
        <v>29</v>
      </c>
      <c r="L134" t="s">
        <v>20</v>
      </c>
      <c r="M134" t="s">
        <v>80</v>
      </c>
      <c r="N134" t="s">
        <v>19</v>
      </c>
      <c r="O134">
        <v>6.5000000000000002E-2</v>
      </c>
      <c r="P134" t="s">
        <v>22</v>
      </c>
    </row>
    <row r="135" spans="1:16" x14ac:dyDescent="0.3">
      <c r="A135">
        <v>133</v>
      </c>
      <c r="B135" t="s">
        <v>62</v>
      </c>
      <c r="C135" t="s">
        <v>295</v>
      </c>
      <c r="D135" t="s">
        <v>298</v>
      </c>
      <c r="E135" t="s">
        <v>299</v>
      </c>
      <c r="F135" t="s">
        <v>300</v>
      </c>
      <c r="G135" t="s">
        <v>67</v>
      </c>
      <c r="H135">
        <v>2</v>
      </c>
      <c r="I135">
        <v>4.4000000000000004</v>
      </c>
      <c r="J135">
        <v>300</v>
      </c>
      <c r="K135" t="s">
        <v>29</v>
      </c>
      <c r="L135" t="s">
        <v>20</v>
      </c>
      <c r="M135" t="s">
        <v>94</v>
      </c>
      <c r="N135" t="s">
        <v>19</v>
      </c>
      <c r="O135">
        <v>0.05</v>
      </c>
      <c r="P135" t="s">
        <v>25</v>
      </c>
    </row>
    <row r="136" spans="1:16" x14ac:dyDescent="0.3">
      <c r="A136">
        <v>134</v>
      </c>
      <c r="B136" t="s">
        <v>62</v>
      </c>
      <c r="C136" t="s">
        <v>295</v>
      </c>
      <c r="D136" t="s">
        <v>301</v>
      </c>
      <c r="E136" t="s">
        <v>302</v>
      </c>
      <c r="F136" t="s">
        <v>247</v>
      </c>
      <c r="G136">
        <v>1828</v>
      </c>
      <c r="H136">
        <v>1.5</v>
      </c>
      <c r="I136">
        <v>4.4000000000000004</v>
      </c>
      <c r="J136">
        <v>0</v>
      </c>
      <c r="K136" t="s">
        <v>19</v>
      </c>
      <c r="L136" t="s">
        <v>20</v>
      </c>
      <c r="M136" t="s">
        <v>94</v>
      </c>
      <c r="N136" t="s">
        <v>19</v>
      </c>
      <c r="O136">
        <v>0.02</v>
      </c>
      <c r="P136" t="s">
        <v>37</v>
      </c>
    </row>
    <row r="137" spans="1:16" x14ac:dyDescent="0.3">
      <c r="A137">
        <v>135</v>
      </c>
      <c r="B137" t="s">
        <v>62</v>
      </c>
      <c r="C137" t="s">
        <v>295</v>
      </c>
      <c r="D137" t="s">
        <v>303</v>
      </c>
      <c r="E137" t="s">
        <v>304</v>
      </c>
      <c r="F137" t="s">
        <v>263</v>
      </c>
      <c r="G137">
        <v>600</v>
      </c>
      <c r="H137">
        <v>3</v>
      </c>
      <c r="I137">
        <v>4.7</v>
      </c>
      <c r="J137">
        <v>30</v>
      </c>
      <c r="K137" t="s">
        <v>19</v>
      </c>
      <c r="L137" t="s">
        <v>305</v>
      </c>
      <c r="M137" t="s">
        <v>21</v>
      </c>
      <c r="N137" t="s">
        <v>19</v>
      </c>
      <c r="O137">
        <v>0.49</v>
      </c>
      <c r="P137" t="s">
        <v>25</v>
      </c>
    </row>
    <row r="138" spans="1:16" x14ac:dyDescent="0.3">
      <c r="A138">
        <v>136</v>
      </c>
      <c r="B138" t="s">
        <v>306</v>
      </c>
      <c r="C138" t="s">
        <v>307</v>
      </c>
      <c r="D138" t="s">
        <v>308</v>
      </c>
      <c r="E138" t="s">
        <v>309</v>
      </c>
      <c r="F138" t="s">
        <v>310</v>
      </c>
      <c r="G138">
        <v>-850</v>
      </c>
      <c r="H138">
        <v>2</v>
      </c>
      <c r="I138">
        <v>4.7</v>
      </c>
      <c r="J138">
        <v>40</v>
      </c>
      <c r="K138" t="s">
        <v>29</v>
      </c>
      <c r="L138" t="s">
        <v>20</v>
      </c>
      <c r="M138" t="s">
        <v>169</v>
      </c>
      <c r="N138" t="s">
        <v>19</v>
      </c>
      <c r="O138">
        <v>0.09</v>
      </c>
      <c r="P138" t="s">
        <v>25</v>
      </c>
    </row>
    <row r="139" spans="1:16" x14ac:dyDescent="0.3">
      <c r="A139">
        <v>137</v>
      </c>
      <c r="B139" t="s">
        <v>306</v>
      </c>
      <c r="C139" t="s">
        <v>307</v>
      </c>
      <c r="D139" t="s">
        <v>311</v>
      </c>
      <c r="E139" t="s">
        <v>312</v>
      </c>
      <c r="F139" t="s">
        <v>59</v>
      </c>
      <c r="G139">
        <v>-300</v>
      </c>
      <c r="H139">
        <v>1.5</v>
      </c>
      <c r="I139">
        <v>4.7</v>
      </c>
      <c r="J139">
        <v>30</v>
      </c>
      <c r="K139" t="s">
        <v>19</v>
      </c>
      <c r="L139" t="s">
        <v>20</v>
      </c>
      <c r="M139" t="s">
        <v>21</v>
      </c>
      <c r="N139" t="s">
        <v>19</v>
      </c>
      <c r="O139">
        <v>0.01</v>
      </c>
      <c r="P139" t="s">
        <v>25</v>
      </c>
    </row>
    <row r="140" spans="1:16" x14ac:dyDescent="0.3">
      <c r="A140">
        <v>138</v>
      </c>
      <c r="B140" t="s">
        <v>306</v>
      </c>
      <c r="C140" t="s">
        <v>307</v>
      </c>
      <c r="D140" t="s">
        <v>313</v>
      </c>
      <c r="E140" t="s">
        <v>314</v>
      </c>
      <c r="F140" t="s">
        <v>91</v>
      </c>
      <c r="G140">
        <v>1747</v>
      </c>
      <c r="H140">
        <v>1</v>
      </c>
      <c r="I140">
        <v>4.4000000000000004</v>
      </c>
      <c r="J140">
        <v>10</v>
      </c>
      <c r="K140" t="s">
        <v>19</v>
      </c>
      <c r="L140" t="s">
        <v>20</v>
      </c>
      <c r="M140" t="s">
        <v>21</v>
      </c>
      <c r="N140" t="s">
        <v>19</v>
      </c>
      <c r="O140">
        <v>0.63</v>
      </c>
      <c r="P140" t="s">
        <v>25</v>
      </c>
    </row>
    <row r="141" spans="1:16" x14ac:dyDescent="0.3">
      <c r="A141">
        <v>139</v>
      </c>
      <c r="B141" t="s">
        <v>306</v>
      </c>
      <c r="C141" t="s">
        <v>307</v>
      </c>
      <c r="D141" t="s">
        <v>315</v>
      </c>
      <c r="E141" t="s">
        <v>316</v>
      </c>
      <c r="F141" t="s">
        <v>43</v>
      </c>
      <c r="G141">
        <v>900</v>
      </c>
      <c r="H141">
        <v>2.5</v>
      </c>
      <c r="I141">
        <v>4.5</v>
      </c>
      <c r="J141">
        <v>75</v>
      </c>
      <c r="K141" t="s">
        <v>19</v>
      </c>
      <c r="L141" t="s">
        <v>20</v>
      </c>
      <c r="M141" t="s">
        <v>21</v>
      </c>
      <c r="N141" t="s">
        <v>19</v>
      </c>
      <c r="O141">
        <v>0.4</v>
      </c>
      <c r="P141" t="s">
        <v>37</v>
      </c>
    </row>
    <row r="142" spans="1:16" x14ac:dyDescent="0.3">
      <c r="A142">
        <v>140</v>
      </c>
      <c r="B142" t="s">
        <v>306</v>
      </c>
      <c r="C142" t="s">
        <v>307</v>
      </c>
      <c r="D142" t="s">
        <v>317</v>
      </c>
      <c r="E142" t="s">
        <v>318</v>
      </c>
      <c r="F142" t="s">
        <v>27</v>
      </c>
      <c r="G142">
        <v>-3500</v>
      </c>
      <c r="H142">
        <v>1.5</v>
      </c>
      <c r="I142">
        <v>4.8</v>
      </c>
      <c r="J142">
        <v>0</v>
      </c>
      <c r="K142" t="s">
        <v>19</v>
      </c>
      <c r="L142" t="s">
        <v>20</v>
      </c>
      <c r="M142" t="s">
        <v>28</v>
      </c>
      <c r="N142" t="s">
        <v>29</v>
      </c>
      <c r="O142">
        <v>1.2</v>
      </c>
      <c r="P142" t="s">
        <v>51</v>
      </c>
    </row>
    <row r="143" spans="1:16" x14ac:dyDescent="0.3">
      <c r="A143">
        <v>141</v>
      </c>
      <c r="B143" t="s">
        <v>306</v>
      </c>
      <c r="C143" t="s">
        <v>307</v>
      </c>
      <c r="D143" t="s">
        <v>319</v>
      </c>
      <c r="E143" t="s">
        <v>320</v>
      </c>
      <c r="F143" t="s">
        <v>142</v>
      </c>
      <c r="G143" t="s">
        <v>67</v>
      </c>
      <c r="H143">
        <v>1</v>
      </c>
      <c r="I143">
        <v>4.5</v>
      </c>
      <c r="J143">
        <v>0</v>
      </c>
      <c r="K143" t="s">
        <v>29</v>
      </c>
      <c r="L143" t="s">
        <v>20</v>
      </c>
      <c r="M143" t="s">
        <v>94</v>
      </c>
      <c r="N143" t="s">
        <v>19</v>
      </c>
      <c r="O143">
        <v>0.01</v>
      </c>
      <c r="P143" t="s">
        <v>37</v>
      </c>
    </row>
    <row r="144" spans="1:16" x14ac:dyDescent="0.3">
      <c r="A144">
        <v>142</v>
      </c>
      <c r="B144" t="s">
        <v>306</v>
      </c>
      <c r="C144" t="s">
        <v>307</v>
      </c>
      <c r="D144" t="s">
        <v>321</v>
      </c>
      <c r="E144" t="s">
        <v>322</v>
      </c>
      <c r="F144" t="s">
        <v>142</v>
      </c>
      <c r="G144" t="s">
        <v>67</v>
      </c>
      <c r="H144">
        <v>1.5</v>
      </c>
      <c r="I144">
        <v>4.5999999999999996</v>
      </c>
      <c r="J144">
        <v>15</v>
      </c>
      <c r="K144" t="s">
        <v>29</v>
      </c>
      <c r="L144" t="s">
        <v>20</v>
      </c>
      <c r="M144" t="s">
        <v>94</v>
      </c>
      <c r="N144" t="s">
        <v>19</v>
      </c>
      <c r="O144">
        <v>6.5000000000000002E-2</v>
      </c>
      <c r="P144" t="s">
        <v>37</v>
      </c>
    </row>
    <row r="145" spans="1:16" x14ac:dyDescent="0.3">
      <c r="A145">
        <v>143</v>
      </c>
      <c r="B145" t="s">
        <v>306</v>
      </c>
      <c r="C145" t="s">
        <v>307</v>
      </c>
      <c r="D145" t="s">
        <v>323</v>
      </c>
      <c r="E145" t="s">
        <v>324</v>
      </c>
      <c r="F145" t="s">
        <v>190</v>
      </c>
      <c r="G145">
        <v>1955</v>
      </c>
      <c r="H145">
        <v>3</v>
      </c>
      <c r="I145">
        <v>4.5</v>
      </c>
      <c r="J145">
        <v>100</v>
      </c>
      <c r="K145" t="s">
        <v>29</v>
      </c>
      <c r="L145" t="s">
        <v>20</v>
      </c>
      <c r="M145" t="s">
        <v>73</v>
      </c>
      <c r="N145" t="s">
        <v>19</v>
      </c>
      <c r="O145">
        <v>0.1</v>
      </c>
      <c r="P145" t="s">
        <v>37</v>
      </c>
    </row>
    <row r="146" spans="1:16" x14ac:dyDescent="0.3">
      <c r="A146">
        <v>144</v>
      </c>
      <c r="B146" t="s">
        <v>306</v>
      </c>
      <c r="C146" t="s">
        <v>307</v>
      </c>
      <c r="D146" t="s">
        <v>325</v>
      </c>
      <c r="E146" t="s">
        <v>326</v>
      </c>
      <c r="F146" t="s">
        <v>72</v>
      </c>
      <c r="G146">
        <v>1968</v>
      </c>
      <c r="H146">
        <v>3</v>
      </c>
      <c r="I146">
        <v>4.5</v>
      </c>
      <c r="J146">
        <v>50</v>
      </c>
      <c r="K146" t="s">
        <v>29</v>
      </c>
      <c r="L146" t="s">
        <v>20</v>
      </c>
      <c r="M146" t="s">
        <v>73</v>
      </c>
      <c r="N146" t="s">
        <v>19</v>
      </c>
      <c r="O146">
        <v>0.05</v>
      </c>
      <c r="P146" t="s">
        <v>37</v>
      </c>
    </row>
    <row r="147" spans="1:16" x14ac:dyDescent="0.3">
      <c r="A147">
        <v>145</v>
      </c>
      <c r="B147" t="s">
        <v>306</v>
      </c>
      <c r="C147" t="s">
        <v>307</v>
      </c>
      <c r="D147" t="s">
        <v>327</v>
      </c>
      <c r="E147" t="s">
        <v>328</v>
      </c>
      <c r="F147" t="s">
        <v>43</v>
      </c>
      <c r="G147">
        <v>1500</v>
      </c>
      <c r="H147">
        <v>1.5</v>
      </c>
      <c r="I147">
        <v>4.8</v>
      </c>
      <c r="J147">
        <v>10</v>
      </c>
      <c r="K147" t="s">
        <v>29</v>
      </c>
      <c r="L147" t="s">
        <v>20</v>
      </c>
      <c r="M147" t="s">
        <v>21</v>
      </c>
      <c r="N147" t="s">
        <v>19</v>
      </c>
      <c r="O147">
        <v>0.1</v>
      </c>
      <c r="P147" t="s">
        <v>25</v>
      </c>
    </row>
    <row r="148" spans="1:16" x14ac:dyDescent="0.3">
      <c r="A148">
        <v>146</v>
      </c>
      <c r="B148" t="s">
        <v>306</v>
      </c>
      <c r="C148" t="s">
        <v>307</v>
      </c>
      <c r="D148" t="s">
        <v>329</v>
      </c>
      <c r="E148" t="s">
        <v>330</v>
      </c>
      <c r="F148" t="s">
        <v>134</v>
      </c>
      <c r="G148">
        <v>1500</v>
      </c>
      <c r="H148">
        <v>1</v>
      </c>
      <c r="I148">
        <v>3.9</v>
      </c>
      <c r="J148">
        <v>50</v>
      </c>
      <c r="K148" t="s">
        <v>29</v>
      </c>
      <c r="L148" t="s">
        <v>20</v>
      </c>
      <c r="M148" t="s">
        <v>21</v>
      </c>
      <c r="N148" t="s">
        <v>19</v>
      </c>
      <c r="O148">
        <v>0.03</v>
      </c>
      <c r="P148" t="s">
        <v>25</v>
      </c>
    </row>
    <row r="149" spans="1:16" x14ac:dyDescent="0.3">
      <c r="A149">
        <v>147</v>
      </c>
      <c r="B149" t="s">
        <v>306</v>
      </c>
      <c r="C149" t="s">
        <v>307</v>
      </c>
      <c r="D149" t="s">
        <v>331</v>
      </c>
      <c r="E149" t="s">
        <v>332</v>
      </c>
      <c r="F149" t="s">
        <v>333</v>
      </c>
      <c r="G149">
        <v>1958</v>
      </c>
      <c r="H149">
        <v>2</v>
      </c>
      <c r="I149">
        <v>4.5999999999999996</v>
      </c>
      <c r="J149">
        <v>25</v>
      </c>
      <c r="K149" t="s">
        <v>29</v>
      </c>
      <c r="L149" t="s">
        <v>20</v>
      </c>
      <c r="M149" t="s">
        <v>334</v>
      </c>
      <c r="N149" t="s">
        <v>19</v>
      </c>
      <c r="O149">
        <v>7.0000000000000007E-2</v>
      </c>
      <c r="P149" t="s">
        <v>25</v>
      </c>
    </row>
    <row r="150" spans="1:16" x14ac:dyDescent="0.3">
      <c r="A150">
        <v>148</v>
      </c>
      <c r="B150" t="s">
        <v>306</v>
      </c>
      <c r="C150" t="s">
        <v>307</v>
      </c>
      <c r="D150" t="s">
        <v>335</v>
      </c>
      <c r="E150" t="s">
        <v>336</v>
      </c>
      <c r="F150" t="s">
        <v>27</v>
      </c>
      <c r="G150">
        <v>1200</v>
      </c>
      <c r="H150">
        <v>1</v>
      </c>
      <c r="I150">
        <v>4.4000000000000004</v>
      </c>
      <c r="J150">
        <v>0</v>
      </c>
      <c r="K150" t="s">
        <v>29</v>
      </c>
      <c r="L150" t="s">
        <v>20</v>
      </c>
      <c r="M150" t="s">
        <v>28</v>
      </c>
      <c r="N150" t="s">
        <v>19</v>
      </c>
      <c r="O150">
        <v>0.01</v>
      </c>
      <c r="P150" t="s">
        <v>51</v>
      </c>
    </row>
    <row r="151" spans="1:16" x14ac:dyDescent="0.3">
      <c r="A151">
        <v>149</v>
      </c>
      <c r="B151" t="s">
        <v>306</v>
      </c>
      <c r="C151" t="s">
        <v>307</v>
      </c>
      <c r="D151" t="s">
        <v>337</v>
      </c>
      <c r="E151" t="s">
        <v>338</v>
      </c>
      <c r="F151" t="s">
        <v>142</v>
      </c>
      <c r="G151" t="s">
        <v>67</v>
      </c>
      <c r="H151">
        <v>1.5</v>
      </c>
      <c r="I151">
        <v>4.4000000000000004</v>
      </c>
      <c r="J151">
        <v>0</v>
      </c>
      <c r="K151" t="s">
        <v>29</v>
      </c>
      <c r="L151" t="s">
        <v>20</v>
      </c>
      <c r="M151" t="s">
        <v>94</v>
      </c>
      <c r="N151" t="s">
        <v>19</v>
      </c>
      <c r="O151">
        <v>0.1</v>
      </c>
      <c r="P151" t="s">
        <v>37</v>
      </c>
    </row>
    <row r="152" spans="1:16" x14ac:dyDescent="0.3">
      <c r="A152">
        <v>150</v>
      </c>
      <c r="B152" t="s">
        <v>15</v>
      </c>
      <c r="C152" t="s">
        <v>339</v>
      </c>
      <c r="D152" t="s">
        <v>340</v>
      </c>
      <c r="E152" t="s">
        <v>341</v>
      </c>
      <c r="F152" t="s">
        <v>342</v>
      </c>
      <c r="G152" t="s">
        <v>67</v>
      </c>
      <c r="H152">
        <v>1</v>
      </c>
      <c r="I152">
        <v>4.7</v>
      </c>
      <c r="J152">
        <v>0</v>
      </c>
      <c r="K152" t="s">
        <v>19</v>
      </c>
      <c r="L152" t="s">
        <v>20</v>
      </c>
      <c r="M152" t="s">
        <v>80</v>
      </c>
      <c r="N152" t="s">
        <v>19</v>
      </c>
      <c r="O152">
        <v>0.03</v>
      </c>
      <c r="P152" t="s">
        <v>37</v>
      </c>
    </row>
    <row r="153" spans="1:16" x14ac:dyDescent="0.3">
      <c r="A153">
        <v>151</v>
      </c>
      <c r="B153" t="s">
        <v>15</v>
      </c>
      <c r="C153" t="s">
        <v>339</v>
      </c>
      <c r="D153" t="s">
        <v>343</v>
      </c>
      <c r="E153" t="s">
        <v>344</v>
      </c>
      <c r="F153" t="s">
        <v>300</v>
      </c>
      <c r="G153" t="s">
        <v>67</v>
      </c>
      <c r="H153">
        <v>2</v>
      </c>
      <c r="I153">
        <v>4.0999999999999996</v>
      </c>
      <c r="J153">
        <v>0</v>
      </c>
      <c r="K153" t="s">
        <v>29</v>
      </c>
      <c r="L153" t="s">
        <v>20</v>
      </c>
      <c r="M153" t="s">
        <v>345</v>
      </c>
      <c r="N153" t="s">
        <v>19</v>
      </c>
      <c r="O153">
        <v>0.05</v>
      </c>
      <c r="P153" t="s">
        <v>37</v>
      </c>
    </row>
    <row r="154" spans="1:16" x14ac:dyDescent="0.3">
      <c r="A154">
        <v>152</v>
      </c>
      <c r="B154" t="s">
        <v>15</v>
      </c>
      <c r="C154" t="s">
        <v>339</v>
      </c>
      <c r="D154" t="s">
        <v>346</v>
      </c>
      <c r="E154" t="s">
        <v>347</v>
      </c>
      <c r="F154" t="s">
        <v>27</v>
      </c>
      <c r="G154">
        <v>1959</v>
      </c>
      <c r="H154">
        <v>1.5</v>
      </c>
      <c r="I154">
        <v>4.7</v>
      </c>
      <c r="J154">
        <v>0</v>
      </c>
      <c r="K154" t="s">
        <v>19</v>
      </c>
      <c r="L154" t="s">
        <v>20</v>
      </c>
      <c r="M154" t="s">
        <v>28</v>
      </c>
      <c r="N154" t="s">
        <v>29</v>
      </c>
      <c r="O154">
        <v>0.15</v>
      </c>
      <c r="P154" t="s">
        <v>51</v>
      </c>
    </row>
    <row r="155" spans="1:16" x14ac:dyDescent="0.3">
      <c r="A155">
        <v>153</v>
      </c>
      <c r="B155" t="s">
        <v>15</v>
      </c>
      <c r="C155" t="s">
        <v>339</v>
      </c>
      <c r="D155" t="s">
        <v>348</v>
      </c>
      <c r="E155" t="s">
        <v>349</v>
      </c>
      <c r="F155" t="s">
        <v>106</v>
      </c>
      <c r="G155" t="s">
        <v>67</v>
      </c>
      <c r="H155">
        <v>1.5</v>
      </c>
      <c r="I155">
        <v>4.5</v>
      </c>
      <c r="J155">
        <v>0</v>
      </c>
      <c r="K155" t="s">
        <v>29</v>
      </c>
      <c r="L155" t="s">
        <v>20</v>
      </c>
      <c r="M155" t="s">
        <v>94</v>
      </c>
      <c r="N155" t="s">
        <v>19</v>
      </c>
      <c r="O155">
        <v>0.1</v>
      </c>
      <c r="P155" t="s">
        <v>37</v>
      </c>
    </row>
    <row r="156" spans="1:16" x14ac:dyDescent="0.3">
      <c r="A156">
        <v>154</v>
      </c>
      <c r="B156" t="s">
        <v>15</v>
      </c>
      <c r="C156" t="s">
        <v>339</v>
      </c>
      <c r="D156" t="s">
        <v>350</v>
      </c>
      <c r="E156" t="s">
        <v>351</v>
      </c>
      <c r="F156" t="s">
        <v>352</v>
      </c>
      <c r="G156">
        <v>1100</v>
      </c>
      <c r="H156">
        <v>1</v>
      </c>
      <c r="I156">
        <v>4.8</v>
      </c>
      <c r="J156">
        <v>0</v>
      </c>
      <c r="K156" t="s">
        <v>29</v>
      </c>
      <c r="L156" t="s">
        <v>20</v>
      </c>
      <c r="M156" t="s">
        <v>28</v>
      </c>
      <c r="N156" t="s">
        <v>19</v>
      </c>
      <c r="O156">
        <v>2.5000000000000001E-2</v>
      </c>
      <c r="P156" t="s">
        <v>37</v>
      </c>
    </row>
    <row r="157" spans="1:16" x14ac:dyDescent="0.3">
      <c r="A157">
        <v>155</v>
      </c>
      <c r="B157" t="s">
        <v>15</v>
      </c>
      <c r="C157" t="s">
        <v>339</v>
      </c>
      <c r="D157" t="s">
        <v>353</v>
      </c>
      <c r="E157" t="s">
        <v>354</v>
      </c>
      <c r="F157" t="s">
        <v>72</v>
      </c>
      <c r="G157">
        <v>1984</v>
      </c>
      <c r="H157">
        <v>3</v>
      </c>
      <c r="I157">
        <v>4.5</v>
      </c>
      <c r="J157">
        <v>50</v>
      </c>
      <c r="K157" t="s">
        <v>29</v>
      </c>
      <c r="L157" t="s">
        <v>20</v>
      </c>
      <c r="M157" t="s">
        <v>73</v>
      </c>
      <c r="N157" t="s">
        <v>19</v>
      </c>
      <c r="O157">
        <v>0.2</v>
      </c>
      <c r="P157" t="s">
        <v>51</v>
      </c>
    </row>
    <row r="158" spans="1:16" x14ac:dyDescent="0.3">
      <c r="A158">
        <v>156</v>
      </c>
      <c r="B158" t="s">
        <v>15</v>
      </c>
      <c r="C158" t="s">
        <v>339</v>
      </c>
      <c r="D158" t="s">
        <v>355</v>
      </c>
      <c r="E158" t="s">
        <v>356</v>
      </c>
      <c r="F158" t="s">
        <v>106</v>
      </c>
      <c r="G158" t="s">
        <v>67</v>
      </c>
      <c r="H158">
        <v>2</v>
      </c>
      <c r="I158">
        <v>4.4000000000000004</v>
      </c>
      <c r="J158">
        <v>0</v>
      </c>
      <c r="K158" t="s">
        <v>29</v>
      </c>
      <c r="L158" t="s">
        <v>20</v>
      </c>
      <c r="M158" t="s">
        <v>80</v>
      </c>
      <c r="N158" t="s">
        <v>19</v>
      </c>
      <c r="O158">
        <v>0.01</v>
      </c>
      <c r="P158" t="s">
        <v>37</v>
      </c>
    </row>
    <row r="159" spans="1:16" x14ac:dyDescent="0.3">
      <c r="A159">
        <v>157</v>
      </c>
      <c r="B159" t="s">
        <v>15</v>
      </c>
      <c r="C159" t="s">
        <v>339</v>
      </c>
      <c r="D159" t="s">
        <v>357</v>
      </c>
      <c r="E159" t="s">
        <v>358</v>
      </c>
      <c r="F159" t="s">
        <v>300</v>
      </c>
      <c r="G159" t="s">
        <v>67</v>
      </c>
      <c r="H159">
        <v>2</v>
      </c>
      <c r="I159">
        <v>4.5</v>
      </c>
      <c r="J159">
        <v>0</v>
      </c>
      <c r="K159" t="s">
        <v>29</v>
      </c>
      <c r="L159" t="s">
        <v>20</v>
      </c>
      <c r="M159" t="s">
        <v>94</v>
      </c>
      <c r="N159" t="s">
        <v>19</v>
      </c>
      <c r="O159">
        <v>0.01</v>
      </c>
      <c r="P159" t="s">
        <v>37</v>
      </c>
    </row>
    <row r="160" spans="1:16" x14ac:dyDescent="0.3">
      <c r="A160">
        <v>158</v>
      </c>
      <c r="B160" t="s">
        <v>15</v>
      </c>
      <c r="C160" t="s">
        <v>339</v>
      </c>
      <c r="D160" t="s">
        <v>359</v>
      </c>
      <c r="E160" t="s">
        <v>360</v>
      </c>
      <c r="F160" t="s">
        <v>43</v>
      </c>
      <c r="G160">
        <v>400</v>
      </c>
      <c r="H160">
        <v>2</v>
      </c>
      <c r="I160">
        <v>4.4000000000000004</v>
      </c>
      <c r="J160">
        <v>150</v>
      </c>
      <c r="K160" t="s">
        <v>19</v>
      </c>
      <c r="L160" t="s">
        <v>20</v>
      </c>
      <c r="M160" t="s">
        <v>21</v>
      </c>
      <c r="N160" t="s">
        <v>19</v>
      </c>
      <c r="O160">
        <v>0.1</v>
      </c>
      <c r="P160" t="s">
        <v>51</v>
      </c>
    </row>
    <row r="161" spans="1:16" x14ac:dyDescent="0.3">
      <c r="A161">
        <v>159</v>
      </c>
      <c r="B161" t="s">
        <v>15</v>
      </c>
      <c r="C161" t="s">
        <v>339</v>
      </c>
      <c r="D161" t="s">
        <v>361</v>
      </c>
      <c r="E161" t="s">
        <v>362</v>
      </c>
      <c r="F161" t="s">
        <v>363</v>
      </c>
      <c r="G161">
        <v>1950</v>
      </c>
      <c r="H161">
        <v>1.5</v>
      </c>
      <c r="I161">
        <v>4.5999999999999996</v>
      </c>
      <c r="J161">
        <v>0</v>
      </c>
      <c r="K161" t="s">
        <v>19</v>
      </c>
      <c r="L161" t="s">
        <v>20</v>
      </c>
      <c r="M161" t="s">
        <v>364</v>
      </c>
      <c r="N161" t="s">
        <v>19</v>
      </c>
      <c r="O161">
        <v>1.4999999999999999E-2</v>
      </c>
      <c r="P161" t="s">
        <v>37</v>
      </c>
    </row>
    <row r="162" spans="1:16" x14ac:dyDescent="0.3">
      <c r="A162">
        <v>160</v>
      </c>
      <c r="B162" t="s">
        <v>15</v>
      </c>
      <c r="C162" t="s">
        <v>339</v>
      </c>
      <c r="D162" t="s">
        <v>365</v>
      </c>
      <c r="E162" t="s">
        <v>366</v>
      </c>
      <c r="F162" t="s">
        <v>106</v>
      </c>
      <c r="G162">
        <v>1400</v>
      </c>
      <c r="H162">
        <v>1.5</v>
      </c>
      <c r="I162">
        <v>4.5999999999999996</v>
      </c>
      <c r="J162">
        <v>0</v>
      </c>
      <c r="K162" t="s">
        <v>29</v>
      </c>
      <c r="L162" t="s">
        <v>20</v>
      </c>
      <c r="M162" t="s">
        <v>94</v>
      </c>
      <c r="N162" t="s">
        <v>19</v>
      </c>
      <c r="O162">
        <v>0.01</v>
      </c>
      <c r="P162" t="s">
        <v>37</v>
      </c>
    </row>
    <row r="163" spans="1:16" x14ac:dyDescent="0.3">
      <c r="A163">
        <v>161</v>
      </c>
      <c r="B163" t="s">
        <v>15</v>
      </c>
      <c r="C163" t="s">
        <v>339</v>
      </c>
      <c r="D163" t="s">
        <v>367</v>
      </c>
      <c r="E163" t="s">
        <v>368</v>
      </c>
      <c r="F163" t="s">
        <v>369</v>
      </c>
      <c r="G163">
        <v>2005</v>
      </c>
      <c r="H163">
        <v>2</v>
      </c>
      <c r="I163">
        <v>4.8</v>
      </c>
      <c r="J163">
        <v>2500</v>
      </c>
      <c r="K163" t="s">
        <v>29</v>
      </c>
      <c r="L163" t="s">
        <v>20</v>
      </c>
      <c r="M163" t="s">
        <v>345</v>
      </c>
      <c r="N163" t="s">
        <v>19</v>
      </c>
      <c r="O163">
        <v>0.01</v>
      </c>
      <c r="P163" t="s">
        <v>51</v>
      </c>
    </row>
    <row r="164" spans="1:16" x14ac:dyDescent="0.3">
      <c r="A164">
        <v>162</v>
      </c>
      <c r="B164" t="s">
        <v>15</v>
      </c>
      <c r="C164" t="s">
        <v>339</v>
      </c>
      <c r="D164" t="s">
        <v>370</v>
      </c>
      <c r="E164" t="s">
        <v>371</v>
      </c>
      <c r="F164" t="s">
        <v>372</v>
      </c>
      <c r="G164" t="s">
        <v>67</v>
      </c>
      <c r="H164">
        <v>5</v>
      </c>
      <c r="I164">
        <v>4.8</v>
      </c>
      <c r="J164">
        <v>0</v>
      </c>
      <c r="K164" t="s">
        <v>19</v>
      </c>
      <c r="L164" t="s">
        <v>20</v>
      </c>
      <c r="M164" t="s">
        <v>345</v>
      </c>
      <c r="N164" t="s">
        <v>19</v>
      </c>
      <c r="O164">
        <v>0.01</v>
      </c>
      <c r="P164" t="s">
        <v>37</v>
      </c>
    </row>
    <row r="165" spans="1:16" x14ac:dyDescent="0.3">
      <c r="A165">
        <v>163</v>
      </c>
      <c r="B165" t="s">
        <v>15</v>
      </c>
      <c r="C165" t="s">
        <v>339</v>
      </c>
      <c r="D165" t="s">
        <v>373</v>
      </c>
      <c r="E165" t="s">
        <v>374</v>
      </c>
      <c r="F165" t="s">
        <v>375</v>
      </c>
      <c r="G165">
        <v>1980</v>
      </c>
      <c r="H165">
        <v>1</v>
      </c>
      <c r="I165">
        <v>4.5999999999999996</v>
      </c>
      <c r="J165">
        <v>0</v>
      </c>
      <c r="K165" t="s">
        <v>29</v>
      </c>
      <c r="L165" t="s">
        <v>20</v>
      </c>
      <c r="M165" t="s">
        <v>28</v>
      </c>
      <c r="N165" t="s">
        <v>19</v>
      </c>
      <c r="O165">
        <v>1.3</v>
      </c>
      <c r="P165" t="s">
        <v>37</v>
      </c>
    </row>
    <row r="166" spans="1:16" x14ac:dyDescent="0.3">
      <c r="A166">
        <v>164</v>
      </c>
      <c r="B166" t="s">
        <v>15</v>
      </c>
      <c r="C166" t="s">
        <v>339</v>
      </c>
      <c r="D166" t="s">
        <v>376</v>
      </c>
      <c r="E166" t="s">
        <v>377</v>
      </c>
      <c r="F166" t="s">
        <v>247</v>
      </c>
      <c r="G166" t="s">
        <v>67</v>
      </c>
      <c r="H166">
        <v>2</v>
      </c>
      <c r="I166">
        <v>4.5</v>
      </c>
      <c r="J166">
        <v>0</v>
      </c>
      <c r="K166" t="s">
        <v>19</v>
      </c>
      <c r="L166" t="s">
        <v>20</v>
      </c>
      <c r="M166" t="s">
        <v>94</v>
      </c>
      <c r="N166" t="s">
        <v>19</v>
      </c>
      <c r="O166">
        <v>1.1000000000000001</v>
      </c>
      <c r="P166" t="s">
        <v>51</v>
      </c>
    </row>
    <row r="167" spans="1:16" x14ac:dyDescent="0.3">
      <c r="A167">
        <v>165</v>
      </c>
      <c r="B167" t="s">
        <v>15</v>
      </c>
      <c r="C167" t="s">
        <v>339</v>
      </c>
      <c r="D167" t="s">
        <v>378</v>
      </c>
      <c r="E167" t="s">
        <v>379</v>
      </c>
      <c r="F167" t="s">
        <v>300</v>
      </c>
      <c r="G167" t="s">
        <v>67</v>
      </c>
      <c r="H167">
        <v>2</v>
      </c>
      <c r="I167">
        <v>4.7</v>
      </c>
      <c r="J167">
        <v>0</v>
      </c>
      <c r="K167" t="s">
        <v>29</v>
      </c>
      <c r="L167" t="s">
        <v>20</v>
      </c>
      <c r="M167" t="s">
        <v>94</v>
      </c>
      <c r="N167" t="s">
        <v>19</v>
      </c>
      <c r="O167">
        <v>1.2</v>
      </c>
      <c r="P167" t="s">
        <v>37</v>
      </c>
    </row>
    <row r="168" spans="1:16" x14ac:dyDescent="0.3">
      <c r="A168">
        <v>166</v>
      </c>
      <c r="B168" t="s">
        <v>15</v>
      </c>
      <c r="C168" t="s">
        <v>339</v>
      </c>
      <c r="D168" t="s">
        <v>380</v>
      </c>
      <c r="E168" t="s">
        <v>381</v>
      </c>
      <c r="F168" t="s">
        <v>106</v>
      </c>
      <c r="G168" t="s">
        <v>67</v>
      </c>
      <c r="H168">
        <v>2.5</v>
      </c>
      <c r="I168">
        <v>4.4000000000000004</v>
      </c>
      <c r="J168">
        <v>0</v>
      </c>
      <c r="K168" t="s">
        <v>29</v>
      </c>
      <c r="L168" t="s">
        <v>20</v>
      </c>
      <c r="M168" t="s">
        <v>94</v>
      </c>
      <c r="N168" t="s">
        <v>19</v>
      </c>
      <c r="O168">
        <v>0.9</v>
      </c>
      <c r="P168" t="s">
        <v>37</v>
      </c>
    </row>
    <row r="169" spans="1:16" x14ac:dyDescent="0.3">
      <c r="A169">
        <v>167</v>
      </c>
      <c r="B169" t="s">
        <v>15</v>
      </c>
      <c r="C169" t="s">
        <v>339</v>
      </c>
      <c r="D169" t="s">
        <v>382</v>
      </c>
      <c r="E169" t="s">
        <v>383</v>
      </c>
      <c r="F169" t="s">
        <v>384</v>
      </c>
      <c r="G169">
        <v>1975</v>
      </c>
      <c r="H169">
        <v>5</v>
      </c>
      <c r="I169">
        <v>3.8</v>
      </c>
      <c r="J169">
        <v>1500</v>
      </c>
      <c r="K169" t="s">
        <v>19</v>
      </c>
      <c r="L169" t="s">
        <v>20</v>
      </c>
      <c r="M169" t="s">
        <v>80</v>
      </c>
      <c r="N169" t="s">
        <v>19</v>
      </c>
      <c r="O169">
        <v>0.1</v>
      </c>
      <c r="P169" t="s">
        <v>51</v>
      </c>
    </row>
    <row r="170" spans="1:16" x14ac:dyDescent="0.3">
      <c r="A170">
        <v>168</v>
      </c>
      <c r="B170" t="s">
        <v>15</v>
      </c>
      <c r="C170" t="s">
        <v>385</v>
      </c>
      <c r="D170" t="s">
        <v>386</v>
      </c>
      <c r="E170" t="s">
        <v>387</v>
      </c>
      <c r="F170" t="s">
        <v>106</v>
      </c>
      <c r="G170" t="s">
        <v>67</v>
      </c>
      <c r="H170">
        <v>1.5</v>
      </c>
      <c r="I170">
        <v>4.2</v>
      </c>
      <c r="J170">
        <v>0</v>
      </c>
      <c r="K170" t="s">
        <v>19</v>
      </c>
      <c r="L170" t="s">
        <v>20</v>
      </c>
      <c r="M170" t="s">
        <v>94</v>
      </c>
      <c r="N170" t="s">
        <v>19</v>
      </c>
      <c r="O170">
        <v>0.01</v>
      </c>
      <c r="P170" t="s">
        <v>37</v>
      </c>
    </row>
    <row r="171" spans="1:16" x14ac:dyDescent="0.3">
      <c r="A171">
        <v>169</v>
      </c>
      <c r="B171" t="s">
        <v>15</v>
      </c>
      <c r="C171" t="s">
        <v>385</v>
      </c>
      <c r="D171" t="s">
        <v>388</v>
      </c>
      <c r="E171" t="s">
        <v>389</v>
      </c>
      <c r="F171" t="s">
        <v>390</v>
      </c>
      <c r="G171">
        <v>1939</v>
      </c>
      <c r="H171">
        <v>1</v>
      </c>
      <c r="I171">
        <v>4.4000000000000004</v>
      </c>
      <c r="J171">
        <v>0</v>
      </c>
      <c r="K171" t="s">
        <v>19</v>
      </c>
      <c r="L171" t="s">
        <v>20</v>
      </c>
      <c r="M171" t="s">
        <v>169</v>
      </c>
      <c r="N171" t="s">
        <v>19</v>
      </c>
      <c r="O171">
        <v>0.03</v>
      </c>
      <c r="P171" t="s">
        <v>37</v>
      </c>
    </row>
    <row r="172" spans="1:16" x14ac:dyDescent="0.3">
      <c r="A172">
        <v>170</v>
      </c>
      <c r="B172" t="s">
        <v>15</v>
      </c>
      <c r="C172" t="s">
        <v>385</v>
      </c>
      <c r="D172" t="s">
        <v>391</v>
      </c>
      <c r="E172" t="s">
        <v>392</v>
      </c>
      <c r="F172" t="s">
        <v>393</v>
      </c>
      <c r="G172" t="s">
        <v>67</v>
      </c>
      <c r="H172">
        <v>1</v>
      </c>
      <c r="I172">
        <v>4.5</v>
      </c>
      <c r="J172">
        <v>0</v>
      </c>
      <c r="K172" t="s">
        <v>19</v>
      </c>
      <c r="L172" t="s">
        <v>20</v>
      </c>
      <c r="M172" t="s">
        <v>28</v>
      </c>
      <c r="N172" t="s">
        <v>19</v>
      </c>
      <c r="O172">
        <v>2.5000000000000001E-2</v>
      </c>
      <c r="P172" t="s">
        <v>51</v>
      </c>
    </row>
    <row r="173" spans="1:16" x14ac:dyDescent="0.3">
      <c r="A173">
        <v>171</v>
      </c>
      <c r="B173" t="s">
        <v>15</v>
      </c>
      <c r="C173" t="s">
        <v>385</v>
      </c>
      <c r="D173" t="s">
        <v>394</v>
      </c>
      <c r="E173" t="s">
        <v>395</v>
      </c>
      <c r="F173" t="s">
        <v>263</v>
      </c>
      <c r="G173" t="s">
        <v>67</v>
      </c>
      <c r="H173">
        <v>1.5</v>
      </c>
      <c r="I173">
        <v>4.5</v>
      </c>
      <c r="J173">
        <v>25</v>
      </c>
      <c r="K173" t="s">
        <v>19</v>
      </c>
      <c r="L173" t="s">
        <v>20</v>
      </c>
      <c r="M173" t="s">
        <v>94</v>
      </c>
      <c r="N173" t="s">
        <v>19</v>
      </c>
      <c r="O173">
        <v>0.01</v>
      </c>
      <c r="P173" t="s">
        <v>37</v>
      </c>
    </row>
    <row r="174" spans="1:16" x14ac:dyDescent="0.3">
      <c r="A174">
        <v>172</v>
      </c>
      <c r="B174" t="s">
        <v>15</v>
      </c>
      <c r="C174" t="s">
        <v>385</v>
      </c>
      <c r="D174" t="s">
        <v>396</v>
      </c>
      <c r="E174" t="s">
        <v>397</v>
      </c>
      <c r="F174" t="s">
        <v>142</v>
      </c>
      <c r="G174" t="s">
        <v>67</v>
      </c>
      <c r="H174">
        <v>1.5</v>
      </c>
      <c r="I174">
        <v>4.2</v>
      </c>
      <c r="J174">
        <v>15</v>
      </c>
      <c r="K174" t="s">
        <v>19</v>
      </c>
      <c r="L174" t="s">
        <v>20</v>
      </c>
      <c r="M174" t="s">
        <v>94</v>
      </c>
      <c r="N174" t="s">
        <v>19</v>
      </c>
      <c r="O174">
        <v>0.55000000000000004</v>
      </c>
      <c r="P174" t="s">
        <v>37</v>
      </c>
    </row>
    <row r="175" spans="1:16" x14ac:dyDescent="0.3">
      <c r="A175">
        <v>173</v>
      </c>
      <c r="B175" t="s">
        <v>15</v>
      </c>
      <c r="C175" t="s">
        <v>385</v>
      </c>
      <c r="D175" t="s">
        <v>398</v>
      </c>
      <c r="E175" t="s">
        <v>399</v>
      </c>
      <c r="F175" t="s">
        <v>384</v>
      </c>
      <c r="G175">
        <v>1990</v>
      </c>
      <c r="H175">
        <v>3</v>
      </c>
      <c r="I175">
        <v>4.5</v>
      </c>
      <c r="J175">
        <v>0</v>
      </c>
      <c r="K175" t="s">
        <v>29</v>
      </c>
      <c r="L175" t="s">
        <v>20</v>
      </c>
      <c r="M175" t="s">
        <v>345</v>
      </c>
      <c r="N175" t="s">
        <v>19</v>
      </c>
      <c r="O175">
        <v>0.01</v>
      </c>
      <c r="P175" t="s">
        <v>37</v>
      </c>
    </row>
    <row r="176" spans="1:16" x14ac:dyDescent="0.3">
      <c r="A176">
        <v>174</v>
      </c>
      <c r="B176" t="s">
        <v>15</v>
      </c>
      <c r="C176" t="s">
        <v>385</v>
      </c>
      <c r="D176" t="s">
        <v>400</v>
      </c>
      <c r="E176" t="s">
        <v>401</v>
      </c>
      <c r="F176" t="s">
        <v>27</v>
      </c>
      <c r="G176">
        <v>-820</v>
      </c>
      <c r="H176">
        <v>1</v>
      </c>
      <c r="I176">
        <v>4.8</v>
      </c>
      <c r="J176">
        <v>0</v>
      </c>
      <c r="K176" t="s">
        <v>29</v>
      </c>
      <c r="L176" t="s">
        <v>20</v>
      </c>
      <c r="M176" t="s">
        <v>28</v>
      </c>
      <c r="N176" t="s">
        <v>29</v>
      </c>
      <c r="O176">
        <v>0.28999999999999998</v>
      </c>
      <c r="P176" t="s">
        <v>51</v>
      </c>
    </row>
    <row r="177" spans="1:16" x14ac:dyDescent="0.3">
      <c r="A177">
        <v>175</v>
      </c>
      <c r="B177" t="s">
        <v>15</v>
      </c>
      <c r="C177" t="s">
        <v>385</v>
      </c>
      <c r="D177" t="s">
        <v>402</v>
      </c>
      <c r="E177" t="s">
        <v>403</v>
      </c>
      <c r="F177" t="s">
        <v>190</v>
      </c>
      <c r="G177">
        <v>1988</v>
      </c>
      <c r="H177">
        <v>2</v>
      </c>
      <c r="I177">
        <v>4.3</v>
      </c>
      <c r="J177">
        <v>150</v>
      </c>
      <c r="K177" t="s">
        <v>29</v>
      </c>
      <c r="L177" t="s">
        <v>20</v>
      </c>
      <c r="M177" t="s">
        <v>73</v>
      </c>
      <c r="N177" t="s">
        <v>19</v>
      </c>
      <c r="O177">
        <v>0.01</v>
      </c>
      <c r="P177" t="s">
        <v>51</v>
      </c>
    </row>
    <row r="178" spans="1:16" x14ac:dyDescent="0.3">
      <c r="A178">
        <v>176</v>
      </c>
      <c r="B178" t="s">
        <v>15</v>
      </c>
      <c r="C178" t="s">
        <v>385</v>
      </c>
      <c r="D178" t="s">
        <v>404</v>
      </c>
      <c r="E178" t="s">
        <v>405</v>
      </c>
      <c r="F178" t="s">
        <v>406</v>
      </c>
      <c r="G178">
        <v>1868</v>
      </c>
      <c r="H178">
        <v>1</v>
      </c>
      <c r="I178">
        <v>4</v>
      </c>
      <c r="J178">
        <v>50</v>
      </c>
      <c r="K178" t="s">
        <v>29</v>
      </c>
      <c r="L178" t="s">
        <v>20</v>
      </c>
      <c r="M178" t="s">
        <v>80</v>
      </c>
      <c r="N178" t="s">
        <v>19</v>
      </c>
      <c r="O178">
        <v>2.5000000000000001E-2</v>
      </c>
      <c r="P178" t="s">
        <v>51</v>
      </c>
    </row>
    <row r="179" spans="1:16" x14ac:dyDescent="0.3">
      <c r="A179">
        <v>177</v>
      </c>
      <c r="B179" t="s">
        <v>15</v>
      </c>
      <c r="C179" t="s">
        <v>385</v>
      </c>
      <c r="D179" t="s">
        <v>407</v>
      </c>
      <c r="E179" t="s">
        <v>408</v>
      </c>
      <c r="F179" t="s">
        <v>72</v>
      </c>
      <c r="G179">
        <v>1936</v>
      </c>
      <c r="H179">
        <v>3</v>
      </c>
      <c r="I179">
        <v>4.4000000000000004</v>
      </c>
      <c r="J179">
        <v>100</v>
      </c>
      <c r="K179" t="s">
        <v>19</v>
      </c>
      <c r="L179" t="s">
        <v>20</v>
      </c>
      <c r="M179" t="s">
        <v>73</v>
      </c>
      <c r="N179" t="s">
        <v>19</v>
      </c>
      <c r="O179">
        <v>0.3</v>
      </c>
      <c r="P179" t="s">
        <v>51</v>
      </c>
    </row>
    <row r="180" spans="1:16" x14ac:dyDescent="0.3">
      <c r="A180">
        <v>178</v>
      </c>
      <c r="B180" t="s">
        <v>15</v>
      </c>
      <c r="C180" t="s">
        <v>385</v>
      </c>
      <c r="D180" t="s">
        <v>409</v>
      </c>
      <c r="E180" t="s">
        <v>410</v>
      </c>
      <c r="F180" t="s">
        <v>27</v>
      </c>
      <c r="G180">
        <v>1751</v>
      </c>
      <c r="H180">
        <v>1</v>
      </c>
      <c r="I180">
        <v>4.8</v>
      </c>
      <c r="J180">
        <v>0</v>
      </c>
      <c r="K180" t="s">
        <v>29</v>
      </c>
      <c r="L180" t="s">
        <v>20</v>
      </c>
      <c r="M180" t="s">
        <v>28</v>
      </c>
      <c r="N180" t="s">
        <v>29</v>
      </c>
      <c r="O180">
        <v>0.05</v>
      </c>
      <c r="P180" t="s">
        <v>51</v>
      </c>
    </row>
    <row r="181" spans="1:16" x14ac:dyDescent="0.3">
      <c r="A181">
        <v>179</v>
      </c>
      <c r="B181" t="s">
        <v>15</v>
      </c>
      <c r="C181" t="s">
        <v>385</v>
      </c>
      <c r="D181" t="s">
        <v>411</v>
      </c>
      <c r="E181" t="s">
        <v>412</v>
      </c>
      <c r="F181" t="s">
        <v>27</v>
      </c>
      <c r="G181">
        <v>751</v>
      </c>
      <c r="H181">
        <v>2</v>
      </c>
      <c r="I181">
        <v>4.8</v>
      </c>
      <c r="J181">
        <v>0</v>
      </c>
      <c r="K181" t="s">
        <v>29</v>
      </c>
      <c r="L181" t="s">
        <v>20</v>
      </c>
      <c r="M181" t="s">
        <v>28</v>
      </c>
      <c r="N181" t="s">
        <v>29</v>
      </c>
      <c r="O181">
        <v>0.09</v>
      </c>
      <c r="P181" t="s">
        <v>51</v>
      </c>
    </row>
    <row r="182" spans="1:16" x14ac:dyDescent="0.3">
      <c r="A182">
        <v>180</v>
      </c>
      <c r="B182" t="s">
        <v>15</v>
      </c>
      <c r="C182" t="s">
        <v>385</v>
      </c>
      <c r="D182" t="s">
        <v>413</v>
      </c>
      <c r="E182" t="s">
        <v>414</v>
      </c>
      <c r="F182" t="s">
        <v>72</v>
      </c>
      <c r="G182">
        <v>1982</v>
      </c>
      <c r="H182">
        <v>5</v>
      </c>
      <c r="I182">
        <v>4.7</v>
      </c>
      <c r="J182">
        <v>150</v>
      </c>
      <c r="K182" t="s">
        <v>29</v>
      </c>
      <c r="L182" t="s">
        <v>20</v>
      </c>
      <c r="M182" t="s">
        <v>94</v>
      </c>
      <c r="N182" t="s">
        <v>19</v>
      </c>
      <c r="O182">
        <v>3.5000000000000003E-2</v>
      </c>
      <c r="P182" t="s">
        <v>37</v>
      </c>
    </row>
    <row r="183" spans="1:16" x14ac:dyDescent="0.3">
      <c r="A183">
        <v>181</v>
      </c>
      <c r="B183" t="s">
        <v>306</v>
      </c>
      <c r="C183" t="s">
        <v>415</v>
      </c>
      <c r="D183" t="s">
        <v>416</v>
      </c>
      <c r="E183" t="s">
        <v>417</v>
      </c>
      <c r="F183" t="s">
        <v>272</v>
      </c>
      <c r="G183">
        <v>1632</v>
      </c>
      <c r="H183">
        <v>2</v>
      </c>
      <c r="I183">
        <v>4.5999999999999996</v>
      </c>
      <c r="J183">
        <v>50</v>
      </c>
      <c r="K183" t="s">
        <v>19</v>
      </c>
      <c r="L183" t="s">
        <v>57</v>
      </c>
      <c r="M183" t="s">
        <v>21</v>
      </c>
      <c r="N183" t="s">
        <v>19</v>
      </c>
      <c r="O183">
        <v>2.25</v>
      </c>
      <c r="P183" t="s">
        <v>37</v>
      </c>
    </row>
    <row r="184" spans="1:16" x14ac:dyDescent="0.3">
      <c r="A184">
        <v>182</v>
      </c>
      <c r="B184" t="s">
        <v>306</v>
      </c>
      <c r="C184" t="s">
        <v>415</v>
      </c>
      <c r="D184" t="s">
        <v>418</v>
      </c>
      <c r="E184" t="s">
        <v>419</v>
      </c>
      <c r="F184" t="s">
        <v>27</v>
      </c>
      <c r="G184" t="s">
        <v>67</v>
      </c>
      <c r="H184">
        <v>1</v>
      </c>
      <c r="I184">
        <v>4.7</v>
      </c>
      <c r="J184">
        <v>0</v>
      </c>
      <c r="K184" t="s">
        <v>19</v>
      </c>
      <c r="L184" t="s">
        <v>20</v>
      </c>
      <c r="M184" t="s">
        <v>28</v>
      </c>
      <c r="N184" t="s">
        <v>29</v>
      </c>
      <c r="O184">
        <v>0.9</v>
      </c>
      <c r="P184" t="s">
        <v>51</v>
      </c>
    </row>
    <row r="185" spans="1:16" x14ac:dyDescent="0.3">
      <c r="A185">
        <v>183</v>
      </c>
      <c r="B185" t="s">
        <v>306</v>
      </c>
      <c r="C185" t="s">
        <v>415</v>
      </c>
      <c r="D185" t="s">
        <v>420</v>
      </c>
      <c r="E185" t="s">
        <v>421</v>
      </c>
      <c r="F185" t="s">
        <v>59</v>
      </c>
      <c r="G185">
        <v>1784</v>
      </c>
      <c r="H185">
        <v>1.5</v>
      </c>
      <c r="I185">
        <v>4.4000000000000004</v>
      </c>
      <c r="J185">
        <v>50</v>
      </c>
      <c r="K185" t="s">
        <v>19</v>
      </c>
      <c r="L185" t="s">
        <v>32</v>
      </c>
      <c r="M185" t="s">
        <v>21</v>
      </c>
      <c r="N185" t="s">
        <v>29</v>
      </c>
      <c r="O185">
        <v>0.45</v>
      </c>
      <c r="P185" t="s">
        <v>51</v>
      </c>
    </row>
    <row r="186" spans="1:16" x14ac:dyDescent="0.3">
      <c r="A186">
        <v>184</v>
      </c>
      <c r="B186" t="s">
        <v>306</v>
      </c>
      <c r="C186" t="s">
        <v>415</v>
      </c>
      <c r="D186" t="s">
        <v>422</v>
      </c>
      <c r="E186" t="s">
        <v>423</v>
      </c>
      <c r="F186" t="s">
        <v>27</v>
      </c>
      <c r="G186" t="s">
        <v>67</v>
      </c>
      <c r="H186">
        <v>1</v>
      </c>
      <c r="I186">
        <v>4.7</v>
      </c>
      <c r="J186">
        <v>0</v>
      </c>
      <c r="K186" t="s">
        <v>19</v>
      </c>
      <c r="L186" t="s">
        <v>20</v>
      </c>
      <c r="M186" t="s">
        <v>28</v>
      </c>
      <c r="N186" t="s">
        <v>29</v>
      </c>
      <c r="O186">
        <v>0.13</v>
      </c>
      <c r="P186" t="s">
        <v>51</v>
      </c>
    </row>
    <row r="187" spans="1:16" x14ac:dyDescent="0.3">
      <c r="A187">
        <v>185</v>
      </c>
      <c r="B187" t="s">
        <v>306</v>
      </c>
      <c r="C187" t="s">
        <v>415</v>
      </c>
      <c r="D187" t="s">
        <v>424</v>
      </c>
      <c r="E187" t="s">
        <v>425</v>
      </c>
      <c r="F187" t="s">
        <v>210</v>
      </c>
      <c r="G187" t="s">
        <v>67</v>
      </c>
      <c r="H187">
        <v>1</v>
      </c>
      <c r="I187">
        <v>4.8</v>
      </c>
      <c r="J187">
        <v>0</v>
      </c>
      <c r="K187" t="s">
        <v>19</v>
      </c>
      <c r="L187" t="s">
        <v>20</v>
      </c>
      <c r="M187" t="s">
        <v>28</v>
      </c>
      <c r="N187" t="s">
        <v>29</v>
      </c>
      <c r="O187">
        <v>2.5000000000000001E-2</v>
      </c>
      <c r="P187" t="s">
        <v>51</v>
      </c>
    </row>
    <row r="188" spans="1:16" x14ac:dyDescent="0.3">
      <c r="A188">
        <v>186</v>
      </c>
      <c r="B188" t="s">
        <v>306</v>
      </c>
      <c r="C188" t="s">
        <v>415</v>
      </c>
      <c r="D188" t="s">
        <v>426</v>
      </c>
      <c r="E188" t="s">
        <v>427</v>
      </c>
      <c r="F188" t="s">
        <v>27</v>
      </c>
      <c r="G188">
        <v>1864</v>
      </c>
      <c r="H188">
        <v>1</v>
      </c>
      <c r="I188">
        <v>4.8</v>
      </c>
      <c r="J188">
        <v>0</v>
      </c>
      <c r="K188" t="s">
        <v>19</v>
      </c>
      <c r="L188" t="s">
        <v>20</v>
      </c>
      <c r="M188" t="s">
        <v>28</v>
      </c>
      <c r="N188" t="s">
        <v>29</v>
      </c>
      <c r="O188">
        <v>0.37</v>
      </c>
      <c r="P188" t="s">
        <v>51</v>
      </c>
    </row>
    <row r="189" spans="1:16" x14ac:dyDescent="0.3">
      <c r="A189">
        <v>187</v>
      </c>
      <c r="B189" t="s">
        <v>306</v>
      </c>
      <c r="C189" t="s">
        <v>415</v>
      </c>
      <c r="D189" t="s">
        <v>428</v>
      </c>
      <c r="E189" t="s">
        <v>429</v>
      </c>
      <c r="F189" t="s">
        <v>430</v>
      </c>
      <c r="G189" t="s">
        <v>67</v>
      </c>
      <c r="H189">
        <v>1</v>
      </c>
      <c r="I189">
        <v>4.5</v>
      </c>
      <c r="J189">
        <v>0</v>
      </c>
      <c r="K189" t="s">
        <v>19</v>
      </c>
      <c r="L189" t="s">
        <v>20</v>
      </c>
      <c r="M189" t="s">
        <v>28</v>
      </c>
      <c r="N189" t="s">
        <v>19</v>
      </c>
      <c r="O189">
        <v>0.09</v>
      </c>
      <c r="P189" t="s">
        <v>37</v>
      </c>
    </row>
    <row r="190" spans="1:16" x14ac:dyDescent="0.3">
      <c r="A190">
        <v>188</v>
      </c>
      <c r="B190" t="s">
        <v>306</v>
      </c>
      <c r="C190" t="s">
        <v>415</v>
      </c>
      <c r="D190" t="s">
        <v>431</v>
      </c>
      <c r="E190" t="s">
        <v>432</v>
      </c>
      <c r="F190" t="s">
        <v>43</v>
      </c>
      <c r="G190">
        <v>1613</v>
      </c>
      <c r="H190">
        <v>1.5</v>
      </c>
      <c r="I190">
        <v>4.4000000000000004</v>
      </c>
      <c r="J190">
        <v>15</v>
      </c>
      <c r="K190" t="s">
        <v>19</v>
      </c>
      <c r="L190" t="s">
        <v>20</v>
      </c>
      <c r="M190" t="s">
        <v>21</v>
      </c>
      <c r="N190" t="s">
        <v>19</v>
      </c>
      <c r="O190">
        <v>0.25</v>
      </c>
      <c r="P190" t="s">
        <v>51</v>
      </c>
    </row>
    <row r="191" spans="1:16" x14ac:dyDescent="0.3">
      <c r="A191">
        <v>189</v>
      </c>
      <c r="B191" t="s">
        <v>306</v>
      </c>
      <c r="C191" t="s">
        <v>415</v>
      </c>
      <c r="D191" t="s">
        <v>433</v>
      </c>
      <c r="E191" t="s">
        <v>434</v>
      </c>
      <c r="F191" t="s">
        <v>59</v>
      </c>
      <c r="G191">
        <v>-500</v>
      </c>
      <c r="H191">
        <v>1</v>
      </c>
      <c r="I191">
        <v>4.5999999999999996</v>
      </c>
      <c r="J191">
        <v>5</v>
      </c>
      <c r="K191" t="s">
        <v>19</v>
      </c>
      <c r="L191" t="s">
        <v>20</v>
      </c>
      <c r="M191" t="s">
        <v>21</v>
      </c>
      <c r="N191" t="s">
        <v>19</v>
      </c>
      <c r="O191">
        <v>6.5000000000000002E-2</v>
      </c>
      <c r="P191" t="s">
        <v>51</v>
      </c>
    </row>
    <row r="192" spans="1:16" x14ac:dyDescent="0.3">
      <c r="A192">
        <v>190</v>
      </c>
      <c r="B192" t="s">
        <v>306</v>
      </c>
      <c r="C192" t="s">
        <v>415</v>
      </c>
      <c r="D192" t="s">
        <v>435</v>
      </c>
      <c r="E192" t="s">
        <v>436</v>
      </c>
      <c r="F192" t="s">
        <v>59</v>
      </c>
      <c r="G192">
        <v>1571</v>
      </c>
      <c r="H192">
        <v>2</v>
      </c>
      <c r="I192">
        <v>4.4000000000000004</v>
      </c>
      <c r="J192">
        <v>40</v>
      </c>
      <c r="K192" t="s">
        <v>19</v>
      </c>
      <c r="L192" t="s">
        <v>20</v>
      </c>
      <c r="M192" t="s">
        <v>21</v>
      </c>
      <c r="N192" t="s">
        <v>19</v>
      </c>
      <c r="O192">
        <v>7.0000000000000007E-2</v>
      </c>
      <c r="P192" t="s">
        <v>25</v>
      </c>
    </row>
    <row r="193" spans="1:16" x14ac:dyDescent="0.3">
      <c r="A193">
        <v>191</v>
      </c>
      <c r="B193" t="s">
        <v>306</v>
      </c>
      <c r="C193" t="s">
        <v>415</v>
      </c>
      <c r="D193" t="s">
        <v>437</v>
      </c>
      <c r="E193" t="s">
        <v>438</v>
      </c>
      <c r="F193" t="s">
        <v>153</v>
      </c>
      <c r="G193">
        <v>1990</v>
      </c>
      <c r="H193">
        <v>1.5</v>
      </c>
      <c r="I193">
        <v>4.3</v>
      </c>
      <c r="J193">
        <v>30</v>
      </c>
      <c r="K193" t="s">
        <v>19</v>
      </c>
      <c r="L193" t="s">
        <v>20</v>
      </c>
      <c r="M193" t="s">
        <v>73</v>
      </c>
      <c r="N193" t="s">
        <v>19</v>
      </c>
      <c r="O193">
        <v>3.5000000000000003E-2</v>
      </c>
      <c r="P193" t="s">
        <v>51</v>
      </c>
    </row>
    <row r="194" spans="1:16" x14ac:dyDescent="0.3">
      <c r="A194">
        <v>192</v>
      </c>
      <c r="B194" t="s">
        <v>306</v>
      </c>
      <c r="C194" t="s">
        <v>415</v>
      </c>
      <c r="D194" t="s">
        <v>439</v>
      </c>
      <c r="E194" t="s">
        <v>440</v>
      </c>
      <c r="F194" t="s">
        <v>43</v>
      </c>
      <c r="G194">
        <v>1524</v>
      </c>
      <c r="H194">
        <v>1</v>
      </c>
      <c r="I194">
        <v>4.0999999999999996</v>
      </c>
      <c r="J194">
        <v>20</v>
      </c>
      <c r="K194" t="s">
        <v>19</v>
      </c>
      <c r="L194" t="s">
        <v>20</v>
      </c>
      <c r="M194" t="s">
        <v>21</v>
      </c>
      <c r="N194" t="s">
        <v>19</v>
      </c>
      <c r="O194">
        <v>1.6500000000000001E-2</v>
      </c>
      <c r="P194" t="s">
        <v>25</v>
      </c>
    </row>
    <row r="195" spans="1:16" x14ac:dyDescent="0.3">
      <c r="A195">
        <v>193</v>
      </c>
      <c r="B195" t="s">
        <v>306</v>
      </c>
      <c r="C195" t="s">
        <v>415</v>
      </c>
      <c r="D195" t="s">
        <v>441</v>
      </c>
      <c r="E195" t="s">
        <v>442</v>
      </c>
      <c r="F195" t="s">
        <v>27</v>
      </c>
      <c r="G195" t="s">
        <v>67</v>
      </c>
      <c r="H195">
        <v>1</v>
      </c>
      <c r="I195">
        <v>4.8</v>
      </c>
      <c r="J195">
        <v>0</v>
      </c>
      <c r="K195" t="s">
        <v>19</v>
      </c>
      <c r="L195" t="s">
        <v>20</v>
      </c>
      <c r="M195" t="s">
        <v>28</v>
      </c>
      <c r="N195" t="s">
        <v>29</v>
      </c>
      <c r="O195">
        <v>4.4999999999999998E-2</v>
      </c>
      <c r="P195" t="s">
        <v>51</v>
      </c>
    </row>
    <row r="196" spans="1:16" x14ac:dyDescent="0.3">
      <c r="A196">
        <v>194</v>
      </c>
      <c r="B196" t="s">
        <v>306</v>
      </c>
      <c r="C196" t="s">
        <v>415</v>
      </c>
      <c r="D196" t="s">
        <v>443</v>
      </c>
      <c r="E196" t="s">
        <v>444</v>
      </c>
      <c r="F196" t="s">
        <v>56</v>
      </c>
      <c r="G196">
        <v>1971</v>
      </c>
      <c r="H196">
        <v>2</v>
      </c>
      <c r="I196">
        <v>4.2</v>
      </c>
      <c r="J196">
        <v>150</v>
      </c>
      <c r="K196" t="s">
        <v>19</v>
      </c>
      <c r="L196" t="s">
        <v>32</v>
      </c>
      <c r="M196" t="s">
        <v>73</v>
      </c>
      <c r="N196" t="s">
        <v>19</v>
      </c>
      <c r="O196">
        <v>0.21</v>
      </c>
      <c r="P196" t="s">
        <v>51</v>
      </c>
    </row>
    <row r="197" spans="1:16" x14ac:dyDescent="0.3">
      <c r="A197">
        <v>195</v>
      </c>
      <c r="B197" t="s">
        <v>15</v>
      </c>
      <c r="C197" t="s">
        <v>445</v>
      </c>
      <c r="D197" t="s">
        <v>446</v>
      </c>
      <c r="E197" t="s">
        <v>447</v>
      </c>
      <c r="F197" t="s">
        <v>106</v>
      </c>
      <c r="G197" t="s">
        <v>67</v>
      </c>
      <c r="H197">
        <v>2</v>
      </c>
      <c r="I197">
        <v>4.5999999999999996</v>
      </c>
      <c r="J197">
        <v>0</v>
      </c>
      <c r="K197" t="s">
        <v>19</v>
      </c>
      <c r="L197" t="s">
        <v>20</v>
      </c>
      <c r="M197" t="s">
        <v>94</v>
      </c>
      <c r="N197" t="s">
        <v>19</v>
      </c>
      <c r="O197">
        <v>0.15</v>
      </c>
      <c r="P197" t="s">
        <v>37</v>
      </c>
    </row>
    <row r="198" spans="1:16" x14ac:dyDescent="0.3">
      <c r="A198">
        <v>196</v>
      </c>
      <c r="B198" t="s">
        <v>15</v>
      </c>
      <c r="C198" t="s">
        <v>448</v>
      </c>
      <c r="D198" t="s">
        <v>449</v>
      </c>
      <c r="E198" t="s">
        <v>450</v>
      </c>
      <c r="F198" t="s">
        <v>106</v>
      </c>
      <c r="G198" t="s">
        <v>67</v>
      </c>
      <c r="H198">
        <v>2</v>
      </c>
      <c r="I198">
        <v>4.9000000000000004</v>
      </c>
      <c r="J198">
        <v>20</v>
      </c>
      <c r="K198" t="s">
        <v>19</v>
      </c>
      <c r="L198" t="s">
        <v>20</v>
      </c>
      <c r="M198" t="s">
        <v>94</v>
      </c>
      <c r="N198" t="s">
        <v>19</v>
      </c>
      <c r="O198">
        <v>0.15</v>
      </c>
      <c r="P198" t="s">
        <v>37</v>
      </c>
    </row>
    <row r="199" spans="1:16" x14ac:dyDescent="0.3">
      <c r="A199">
        <v>197</v>
      </c>
      <c r="B199" t="s">
        <v>15</v>
      </c>
      <c r="C199" t="s">
        <v>445</v>
      </c>
      <c r="D199" t="s">
        <v>451</v>
      </c>
      <c r="E199" t="s">
        <v>452</v>
      </c>
      <c r="F199" t="s">
        <v>300</v>
      </c>
      <c r="G199" t="s">
        <v>67</v>
      </c>
      <c r="H199">
        <v>2</v>
      </c>
      <c r="I199">
        <v>4.5999999999999996</v>
      </c>
      <c r="J199">
        <v>100</v>
      </c>
      <c r="K199" t="s">
        <v>29</v>
      </c>
      <c r="L199" t="s">
        <v>20</v>
      </c>
      <c r="M199" t="s">
        <v>94</v>
      </c>
      <c r="N199" t="s">
        <v>19</v>
      </c>
      <c r="O199">
        <v>0.11</v>
      </c>
      <c r="P199" t="s">
        <v>51</v>
      </c>
    </row>
    <row r="200" spans="1:16" x14ac:dyDescent="0.3">
      <c r="A200">
        <v>198</v>
      </c>
      <c r="B200" t="s">
        <v>15</v>
      </c>
      <c r="C200" t="s">
        <v>445</v>
      </c>
      <c r="D200" t="s">
        <v>453</v>
      </c>
      <c r="E200" t="s">
        <v>454</v>
      </c>
      <c r="F200" t="s">
        <v>27</v>
      </c>
      <c r="G200" t="s">
        <v>67</v>
      </c>
      <c r="H200">
        <v>5</v>
      </c>
      <c r="I200">
        <v>4.7</v>
      </c>
      <c r="J200">
        <v>0</v>
      </c>
      <c r="K200" t="s">
        <v>19</v>
      </c>
      <c r="L200" t="s">
        <v>20</v>
      </c>
      <c r="M200" t="s">
        <v>28</v>
      </c>
      <c r="N200" t="s">
        <v>29</v>
      </c>
      <c r="O200">
        <v>0.55000000000000004</v>
      </c>
      <c r="P200" t="s">
        <v>51</v>
      </c>
    </row>
    <row r="201" spans="1:16" x14ac:dyDescent="0.3">
      <c r="A201">
        <v>199</v>
      </c>
      <c r="B201" t="s">
        <v>15</v>
      </c>
      <c r="C201" t="s">
        <v>445</v>
      </c>
      <c r="D201" t="s">
        <v>455</v>
      </c>
      <c r="E201" t="s">
        <v>456</v>
      </c>
      <c r="F201" t="s">
        <v>457</v>
      </c>
      <c r="G201" t="s">
        <v>67</v>
      </c>
      <c r="H201">
        <v>2</v>
      </c>
      <c r="I201">
        <v>4.0999999999999996</v>
      </c>
      <c r="J201">
        <v>0</v>
      </c>
      <c r="K201" t="s">
        <v>29</v>
      </c>
      <c r="L201" t="s">
        <v>20</v>
      </c>
      <c r="M201" t="s">
        <v>80</v>
      </c>
      <c r="N201" t="s">
        <v>19</v>
      </c>
      <c r="O201">
        <v>0.01</v>
      </c>
      <c r="P201" t="s">
        <v>51</v>
      </c>
    </row>
    <row r="202" spans="1:16" x14ac:dyDescent="0.3">
      <c r="A202">
        <v>200</v>
      </c>
      <c r="B202" t="s">
        <v>15</v>
      </c>
      <c r="C202" t="s">
        <v>445</v>
      </c>
      <c r="D202" t="s">
        <v>458</v>
      </c>
      <c r="E202" t="s">
        <v>459</v>
      </c>
      <c r="F202" t="s">
        <v>27</v>
      </c>
      <c r="G202" t="s">
        <v>67</v>
      </c>
      <c r="H202">
        <v>6</v>
      </c>
      <c r="I202">
        <v>4.5</v>
      </c>
      <c r="J202">
        <v>0</v>
      </c>
      <c r="K202" t="s">
        <v>29</v>
      </c>
      <c r="L202" t="s">
        <v>20</v>
      </c>
      <c r="M202" t="s">
        <v>28</v>
      </c>
      <c r="N202" t="s">
        <v>19</v>
      </c>
      <c r="O202">
        <v>0.11</v>
      </c>
      <c r="P202" t="s">
        <v>51</v>
      </c>
    </row>
    <row r="203" spans="1:16" x14ac:dyDescent="0.3">
      <c r="A203">
        <v>201</v>
      </c>
      <c r="B203" t="s">
        <v>15</v>
      </c>
      <c r="C203" t="s">
        <v>448</v>
      </c>
      <c r="D203" t="s">
        <v>449</v>
      </c>
      <c r="E203" t="s">
        <v>460</v>
      </c>
      <c r="F203" t="s">
        <v>352</v>
      </c>
      <c r="G203">
        <v>1430</v>
      </c>
      <c r="H203">
        <v>1.5</v>
      </c>
      <c r="I203">
        <v>4.7</v>
      </c>
      <c r="J203">
        <v>20</v>
      </c>
      <c r="K203" t="s">
        <v>19</v>
      </c>
      <c r="L203" t="s">
        <v>20</v>
      </c>
      <c r="M203" t="s">
        <v>28</v>
      </c>
      <c r="N203" t="s">
        <v>29</v>
      </c>
      <c r="O203">
        <v>0.05</v>
      </c>
      <c r="P203" t="s">
        <v>51</v>
      </c>
    </row>
    <row r="204" spans="1:16" x14ac:dyDescent="0.3">
      <c r="A204">
        <v>202</v>
      </c>
      <c r="B204" t="s">
        <v>15</v>
      </c>
      <c r="C204" t="s">
        <v>448</v>
      </c>
      <c r="D204" t="s">
        <v>461</v>
      </c>
      <c r="E204" t="s">
        <v>461</v>
      </c>
      <c r="F204" t="s">
        <v>300</v>
      </c>
      <c r="G204" t="s">
        <v>67</v>
      </c>
      <c r="H204">
        <v>2</v>
      </c>
      <c r="I204">
        <v>4.5</v>
      </c>
      <c r="J204">
        <v>0</v>
      </c>
      <c r="K204" t="s">
        <v>29</v>
      </c>
      <c r="L204" t="s">
        <v>20</v>
      </c>
      <c r="M204" t="s">
        <v>94</v>
      </c>
      <c r="N204" t="s">
        <v>19</v>
      </c>
      <c r="O204">
        <v>0.1</v>
      </c>
      <c r="P204" t="s">
        <v>51</v>
      </c>
    </row>
    <row r="205" spans="1:16" x14ac:dyDescent="0.3">
      <c r="A205">
        <v>203</v>
      </c>
      <c r="B205" t="s">
        <v>15</v>
      </c>
      <c r="C205" t="s">
        <v>448</v>
      </c>
      <c r="D205" t="s">
        <v>462</v>
      </c>
      <c r="E205" t="s">
        <v>463</v>
      </c>
      <c r="F205" t="s">
        <v>18</v>
      </c>
      <c r="G205">
        <v>24</v>
      </c>
      <c r="H205">
        <v>1</v>
      </c>
      <c r="I205">
        <v>4.8</v>
      </c>
      <c r="J205">
        <v>0</v>
      </c>
      <c r="K205" t="s">
        <v>29</v>
      </c>
      <c r="L205" t="s">
        <v>20</v>
      </c>
      <c r="M205" t="s">
        <v>21</v>
      </c>
      <c r="N205" t="s">
        <v>19</v>
      </c>
      <c r="O205">
        <v>1.0999999999999999E-2</v>
      </c>
      <c r="P205" t="s">
        <v>51</v>
      </c>
    </row>
    <row r="206" spans="1:16" x14ac:dyDescent="0.3">
      <c r="A206">
        <v>204</v>
      </c>
      <c r="B206" t="s">
        <v>15</v>
      </c>
      <c r="C206" t="s">
        <v>448</v>
      </c>
      <c r="D206" t="s">
        <v>464</v>
      </c>
      <c r="E206" t="s">
        <v>465</v>
      </c>
      <c r="F206" t="s">
        <v>352</v>
      </c>
      <c r="G206">
        <v>1351</v>
      </c>
      <c r="H206">
        <v>1</v>
      </c>
      <c r="I206">
        <v>4.7</v>
      </c>
      <c r="J206">
        <v>20</v>
      </c>
      <c r="K206" t="s">
        <v>29</v>
      </c>
      <c r="L206" t="s">
        <v>20</v>
      </c>
      <c r="M206" t="s">
        <v>28</v>
      </c>
      <c r="N206" t="s">
        <v>29</v>
      </c>
      <c r="O206">
        <v>1.4999999999999999E-2</v>
      </c>
      <c r="P206" t="s">
        <v>37</v>
      </c>
    </row>
    <row r="207" spans="1:16" x14ac:dyDescent="0.3">
      <c r="A207">
        <v>205</v>
      </c>
      <c r="B207" t="s">
        <v>15</v>
      </c>
      <c r="C207" t="s">
        <v>445</v>
      </c>
      <c r="D207" t="s">
        <v>466</v>
      </c>
      <c r="E207" t="s">
        <v>467</v>
      </c>
      <c r="F207" t="s">
        <v>72</v>
      </c>
      <c r="G207">
        <v>1981</v>
      </c>
      <c r="H207">
        <v>3</v>
      </c>
      <c r="I207">
        <v>4.3</v>
      </c>
      <c r="J207">
        <v>100</v>
      </c>
      <c r="K207" t="s">
        <v>29</v>
      </c>
      <c r="L207" t="s">
        <v>20</v>
      </c>
      <c r="M207" t="s">
        <v>73</v>
      </c>
      <c r="N207" t="s">
        <v>19</v>
      </c>
      <c r="O207">
        <v>0.01</v>
      </c>
      <c r="P207" t="s">
        <v>51</v>
      </c>
    </row>
    <row r="208" spans="1:16" x14ac:dyDescent="0.3">
      <c r="A208">
        <v>206</v>
      </c>
      <c r="B208" t="s">
        <v>15</v>
      </c>
      <c r="C208" t="s">
        <v>448</v>
      </c>
      <c r="D208" t="s">
        <v>468</v>
      </c>
      <c r="E208" t="s">
        <v>469</v>
      </c>
      <c r="F208" t="s">
        <v>72</v>
      </c>
      <c r="G208">
        <v>1981</v>
      </c>
      <c r="H208">
        <v>4</v>
      </c>
      <c r="I208">
        <v>4.4000000000000004</v>
      </c>
      <c r="J208">
        <v>20</v>
      </c>
      <c r="K208" t="s">
        <v>29</v>
      </c>
      <c r="L208" t="s">
        <v>20</v>
      </c>
      <c r="M208" t="s">
        <v>73</v>
      </c>
      <c r="N208" t="s">
        <v>19</v>
      </c>
      <c r="O208">
        <v>0.02</v>
      </c>
      <c r="P208" t="s">
        <v>51</v>
      </c>
    </row>
    <row r="209" spans="1:16" x14ac:dyDescent="0.3">
      <c r="A209">
        <v>207</v>
      </c>
      <c r="B209" t="s">
        <v>15</v>
      </c>
      <c r="C209" t="s">
        <v>448</v>
      </c>
      <c r="D209" t="s">
        <v>470</v>
      </c>
      <c r="E209" t="s">
        <v>471</v>
      </c>
      <c r="F209" t="s">
        <v>18</v>
      </c>
      <c r="G209" t="s">
        <v>67</v>
      </c>
      <c r="H209">
        <v>1</v>
      </c>
      <c r="I209">
        <v>4.8</v>
      </c>
      <c r="J209">
        <v>0</v>
      </c>
      <c r="K209" t="s">
        <v>29</v>
      </c>
      <c r="L209" t="s">
        <v>20</v>
      </c>
      <c r="M209" t="s">
        <v>21</v>
      </c>
      <c r="N209" t="s">
        <v>19</v>
      </c>
      <c r="O209">
        <v>1.2E-2</v>
      </c>
      <c r="P209" t="s">
        <v>51</v>
      </c>
    </row>
    <row r="210" spans="1:16" x14ac:dyDescent="0.3">
      <c r="A210">
        <v>208</v>
      </c>
      <c r="B210" t="s">
        <v>15</v>
      </c>
      <c r="C210" t="s">
        <v>448</v>
      </c>
      <c r="D210" t="s">
        <v>449</v>
      </c>
      <c r="E210" t="s">
        <v>472</v>
      </c>
      <c r="F210" t="s">
        <v>473</v>
      </c>
      <c r="G210" t="s">
        <v>67</v>
      </c>
      <c r="H210">
        <v>0.5</v>
      </c>
      <c r="I210">
        <v>3.7</v>
      </c>
      <c r="J210">
        <v>0</v>
      </c>
      <c r="K210" t="s">
        <v>19</v>
      </c>
      <c r="L210" t="s">
        <v>20</v>
      </c>
      <c r="M210" t="s">
        <v>94</v>
      </c>
      <c r="N210" t="s">
        <v>19</v>
      </c>
      <c r="O210">
        <v>0.1</v>
      </c>
      <c r="P210" t="s">
        <v>51</v>
      </c>
    </row>
    <row r="211" spans="1:16" x14ac:dyDescent="0.3">
      <c r="A211">
        <v>209</v>
      </c>
      <c r="B211" t="s">
        <v>15</v>
      </c>
      <c r="C211" t="s">
        <v>448</v>
      </c>
      <c r="D211" t="s">
        <v>449</v>
      </c>
      <c r="E211" t="s">
        <v>474</v>
      </c>
      <c r="F211" t="s">
        <v>457</v>
      </c>
      <c r="G211" t="s">
        <v>67</v>
      </c>
      <c r="H211">
        <v>1</v>
      </c>
      <c r="I211">
        <v>4.5</v>
      </c>
      <c r="J211">
        <v>0</v>
      </c>
      <c r="K211" t="s">
        <v>19</v>
      </c>
      <c r="L211" t="s">
        <v>20</v>
      </c>
      <c r="M211" t="s">
        <v>345</v>
      </c>
      <c r="N211" t="s">
        <v>19</v>
      </c>
      <c r="O211">
        <v>0.05</v>
      </c>
      <c r="P211" t="s">
        <v>25</v>
      </c>
    </row>
    <row r="212" spans="1:16" x14ac:dyDescent="0.3">
      <c r="A212">
        <v>210</v>
      </c>
      <c r="B212" t="s">
        <v>15</v>
      </c>
      <c r="C212" t="s">
        <v>448</v>
      </c>
      <c r="D212" t="s">
        <v>449</v>
      </c>
      <c r="E212" t="s">
        <v>460</v>
      </c>
      <c r="F212" t="s">
        <v>352</v>
      </c>
      <c r="G212">
        <v>1430</v>
      </c>
      <c r="H212">
        <v>1.5</v>
      </c>
      <c r="I212">
        <v>4.7</v>
      </c>
      <c r="J212">
        <v>30</v>
      </c>
      <c r="K212" t="s">
        <v>19</v>
      </c>
      <c r="L212" t="s">
        <v>20</v>
      </c>
      <c r="M212" t="s">
        <v>28</v>
      </c>
      <c r="N212" t="s">
        <v>29</v>
      </c>
      <c r="O212">
        <v>0.05</v>
      </c>
      <c r="P212" t="s">
        <v>51</v>
      </c>
    </row>
    <row r="213" spans="1:16" x14ac:dyDescent="0.3">
      <c r="A213">
        <v>211</v>
      </c>
      <c r="B213" t="s">
        <v>306</v>
      </c>
      <c r="C213" t="s">
        <v>415</v>
      </c>
      <c r="D213" t="s">
        <v>426</v>
      </c>
      <c r="E213" t="s">
        <v>475</v>
      </c>
      <c r="F213" t="s">
        <v>27</v>
      </c>
      <c r="G213">
        <v>2012</v>
      </c>
      <c r="H213">
        <v>1.5</v>
      </c>
      <c r="I213">
        <v>4.8</v>
      </c>
      <c r="J213">
        <v>0</v>
      </c>
      <c r="K213" t="s">
        <v>19</v>
      </c>
      <c r="L213" t="s">
        <v>20</v>
      </c>
      <c r="M213" t="s">
        <v>28</v>
      </c>
      <c r="N213" t="s">
        <v>19</v>
      </c>
      <c r="O213">
        <v>0.49</v>
      </c>
      <c r="P213" t="s">
        <v>22</v>
      </c>
    </row>
    <row r="214" spans="1:16" x14ac:dyDescent="0.3">
      <c r="A214">
        <v>212</v>
      </c>
      <c r="B214" t="s">
        <v>306</v>
      </c>
      <c r="C214" t="s">
        <v>415</v>
      </c>
      <c r="D214" t="s">
        <v>476</v>
      </c>
      <c r="E214" t="s">
        <v>477</v>
      </c>
      <c r="F214" t="s">
        <v>213</v>
      </c>
      <c r="G214">
        <v>1950</v>
      </c>
      <c r="H214">
        <v>1</v>
      </c>
      <c r="I214">
        <v>4.8</v>
      </c>
      <c r="J214">
        <v>0</v>
      </c>
      <c r="K214" t="s">
        <v>19</v>
      </c>
      <c r="L214" t="s">
        <v>20</v>
      </c>
      <c r="M214" t="s">
        <v>21</v>
      </c>
      <c r="N214" t="s">
        <v>19</v>
      </c>
      <c r="O214">
        <v>0.03</v>
      </c>
      <c r="P214" t="s">
        <v>37</v>
      </c>
    </row>
    <row r="215" spans="1:16" x14ac:dyDescent="0.3">
      <c r="A215">
        <v>213</v>
      </c>
      <c r="B215" t="s">
        <v>306</v>
      </c>
      <c r="C215" t="s">
        <v>415</v>
      </c>
      <c r="D215" t="s">
        <v>422</v>
      </c>
      <c r="E215" t="s">
        <v>478</v>
      </c>
      <c r="F215" t="s">
        <v>479</v>
      </c>
      <c r="G215" t="s">
        <v>67</v>
      </c>
      <c r="H215">
        <v>1</v>
      </c>
      <c r="I215">
        <v>4.0999999999999996</v>
      </c>
      <c r="J215">
        <v>0</v>
      </c>
      <c r="K215" t="s">
        <v>19</v>
      </c>
      <c r="L215" t="s">
        <v>20</v>
      </c>
      <c r="M215" t="s">
        <v>169</v>
      </c>
      <c r="N215" t="s">
        <v>19</v>
      </c>
      <c r="O215">
        <v>0.01</v>
      </c>
      <c r="P215" t="s">
        <v>37</v>
      </c>
    </row>
    <row r="216" spans="1:16" x14ac:dyDescent="0.3">
      <c r="A216">
        <v>214</v>
      </c>
      <c r="B216" t="s">
        <v>306</v>
      </c>
      <c r="C216" t="s">
        <v>415</v>
      </c>
      <c r="D216" t="s">
        <v>422</v>
      </c>
      <c r="E216" t="s">
        <v>480</v>
      </c>
      <c r="F216" t="s">
        <v>27</v>
      </c>
      <c r="G216" t="s">
        <v>67</v>
      </c>
      <c r="H216">
        <v>1</v>
      </c>
      <c r="I216">
        <v>4.8</v>
      </c>
      <c r="J216">
        <v>0</v>
      </c>
      <c r="K216" t="s">
        <v>19</v>
      </c>
      <c r="L216" t="s">
        <v>20</v>
      </c>
      <c r="M216" t="s">
        <v>28</v>
      </c>
      <c r="N216" t="s">
        <v>19</v>
      </c>
      <c r="O216">
        <v>0.1</v>
      </c>
      <c r="P216" t="s">
        <v>37</v>
      </c>
    </row>
    <row r="217" spans="1:16" x14ac:dyDescent="0.3">
      <c r="A217">
        <v>215</v>
      </c>
      <c r="B217" t="s">
        <v>117</v>
      </c>
      <c r="C217" t="s">
        <v>118</v>
      </c>
      <c r="D217" t="s">
        <v>481</v>
      </c>
      <c r="E217" t="s">
        <v>482</v>
      </c>
      <c r="F217" t="s">
        <v>483</v>
      </c>
      <c r="G217" t="s">
        <v>67</v>
      </c>
      <c r="H217">
        <v>1</v>
      </c>
      <c r="I217">
        <v>4.5</v>
      </c>
      <c r="J217">
        <v>0</v>
      </c>
      <c r="K217" t="s">
        <v>29</v>
      </c>
      <c r="L217" t="s">
        <v>20</v>
      </c>
      <c r="M217" t="s">
        <v>94</v>
      </c>
      <c r="N217" t="s">
        <v>19</v>
      </c>
      <c r="O217">
        <v>2.5000000000000001E-2</v>
      </c>
      <c r="P217" t="s">
        <v>51</v>
      </c>
    </row>
    <row r="218" spans="1:16" x14ac:dyDescent="0.3">
      <c r="A218">
        <v>216</v>
      </c>
      <c r="B218" t="s">
        <v>117</v>
      </c>
      <c r="C218" t="s">
        <v>118</v>
      </c>
      <c r="D218" t="s">
        <v>484</v>
      </c>
      <c r="E218" t="s">
        <v>485</v>
      </c>
      <c r="F218" t="s">
        <v>190</v>
      </c>
      <c r="G218">
        <v>1941</v>
      </c>
      <c r="H218">
        <v>3</v>
      </c>
      <c r="I218">
        <v>4.4000000000000004</v>
      </c>
      <c r="J218">
        <v>250</v>
      </c>
      <c r="K218" t="s">
        <v>19</v>
      </c>
      <c r="L218" t="s">
        <v>20</v>
      </c>
      <c r="M218" t="s">
        <v>73</v>
      </c>
      <c r="N218" t="s">
        <v>19</v>
      </c>
      <c r="O218">
        <v>3.5000000000000003E-2</v>
      </c>
      <c r="P218" t="s">
        <v>51</v>
      </c>
    </row>
    <row r="219" spans="1:16" x14ac:dyDescent="0.3">
      <c r="A219">
        <v>217</v>
      </c>
      <c r="B219" t="s">
        <v>117</v>
      </c>
      <c r="C219" t="s">
        <v>118</v>
      </c>
      <c r="D219" t="s">
        <v>486</v>
      </c>
      <c r="E219" t="s">
        <v>487</v>
      </c>
      <c r="F219" t="s">
        <v>72</v>
      </c>
      <c r="G219">
        <v>1984</v>
      </c>
      <c r="H219">
        <v>4</v>
      </c>
      <c r="I219">
        <v>4.4000000000000004</v>
      </c>
      <c r="J219">
        <v>60</v>
      </c>
      <c r="K219" t="s">
        <v>29</v>
      </c>
      <c r="L219" t="s">
        <v>20</v>
      </c>
      <c r="M219" t="s">
        <v>73</v>
      </c>
      <c r="N219" t="s">
        <v>19</v>
      </c>
      <c r="O219">
        <v>6.5000000000000002E-2</v>
      </c>
      <c r="P219" t="s">
        <v>51</v>
      </c>
    </row>
    <row r="220" spans="1:16" x14ac:dyDescent="0.3">
      <c r="A220">
        <v>218</v>
      </c>
      <c r="B220" t="s">
        <v>117</v>
      </c>
      <c r="C220" t="s">
        <v>118</v>
      </c>
      <c r="D220" t="s">
        <v>488</v>
      </c>
      <c r="E220" t="s">
        <v>489</v>
      </c>
      <c r="F220" t="s">
        <v>79</v>
      </c>
      <c r="G220" t="s">
        <v>67</v>
      </c>
      <c r="H220">
        <v>1.5</v>
      </c>
      <c r="I220">
        <v>4.5</v>
      </c>
      <c r="J220">
        <v>0</v>
      </c>
      <c r="K220" t="s">
        <v>29</v>
      </c>
      <c r="L220" t="s">
        <v>20</v>
      </c>
      <c r="M220" t="s">
        <v>80</v>
      </c>
      <c r="N220" t="s">
        <v>19</v>
      </c>
      <c r="O220">
        <v>0.09</v>
      </c>
      <c r="P220" t="s">
        <v>37</v>
      </c>
    </row>
    <row r="221" spans="1:16" x14ac:dyDescent="0.3">
      <c r="A221">
        <v>219</v>
      </c>
      <c r="B221" t="s">
        <v>117</v>
      </c>
      <c r="C221" t="s">
        <v>118</v>
      </c>
      <c r="D221" t="s">
        <v>490</v>
      </c>
      <c r="E221" t="s">
        <v>491</v>
      </c>
      <c r="F221" t="s">
        <v>91</v>
      </c>
      <c r="G221">
        <v>1837</v>
      </c>
      <c r="H221">
        <v>1.5</v>
      </c>
      <c r="I221">
        <v>4.5</v>
      </c>
      <c r="J221">
        <v>10</v>
      </c>
      <c r="K221" t="s">
        <v>19</v>
      </c>
      <c r="L221" t="s">
        <v>57</v>
      </c>
      <c r="M221" t="s">
        <v>21</v>
      </c>
      <c r="N221" t="s">
        <v>19</v>
      </c>
      <c r="O221">
        <v>0.18</v>
      </c>
      <c r="P221" t="s">
        <v>37</v>
      </c>
    </row>
    <row r="222" spans="1:16" x14ac:dyDescent="0.3">
      <c r="A222">
        <v>220</v>
      </c>
      <c r="B222" t="s">
        <v>117</v>
      </c>
      <c r="C222" t="s">
        <v>118</v>
      </c>
      <c r="D222" t="s">
        <v>492</v>
      </c>
      <c r="E222" t="s">
        <v>493</v>
      </c>
      <c r="F222" t="s">
        <v>27</v>
      </c>
      <c r="G222" t="s">
        <v>67</v>
      </c>
      <c r="H222">
        <v>0.5</v>
      </c>
      <c r="I222">
        <v>4.7</v>
      </c>
      <c r="J222">
        <v>0</v>
      </c>
      <c r="K222" t="s">
        <v>19</v>
      </c>
      <c r="L222" t="s">
        <v>20</v>
      </c>
      <c r="M222" t="s">
        <v>28</v>
      </c>
      <c r="N222" t="s">
        <v>29</v>
      </c>
      <c r="O222">
        <v>4.4999999999999998E-2</v>
      </c>
      <c r="P222" t="s">
        <v>51</v>
      </c>
    </row>
    <row r="223" spans="1:16" x14ac:dyDescent="0.3">
      <c r="A223">
        <v>221</v>
      </c>
      <c r="B223" t="s">
        <v>117</v>
      </c>
      <c r="C223" t="s">
        <v>118</v>
      </c>
      <c r="D223" t="s">
        <v>494</v>
      </c>
      <c r="E223" t="s">
        <v>495</v>
      </c>
      <c r="F223" t="s">
        <v>27</v>
      </c>
      <c r="G223">
        <v>1814</v>
      </c>
      <c r="H223">
        <v>0.5</v>
      </c>
      <c r="I223">
        <v>4.5999999999999996</v>
      </c>
      <c r="J223">
        <v>0</v>
      </c>
      <c r="K223" t="s">
        <v>19</v>
      </c>
      <c r="L223" t="s">
        <v>20</v>
      </c>
      <c r="M223" t="s">
        <v>98</v>
      </c>
      <c r="N223" t="s">
        <v>29</v>
      </c>
      <c r="O223">
        <v>7.0000000000000007E-2</v>
      </c>
      <c r="P223" t="s">
        <v>51</v>
      </c>
    </row>
    <row r="224" spans="1:16" x14ac:dyDescent="0.3">
      <c r="A224">
        <v>222</v>
      </c>
      <c r="B224" t="s">
        <v>117</v>
      </c>
      <c r="C224" t="s">
        <v>118</v>
      </c>
      <c r="D224" t="s">
        <v>496</v>
      </c>
      <c r="E224" t="s">
        <v>497</v>
      </c>
      <c r="F224" t="s">
        <v>72</v>
      </c>
      <c r="G224">
        <v>1949</v>
      </c>
      <c r="H224">
        <v>3</v>
      </c>
      <c r="I224">
        <v>4.4000000000000004</v>
      </c>
      <c r="J224">
        <v>100</v>
      </c>
      <c r="K224" t="s">
        <v>19</v>
      </c>
      <c r="L224" t="s">
        <v>20</v>
      </c>
      <c r="M224" t="s">
        <v>73</v>
      </c>
      <c r="N224" t="s">
        <v>19</v>
      </c>
      <c r="O224">
        <v>7.0000000000000007E-2</v>
      </c>
      <c r="P224" t="s">
        <v>51</v>
      </c>
    </row>
    <row r="225" spans="1:16" x14ac:dyDescent="0.3">
      <c r="A225">
        <v>223</v>
      </c>
      <c r="B225" t="s">
        <v>117</v>
      </c>
      <c r="C225" t="s">
        <v>118</v>
      </c>
      <c r="D225" t="s">
        <v>498</v>
      </c>
      <c r="E225" t="s">
        <v>499</v>
      </c>
      <c r="F225" t="s">
        <v>91</v>
      </c>
      <c r="G225">
        <v>1887</v>
      </c>
      <c r="H225">
        <v>1</v>
      </c>
      <c r="I225">
        <v>4.5</v>
      </c>
      <c r="J225">
        <v>20</v>
      </c>
      <c r="K225" t="s">
        <v>19</v>
      </c>
      <c r="L225" t="s">
        <v>57</v>
      </c>
      <c r="M225" t="s">
        <v>21</v>
      </c>
      <c r="N225" t="s">
        <v>19</v>
      </c>
      <c r="O225">
        <v>0.09</v>
      </c>
      <c r="P225" t="s">
        <v>51</v>
      </c>
    </row>
    <row r="226" spans="1:16" x14ac:dyDescent="0.3">
      <c r="A226">
        <v>224</v>
      </c>
      <c r="B226" t="s">
        <v>117</v>
      </c>
      <c r="C226" t="s">
        <v>118</v>
      </c>
      <c r="D226" t="s">
        <v>500</v>
      </c>
      <c r="E226" t="s">
        <v>501</v>
      </c>
      <c r="F226" t="s">
        <v>457</v>
      </c>
      <c r="G226" t="s">
        <v>67</v>
      </c>
      <c r="H226">
        <v>2.5</v>
      </c>
      <c r="I226">
        <v>4.5</v>
      </c>
      <c r="J226">
        <v>0</v>
      </c>
      <c r="K226" t="s">
        <v>29</v>
      </c>
      <c r="L226" t="s">
        <v>20</v>
      </c>
      <c r="M226" t="s">
        <v>94</v>
      </c>
      <c r="N226" t="s">
        <v>19</v>
      </c>
      <c r="O226">
        <v>0.15</v>
      </c>
      <c r="P226" t="s">
        <v>51</v>
      </c>
    </row>
    <row r="227" spans="1:16" x14ac:dyDescent="0.3">
      <c r="A227">
        <v>225</v>
      </c>
      <c r="B227" t="s">
        <v>117</v>
      </c>
      <c r="C227" t="s">
        <v>502</v>
      </c>
      <c r="D227" t="s">
        <v>503</v>
      </c>
      <c r="E227" t="s">
        <v>504</v>
      </c>
      <c r="F227" t="s">
        <v>27</v>
      </c>
      <c r="G227" t="s">
        <v>505</v>
      </c>
      <c r="H227">
        <v>2</v>
      </c>
      <c r="I227">
        <v>4.7</v>
      </c>
      <c r="J227">
        <v>0</v>
      </c>
      <c r="K227" t="s">
        <v>19</v>
      </c>
      <c r="L227" t="s">
        <v>20</v>
      </c>
      <c r="M227" t="s">
        <v>28</v>
      </c>
      <c r="N227" t="s">
        <v>29</v>
      </c>
      <c r="O227">
        <v>1</v>
      </c>
      <c r="P227" t="s">
        <v>51</v>
      </c>
    </row>
    <row r="228" spans="1:16" x14ac:dyDescent="0.3">
      <c r="A228">
        <v>226</v>
      </c>
      <c r="B228" t="s">
        <v>117</v>
      </c>
      <c r="C228" t="s">
        <v>502</v>
      </c>
      <c r="D228" t="s">
        <v>506</v>
      </c>
      <c r="E228" t="s">
        <v>507</v>
      </c>
      <c r="F228" t="s">
        <v>27</v>
      </c>
      <c r="G228">
        <v>1250</v>
      </c>
      <c r="H228">
        <v>1.5</v>
      </c>
      <c r="I228">
        <v>4.7</v>
      </c>
      <c r="J228">
        <v>40</v>
      </c>
      <c r="K228" t="s">
        <v>19</v>
      </c>
      <c r="L228" t="s">
        <v>20</v>
      </c>
      <c r="M228" t="s">
        <v>21</v>
      </c>
      <c r="N228" t="s">
        <v>19</v>
      </c>
      <c r="O228">
        <v>0.83</v>
      </c>
      <c r="P228" t="s">
        <v>51</v>
      </c>
    </row>
    <row r="229" spans="1:16" x14ac:dyDescent="0.3">
      <c r="A229">
        <v>227</v>
      </c>
      <c r="B229" t="s">
        <v>117</v>
      </c>
      <c r="C229" t="s">
        <v>502</v>
      </c>
      <c r="D229" t="s">
        <v>508</v>
      </c>
      <c r="E229" t="s">
        <v>509</v>
      </c>
      <c r="F229" t="s">
        <v>27</v>
      </c>
      <c r="G229" t="s">
        <v>510</v>
      </c>
      <c r="H229">
        <v>1</v>
      </c>
      <c r="I229">
        <v>4.5999999999999996</v>
      </c>
      <c r="J229">
        <v>0</v>
      </c>
      <c r="K229" t="s">
        <v>19</v>
      </c>
      <c r="L229" t="s">
        <v>20</v>
      </c>
      <c r="M229" t="s">
        <v>28</v>
      </c>
      <c r="N229" t="s">
        <v>29</v>
      </c>
      <c r="O229">
        <v>0.35</v>
      </c>
      <c r="P229" t="s">
        <v>51</v>
      </c>
    </row>
    <row r="230" spans="1:16" x14ac:dyDescent="0.3">
      <c r="A230">
        <v>228</v>
      </c>
      <c r="B230" t="s">
        <v>117</v>
      </c>
      <c r="C230" t="s">
        <v>502</v>
      </c>
      <c r="D230" t="s">
        <v>511</v>
      </c>
      <c r="E230" t="s">
        <v>512</v>
      </c>
      <c r="F230" t="s">
        <v>142</v>
      </c>
      <c r="G230" t="s">
        <v>67</v>
      </c>
      <c r="H230">
        <v>1.5</v>
      </c>
      <c r="I230">
        <v>4.5</v>
      </c>
      <c r="J230">
        <v>0</v>
      </c>
      <c r="K230" t="s">
        <v>29</v>
      </c>
      <c r="L230" t="s">
        <v>20</v>
      </c>
      <c r="M230" t="s">
        <v>94</v>
      </c>
      <c r="N230" t="s">
        <v>19</v>
      </c>
      <c r="O230">
        <v>1.2</v>
      </c>
      <c r="P230" t="s">
        <v>51</v>
      </c>
    </row>
    <row r="231" spans="1:16" x14ac:dyDescent="0.3">
      <c r="A231">
        <v>229</v>
      </c>
      <c r="B231" t="s">
        <v>117</v>
      </c>
      <c r="C231" t="s">
        <v>502</v>
      </c>
      <c r="D231" t="s">
        <v>513</v>
      </c>
      <c r="E231" t="s">
        <v>514</v>
      </c>
      <c r="F231" t="s">
        <v>43</v>
      </c>
      <c r="G231">
        <v>-987</v>
      </c>
      <c r="H231">
        <v>1</v>
      </c>
      <c r="I231">
        <v>4.5</v>
      </c>
      <c r="J231">
        <v>0</v>
      </c>
      <c r="K231" t="s">
        <v>19</v>
      </c>
      <c r="L231" t="s">
        <v>20</v>
      </c>
      <c r="M231" t="s">
        <v>21</v>
      </c>
      <c r="N231" t="s">
        <v>19</v>
      </c>
      <c r="O231">
        <v>0.13</v>
      </c>
      <c r="P231" t="s">
        <v>51</v>
      </c>
    </row>
    <row r="232" spans="1:16" x14ac:dyDescent="0.3">
      <c r="A232">
        <v>230</v>
      </c>
      <c r="B232" t="s">
        <v>117</v>
      </c>
      <c r="C232" t="s">
        <v>502</v>
      </c>
      <c r="D232" t="s">
        <v>515</v>
      </c>
      <c r="E232" t="s">
        <v>516</v>
      </c>
      <c r="F232" t="s">
        <v>517</v>
      </c>
      <c r="G232">
        <v>1957</v>
      </c>
      <c r="H232">
        <v>1</v>
      </c>
      <c r="I232">
        <v>4.5</v>
      </c>
      <c r="J232">
        <v>0</v>
      </c>
      <c r="K232" t="s">
        <v>29</v>
      </c>
      <c r="L232" t="s">
        <v>20</v>
      </c>
      <c r="M232" t="s">
        <v>518</v>
      </c>
      <c r="N232" t="s">
        <v>19</v>
      </c>
      <c r="O232">
        <v>0.01</v>
      </c>
      <c r="P232" t="s">
        <v>51</v>
      </c>
    </row>
    <row r="233" spans="1:16" x14ac:dyDescent="0.3">
      <c r="A233">
        <v>231</v>
      </c>
      <c r="B233" t="s">
        <v>117</v>
      </c>
      <c r="C233" t="s">
        <v>502</v>
      </c>
      <c r="D233" t="s">
        <v>519</v>
      </c>
      <c r="E233" t="s">
        <v>520</v>
      </c>
      <c r="F233" t="s">
        <v>106</v>
      </c>
      <c r="G233" t="s">
        <v>67</v>
      </c>
      <c r="H233">
        <v>2</v>
      </c>
      <c r="I233">
        <v>3.9</v>
      </c>
      <c r="J233">
        <v>0</v>
      </c>
      <c r="K233" t="s">
        <v>19</v>
      </c>
      <c r="L233" t="s">
        <v>20</v>
      </c>
      <c r="M233" t="s">
        <v>94</v>
      </c>
      <c r="N233" t="s">
        <v>19</v>
      </c>
      <c r="O233">
        <v>0.1</v>
      </c>
      <c r="P233" t="s">
        <v>37</v>
      </c>
    </row>
    <row r="234" spans="1:16" x14ac:dyDescent="0.3">
      <c r="A234">
        <v>232</v>
      </c>
      <c r="B234" t="s">
        <v>117</v>
      </c>
      <c r="C234" t="s">
        <v>502</v>
      </c>
      <c r="D234" t="s">
        <v>521</v>
      </c>
      <c r="E234" t="s">
        <v>522</v>
      </c>
      <c r="F234" t="s">
        <v>27</v>
      </c>
      <c r="G234" t="s">
        <v>523</v>
      </c>
      <c r="H234">
        <v>1</v>
      </c>
      <c r="I234">
        <v>4.5999999999999996</v>
      </c>
      <c r="J234">
        <v>0</v>
      </c>
      <c r="K234" t="s">
        <v>19</v>
      </c>
      <c r="L234" t="s">
        <v>20</v>
      </c>
      <c r="M234" t="s">
        <v>28</v>
      </c>
      <c r="N234" t="s">
        <v>29</v>
      </c>
      <c r="O234">
        <v>0.01</v>
      </c>
      <c r="P234" t="s">
        <v>51</v>
      </c>
    </row>
    <row r="235" spans="1:16" x14ac:dyDescent="0.3">
      <c r="A235">
        <v>233</v>
      </c>
      <c r="B235" t="s">
        <v>117</v>
      </c>
      <c r="C235" t="s">
        <v>502</v>
      </c>
      <c r="D235" t="s">
        <v>524</v>
      </c>
      <c r="E235" t="s">
        <v>525</v>
      </c>
      <c r="F235" t="s">
        <v>142</v>
      </c>
      <c r="G235" t="s">
        <v>67</v>
      </c>
      <c r="H235">
        <v>1</v>
      </c>
      <c r="I235">
        <v>4.3</v>
      </c>
      <c r="J235">
        <v>0</v>
      </c>
      <c r="K235" t="s">
        <v>29</v>
      </c>
      <c r="L235" t="s">
        <v>20</v>
      </c>
      <c r="M235" t="s">
        <v>94</v>
      </c>
      <c r="N235" t="s">
        <v>19</v>
      </c>
      <c r="O235">
        <v>1.7999999999999999E-2</v>
      </c>
      <c r="P235" t="s">
        <v>37</v>
      </c>
    </row>
    <row r="236" spans="1:16" x14ac:dyDescent="0.3">
      <c r="A236">
        <v>234</v>
      </c>
      <c r="B236" t="s">
        <v>117</v>
      </c>
      <c r="C236" t="s">
        <v>502</v>
      </c>
      <c r="D236" t="s">
        <v>526</v>
      </c>
      <c r="E236" t="s">
        <v>527</v>
      </c>
      <c r="F236" t="s">
        <v>79</v>
      </c>
      <c r="G236" t="s">
        <v>67</v>
      </c>
      <c r="H236">
        <v>1.5</v>
      </c>
      <c r="I236">
        <v>4.2</v>
      </c>
      <c r="J236">
        <v>0</v>
      </c>
      <c r="K236" t="s">
        <v>19</v>
      </c>
      <c r="L236" t="s">
        <v>20</v>
      </c>
      <c r="M236" t="s">
        <v>80</v>
      </c>
      <c r="N236" t="s">
        <v>19</v>
      </c>
      <c r="O236">
        <v>1.4E-2</v>
      </c>
      <c r="P236" t="s">
        <v>37</v>
      </c>
    </row>
    <row r="237" spans="1:16" x14ac:dyDescent="0.3">
      <c r="A237">
        <v>235</v>
      </c>
      <c r="B237" t="s">
        <v>117</v>
      </c>
      <c r="C237" t="s">
        <v>502</v>
      </c>
      <c r="D237" t="s">
        <v>528</v>
      </c>
      <c r="E237" t="s">
        <v>529</v>
      </c>
      <c r="F237" t="s">
        <v>142</v>
      </c>
      <c r="G237" t="s">
        <v>67</v>
      </c>
      <c r="H237">
        <v>1</v>
      </c>
      <c r="I237">
        <v>4.4000000000000004</v>
      </c>
      <c r="J237">
        <v>0</v>
      </c>
      <c r="K237" t="s">
        <v>29</v>
      </c>
      <c r="L237" t="s">
        <v>20</v>
      </c>
      <c r="M237" t="s">
        <v>94</v>
      </c>
      <c r="N237" t="s">
        <v>19</v>
      </c>
      <c r="O237">
        <v>5.5E-2</v>
      </c>
      <c r="P237" t="s">
        <v>51</v>
      </c>
    </row>
    <row r="238" spans="1:16" x14ac:dyDescent="0.3">
      <c r="A238">
        <v>236</v>
      </c>
      <c r="B238" t="s">
        <v>87</v>
      </c>
      <c r="C238" t="s">
        <v>530</v>
      </c>
      <c r="D238" t="s">
        <v>531</v>
      </c>
      <c r="E238" t="s">
        <v>532</v>
      </c>
      <c r="F238" t="s">
        <v>79</v>
      </c>
      <c r="G238" t="s">
        <v>67</v>
      </c>
      <c r="H238">
        <v>1.5</v>
      </c>
      <c r="I238">
        <v>3.9</v>
      </c>
      <c r="J238">
        <v>0</v>
      </c>
      <c r="K238" t="s">
        <v>19</v>
      </c>
      <c r="L238" t="s">
        <v>20</v>
      </c>
      <c r="M238" t="s">
        <v>80</v>
      </c>
      <c r="N238" t="s">
        <v>19</v>
      </c>
      <c r="O238">
        <v>0.1</v>
      </c>
      <c r="P238" t="s">
        <v>37</v>
      </c>
    </row>
    <row r="239" spans="1:16" x14ac:dyDescent="0.3">
      <c r="A239">
        <v>237</v>
      </c>
      <c r="B239" t="s">
        <v>87</v>
      </c>
      <c r="C239" t="s">
        <v>530</v>
      </c>
      <c r="D239" t="s">
        <v>533</v>
      </c>
      <c r="E239" t="s">
        <v>534</v>
      </c>
      <c r="F239" t="s">
        <v>27</v>
      </c>
      <c r="G239" t="s">
        <v>535</v>
      </c>
      <c r="H239">
        <v>2</v>
      </c>
      <c r="I239">
        <v>4.7</v>
      </c>
      <c r="J239">
        <v>0</v>
      </c>
      <c r="K239" t="s">
        <v>19</v>
      </c>
      <c r="L239" t="s">
        <v>20</v>
      </c>
      <c r="M239" t="s">
        <v>28</v>
      </c>
      <c r="N239" t="s">
        <v>29</v>
      </c>
      <c r="O239">
        <v>0.65</v>
      </c>
      <c r="P239" t="s">
        <v>51</v>
      </c>
    </row>
    <row r="240" spans="1:16" x14ac:dyDescent="0.3">
      <c r="A240">
        <v>238</v>
      </c>
      <c r="B240" t="s">
        <v>87</v>
      </c>
      <c r="C240" t="s">
        <v>530</v>
      </c>
      <c r="D240" t="s">
        <v>536</v>
      </c>
      <c r="E240" t="s">
        <v>537</v>
      </c>
      <c r="F240" t="s">
        <v>27</v>
      </c>
      <c r="G240" t="s">
        <v>505</v>
      </c>
      <c r="H240">
        <v>1.5</v>
      </c>
      <c r="I240">
        <v>4.5999999999999996</v>
      </c>
      <c r="J240">
        <v>0</v>
      </c>
      <c r="K240" t="s">
        <v>29</v>
      </c>
      <c r="L240" t="s">
        <v>20</v>
      </c>
      <c r="M240" t="s">
        <v>28</v>
      </c>
      <c r="N240" t="s">
        <v>29</v>
      </c>
      <c r="O240">
        <v>0.01</v>
      </c>
      <c r="P240" t="s">
        <v>51</v>
      </c>
    </row>
    <row r="241" spans="1:16" x14ac:dyDescent="0.3">
      <c r="A241">
        <v>239</v>
      </c>
      <c r="B241" t="s">
        <v>87</v>
      </c>
      <c r="C241" t="s">
        <v>530</v>
      </c>
      <c r="D241" t="s">
        <v>538</v>
      </c>
      <c r="E241" t="s">
        <v>539</v>
      </c>
      <c r="F241" t="s">
        <v>213</v>
      </c>
      <c r="G241">
        <v>1970</v>
      </c>
      <c r="H241">
        <v>1</v>
      </c>
      <c r="I241">
        <v>4.5999999999999996</v>
      </c>
      <c r="J241">
        <v>20</v>
      </c>
      <c r="K241" t="s">
        <v>19</v>
      </c>
      <c r="L241" t="s">
        <v>20</v>
      </c>
      <c r="M241" t="s">
        <v>21</v>
      </c>
      <c r="N241" t="s">
        <v>29</v>
      </c>
      <c r="O241">
        <v>0.47</v>
      </c>
      <c r="P241" t="s">
        <v>37</v>
      </c>
    </row>
    <row r="242" spans="1:16" x14ac:dyDescent="0.3">
      <c r="A242">
        <v>240</v>
      </c>
      <c r="B242" t="s">
        <v>87</v>
      </c>
      <c r="C242" t="s">
        <v>530</v>
      </c>
      <c r="D242" t="s">
        <v>540</v>
      </c>
      <c r="E242" t="s">
        <v>541</v>
      </c>
      <c r="F242" t="s">
        <v>106</v>
      </c>
      <c r="G242">
        <v>1824</v>
      </c>
      <c r="H242">
        <v>1</v>
      </c>
      <c r="I242">
        <v>4.0999999999999996</v>
      </c>
      <c r="J242">
        <v>10</v>
      </c>
      <c r="K242" t="s">
        <v>19</v>
      </c>
      <c r="L242" t="s">
        <v>20</v>
      </c>
      <c r="M242" t="s">
        <v>80</v>
      </c>
      <c r="N242" t="s">
        <v>19</v>
      </c>
      <c r="O242">
        <v>0.61</v>
      </c>
      <c r="P242" t="s">
        <v>37</v>
      </c>
    </row>
    <row r="243" spans="1:16" x14ac:dyDescent="0.3">
      <c r="A243">
        <v>241</v>
      </c>
      <c r="B243" t="s">
        <v>87</v>
      </c>
      <c r="C243" t="s">
        <v>530</v>
      </c>
      <c r="D243" t="s">
        <v>542</v>
      </c>
      <c r="E243" t="s">
        <v>543</v>
      </c>
      <c r="F243" t="s">
        <v>27</v>
      </c>
      <c r="G243" t="s">
        <v>505</v>
      </c>
      <c r="H243">
        <v>1</v>
      </c>
      <c r="I243">
        <v>4.7</v>
      </c>
      <c r="J243">
        <v>0</v>
      </c>
      <c r="K243" t="s">
        <v>19</v>
      </c>
      <c r="L243" t="s">
        <v>20</v>
      </c>
      <c r="M243" t="s">
        <v>28</v>
      </c>
      <c r="N243" t="s">
        <v>29</v>
      </c>
      <c r="O243">
        <v>0.3</v>
      </c>
      <c r="P243" t="s">
        <v>51</v>
      </c>
    </row>
    <row r="244" spans="1:16" x14ac:dyDescent="0.3">
      <c r="A244">
        <v>242</v>
      </c>
      <c r="B244" t="s">
        <v>87</v>
      </c>
      <c r="C244" t="s">
        <v>530</v>
      </c>
      <c r="D244" t="s">
        <v>544</v>
      </c>
      <c r="E244" t="s">
        <v>545</v>
      </c>
      <c r="F244" t="s">
        <v>106</v>
      </c>
      <c r="G244">
        <v>1863</v>
      </c>
      <c r="H244">
        <v>2</v>
      </c>
      <c r="I244">
        <v>3.9</v>
      </c>
      <c r="J244">
        <v>0</v>
      </c>
      <c r="K244" t="s">
        <v>29</v>
      </c>
      <c r="L244" t="s">
        <v>20</v>
      </c>
      <c r="M244" t="s">
        <v>80</v>
      </c>
      <c r="N244" t="s">
        <v>19</v>
      </c>
      <c r="O244">
        <v>0.1</v>
      </c>
      <c r="P244" t="s">
        <v>37</v>
      </c>
    </row>
    <row r="245" spans="1:16" x14ac:dyDescent="0.3">
      <c r="A245">
        <v>243</v>
      </c>
      <c r="B245" t="s">
        <v>87</v>
      </c>
      <c r="C245" t="s">
        <v>530</v>
      </c>
      <c r="D245" t="s">
        <v>546</v>
      </c>
      <c r="E245" t="s">
        <v>547</v>
      </c>
      <c r="F245" t="s">
        <v>27</v>
      </c>
      <c r="G245">
        <v>110</v>
      </c>
      <c r="H245">
        <v>1.5</v>
      </c>
      <c r="I245">
        <v>4.8</v>
      </c>
      <c r="J245">
        <v>0</v>
      </c>
      <c r="K245" t="s">
        <v>19</v>
      </c>
      <c r="L245" t="s">
        <v>20</v>
      </c>
      <c r="M245" t="s">
        <v>28</v>
      </c>
      <c r="N245" t="s">
        <v>29</v>
      </c>
      <c r="O245">
        <v>0.35</v>
      </c>
      <c r="P245" t="s">
        <v>51</v>
      </c>
    </row>
    <row r="246" spans="1:16" x14ac:dyDescent="0.3">
      <c r="A246">
        <v>244</v>
      </c>
      <c r="B246" t="s">
        <v>87</v>
      </c>
      <c r="C246" t="s">
        <v>530</v>
      </c>
      <c r="D246" t="s">
        <v>548</v>
      </c>
      <c r="E246" t="s">
        <v>549</v>
      </c>
      <c r="F246" t="s">
        <v>27</v>
      </c>
      <c r="G246" t="s">
        <v>550</v>
      </c>
      <c r="H246">
        <v>1</v>
      </c>
      <c r="I246">
        <v>4.5999999999999996</v>
      </c>
      <c r="J246">
        <v>40</v>
      </c>
      <c r="K246" t="s">
        <v>19</v>
      </c>
      <c r="L246" t="s">
        <v>20</v>
      </c>
      <c r="M246" t="s">
        <v>21</v>
      </c>
      <c r="N246" t="s">
        <v>29</v>
      </c>
      <c r="O246">
        <v>0.09</v>
      </c>
      <c r="P246" t="s">
        <v>51</v>
      </c>
    </row>
    <row r="247" spans="1:16" x14ac:dyDescent="0.3">
      <c r="A247">
        <v>245</v>
      </c>
      <c r="B247" t="s">
        <v>87</v>
      </c>
      <c r="C247" t="s">
        <v>530</v>
      </c>
      <c r="D247" t="s">
        <v>551</v>
      </c>
      <c r="E247" t="s">
        <v>552</v>
      </c>
      <c r="F247" t="s">
        <v>106</v>
      </c>
      <c r="G247" t="s">
        <v>67</v>
      </c>
      <c r="H247">
        <v>1</v>
      </c>
      <c r="I247">
        <v>4.2</v>
      </c>
      <c r="J247">
        <v>0</v>
      </c>
      <c r="K247" t="s">
        <v>29</v>
      </c>
      <c r="L247" t="s">
        <v>20</v>
      </c>
      <c r="M247" t="s">
        <v>80</v>
      </c>
      <c r="N247" t="s">
        <v>19</v>
      </c>
      <c r="O247">
        <v>1.9E-2</v>
      </c>
      <c r="P247" t="s">
        <v>37</v>
      </c>
    </row>
    <row r="248" spans="1:16" x14ac:dyDescent="0.3">
      <c r="A248">
        <v>246</v>
      </c>
      <c r="B248" t="s">
        <v>87</v>
      </c>
      <c r="C248" t="s">
        <v>530</v>
      </c>
      <c r="D248" t="s">
        <v>553</v>
      </c>
      <c r="E248" t="s">
        <v>554</v>
      </c>
      <c r="F248" t="s">
        <v>27</v>
      </c>
      <c r="G248" t="s">
        <v>550</v>
      </c>
      <c r="H248">
        <v>1</v>
      </c>
      <c r="I248">
        <v>4.5999999999999996</v>
      </c>
      <c r="J248">
        <v>0</v>
      </c>
      <c r="K248" t="s">
        <v>19</v>
      </c>
      <c r="L248" t="s">
        <v>20</v>
      </c>
      <c r="M248" t="s">
        <v>28</v>
      </c>
      <c r="N248" t="s">
        <v>29</v>
      </c>
      <c r="O248">
        <v>0.16</v>
      </c>
      <c r="P248" t="s">
        <v>51</v>
      </c>
    </row>
    <row r="249" spans="1:16" x14ac:dyDescent="0.3">
      <c r="A249">
        <v>247</v>
      </c>
      <c r="B249" t="s">
        <v>87</v>
      </c>
      <c r="C249" t="s">
        <v>530</v>
      </c>
      <c r="D249" t="s">
        <v>555</v>
      </c>
      <c r="E249" t="s">
        <v>556</v>
      </c>
      <c r="F249" t="s">
        <v>27</v>
      </c>
      <c r="G249" t="s">
        <v>557</v>
      </c>
      <c r="H249">
        <v>1</v>
      </c>
      <c r="I249">
        <v>4.7</v>
      </c>
      <c r="J249">
        <v>0</v>
      </c>
      <c r="K249" t="s">
        <v>19</v>
      </c>
      <c r="L249" t="s">
        <v>20</v>
      </c>
      <c r="M249" t="s">
        <v>28</v>
      </c>
      <c r="N249" t="s">
        <v>29</v>
      </c>
      <c r="O249">
        <v>0.28000000000000003</v>
      </c>
      <c r="P249" t="s">
        <v>51</v>
      </c>
    </row>
    <row r="250" spans="1:16" x14ac:dyDescent="0.3">
      <c r="A250">
        <v>248</v>
      </c>
      <c r="B250" t="s">
        <v>87</v>
      </c>
      <c r="C250" t="s">
        <v>558</v>
      </c>
      <c r="D250" t="s">
        <v>559</v>
      </c>
      <c r="E250" t="s">
        <v>560</v>
      </c>
      <c r="F250" t="s">
        <v>27</v>
      </c>
      <c r="G250" t="s">
        <v>67</v>
      </c>
      <c r="H250">
        <v>1</v>
      </c>
      <c r="I250">
        <v>4.7</v>
      </c>
      <c r="J250">
        <v>0</v>
      </c>
      <c r="K250" t="s">
        <v>19</v>
      </c>
      <c r="L250" t="s">
        <v>20</v>
      </c>
      <c r="M250" t="s">
        <v>28</v>
      </c>
      <c r="N250" t="s">
        <v>29</v>
      </c>
      <c r="O250">
        <v>0.44</v>
      </c>
      <c r="P250" t="s">
        <v>51</v>
      </c>
    </row>
    <row r="251" spans="1:16" x14ac:dyDescent="0.3">
      <c r="A251">
        <v>249</v>
      </c>
      <c r="B251" t="s">
        <v>87</v>
      </c>
      <c r="C251" t="s">
        <v>558</v>
      </c>
      <c r="D251" t="s">
        <v>561</v>
      </c>
      <c r="E251" t="s">
        <v>562</v>
      </c>
      <c r="F251" t="s">
        <v>79</v>
      </c>
      <c r="G251" t="s">
        <v>67</v>
      </c>
      <c r="H251">
        <v>1.5</v>
      </c>
      <c r="I251">
        <v>4.5</v>
      </c>
      <c r="J251">
        <v>0</v>
      </c>
      <c r="K251" t="s">
        <v>19</v>
      </c>
      <c r="L251" t="s">
        <v>20</v>
      </c>
      <c r="M251" t="s">
        <v>80</v>
      </c>
      <c r="N251" t="s">
        <v>19</v>
      </c>
      <c r="O251">
        <v>0.39</v>
      </c>
      <c r="P251" t="s">
        <v>37</v>
      </c>
    </row>
    <row r="252" spans="1:16" x14ac:dyDescent="0.3">
      <c r="A252">
        <v>250</v>
      </c>
      <c r="B252" t="s">
        <v>87</v>
      </c>
      <c r="C252" t="s">
        <v>558</v>
      </c>
      <c r="D252" t="s">
        <v>563</v>
      </c>
      <c r="E252" t="s">
        <v>564</v>
      </c>
      <c r="F252" t="s">
        <v>27</v>
      </c>
      <c r="G252" t="s">
        <v>565</v>
      </c>
      <c r="H252">
        <v>1</v>
      </c>
      <c r="I252">
        <v>4.7</v>
      </c>
      <c r="J252">
        <v>0</v>
      </c>
      <c r="K252" t="s">
        <v>29</v>
      </c>
      <c r="L252" t="s">
        <v>20</v>
      </c>
      <c r="M252" t="s">
        <v>28</v>
      </c>
      <c r="N252" t="s">
        <v>29</v>
      </c>
      <c r="O252">
        <v>0.49</v>
      </c>
      <c r="P252" t="s">
        <v>51</v>
      </c>
    </row>
    <row r="253" spans="1:16" x14ac:dyDescent="0.3">
      <c r="A253">
        <v>251</v>
      </c>
      <c r="B253" t="s">
        <v>87</v>
      </c>
      <c r="C253" t="s">
        <v>558</v>
      </c>
      <c r="D253" t="s">
        <v>566</v>
      </c>
      <c r="E253" t="s">
        <v>567</v>
      </c>
      <c r="F253" t="s">
        <v>457</v>
      </c>
      <c r="G253" t="s">
        <v>67</v>
      </c>
      <c r="H253">
        <v>2</v>
      </c>
      <c r="I253">
        <v>4.3</v>
      </c>
      <c r="J253">
        <v>0</v>
      </c>
      <c r="K253" t="s">
        <v>19</v>
      </c>
      <c r="L253" t="s">
        <v>20</v>
      </c>
      <c r="M253" t="s">
        <v>94</v>
      </c>
      <c r="N253" t="s">
        <v>19</v>
      </c>
      <c r="O253">
        <v>3.2000000000000001E-2</v>
      </c>
      <c r="P253" t="s">
        <v>51</v>
      </c>
    </row>
    <row r="254" spans="1:16" x14ac:dyDescent="0.3">
      <c r="A254">
        <v>252</v>
      </c>
      <c r="B254" t="s">
        <v>87</v>
      </c>
      <c r="C254" t="s">
        <v>558</v>
      </c>
      <c r="D254" t="s">
        <v>568</v>
      </c>
      <c r="E254" t="s">
        <v>569</v>
      </c>
      <c r="F254" t="s">
        <v>134</v>
      </c>
      <c r="G254" t="s">
        <v>570</v>
      </c>
      <c r="H254">
        <v>1.5</v>
      </c>
      <c r="I254">
        <v>4.5999999999999996</v>
      </c>
      <c r="J254">
        <v>0</v>
      </c>
      <c r="K254" t="s">
        <v>29</v>
      </c>
      <c r="L254" t="s">
        <v>20</v>
      </c>
      <c r="M254" t="s">
        <v>21</v>
      </c>
      <c r="N254" t="s">
        <v>19</v>
      </c>
      <c r="O254">
        <v>7.4999999999999997E-2</v>
      </c>
      <c r="P254" t="s">
        <v>51</v>
      </c>
    </row>
    <row r="255" spans="1:16" x14ac:dyDescent="0.3">
      <c r="A255">
        <v>253</v>
      </c>
      <c r="B255" t="s">
        <v>87</v>
      </c>
      <c r="C255" t="s">
        <v>558</v>
      </c>
      <c r="D255" t="s">
        <v>571</v>
      </c>
      <c r="E255" t="s">
        <v>572</v>
      </c>
      <c r="F255" t="s">
        <v>263</v>
      </c>
      <c r="G255" t="s">
        <v>67</v>
      </c>
      <c r="H255">
        <v>1.5</v>
      </c>
      <c r="I255">
        <v>4.4000000000000004</v>
      </c>
      <c r="J255">
        <v>65</v>
      </c>
      <c r="K255" t="s">
        <v>19</v>
      </c>
      <c r="L255" t="s">
        <v>20</v>
      </c>
      <c r="M255" t="s">
        <v>573</v>
      </c>
      <c r="N255" t="s">
        <v>19</v>
      </c>
      <c r="O255">
        <v>0.11</v>
      </c>
      <c r="P255" t="s">
        <v>25</v>
      </c>
    </row>
    <row r="256" spans="1:16" x14ac:dyDescent="0.3">
      <c r="A256">
        <v>254</v>
      </c>
      <c r="B256" t="s">
        <v>87</v>
      </c>
      <c r="C256" t="s">
        <v>558</v>
      </c>
      <c r="D256" t="s">
        <v>574</v>
      </c>
      <c r="E256" t="s">
        <v>575</v>
      </c>
      <c r="F256" t="s">
        <v>27</v>
      </c>
      <c r="G256" t="s">
        <v>67</v>
      </c>
      <c r="H256">
        <v>1</v>
      </c>
      <c r="I256">
        <v>4.7</v>
      </c>
      <c r="J256">
        <v>0</v>
      </c>
      <c r="K256" t="s">
        <v>19</v>
      </c>
      <c r="L256" t="s">
        <v>20</v>
      </c>
      <c r="M256" t="s">
        <v>28</v>
      </c>
      <c r="N256" t="s">
        <v>29</v>
      </c>
      <c r="O256">
        <v>4.1000000000000002E-2</v>
      </c>
      <c r="P256" t="s">
        <v>51</v>
      </c>
    </row>
    <row r="257" spans="1:16" x14ac:dyDescent="0.3">
      <c r="A257">
        <v>255</v>
      </c>
      <c r="B257" t="s">
        <v>87</v>
      </c>
      <c r="C257" t="s">
        <v>558</v>
      </c>
      <c r="D257" t="s">
        <v>576</v>
      </c>
      <c r="E257" t="s">
        <v>577</v>
      </c>
      <c r="F257" t="s">
        <v>153</v>
      </c>
      <c r="G257" t="s">
        <v>67</v>
      </c>
      <c r="H257">
        <v>1</v>
      </c>
      <c r="I257">
        <v>4.4000000000000004</v>
      </c>
      <c r="J257">
        <v>10</v>
      </c>
      <c r="K257" t="s">
        <v>19</v>
      </c>
      <c r="L257" t="s">
        <v>20</v>
      </c>
      <c r="M257" t="s">
        <v>73</v>
      </c>
      <c r="N257" t="s">
        <v>19</v>
      </c>
      <c r="O257">
        <v>0.7</v>
      </c>
      <c r="P257" t="s">
        <v>51</v>
      </c>
    </row>
    <row r="258" spans="1:16" x14ac:dyDescent="0.3">
      <c r="A258">
        <v>256</v>
      </c>
      <c r="B258" t="s">
        <v>87</v>
      </c>
      <c r="C258" t="s">
        <v>558</v>
      </c>
      <c r="D258" t="s">
        <v>578</v>
      </c>
      <c r="E258" t="s">
        <v>579</v>
      </c>
      <c r="F258" t="s">
        <v>43</v>
      </c>
      <c r="G258" t="s">
        <v>505</v>
      </c>
      <c r="H258">
        <v>1.5</v>
      </c>
      <c r="I258">
        <v>4.5</v>
      </c>
      <c r="J258">
        <v>0</v>
      </c>
      <c r="K258" t="s">
        <v>29</v>
      </c>
      <c r="L258" t="s">
        <v>20</v>
      </c>
      <c r="M258" t="s">
        <v>21</v>
      </c>
      <c r="N258" t="s">
        <v>19</v>
      </c>
      <c r="O258">
        <v>1.4999999999999999E-2</v>
      </c>
      <c r="P258" t="s">
        <v>37</v>
      </c>
    </row>
    <row r="259" spans="1:16" x14ac:dyDescent="0.3">
      <c r="A259">
        <v>257</v>
      </c>
      <c r="B259" t="s">
        <v>87</v>
      </c>
      <c r="C259" t="s">
        <v>558</v>
      </c>
      <c r="D259" t="s">
        <v>580</v>
      </c>
      <c r="E259" t="s">
        <v>581</v>
      </c>
      <c r="F259" t="s">
        <v>582</v>
      </c>
      <c r="G259">
        <v>1950</v>
      </c>
      <c r="H259">
        <v>1</v>
      </c>
      <c r="I259">
        <v>4.7</v>
      </c>
      <c r="J259">
        <v>0</v>
      </c>
      <c r="K259" t="s">
        <v>19</v>
      </c>
      <c r="L259" t="s">
        <v>20</v>
      </c>
      <c r="M259" t="s">
        <v>28</v>
      </c>
      <c r="N259" t="s">
        <v>19</v>
      </c>
      <c r="O259">
        <v>0.12</v>
      </c>
      <c r="P259" t="s">
        <v>51</v>
      </c>
    </row>
    <row r="260" spans="1:16" x14ac:dyDescent="0.3">
      <c r="A260">
        <v>258</v>
      </c>
      <c r="B260" t="s">
        <v>87</v>
      </c>
      <c r="C260" t="s">
        <v>558</v>
      </c>
      <c r="D260" t="s">
        <v>583</v>
      </c>
      <c r="E260" t="s">
        <v>584</v>
      </c>
      <c r="F260" t="s">
        <v>27</v>
      </c>
      <c r="G260">
        <v>198</v>
      </c>
      <c r="H260">
        <v>1</v>
      </c>
      <c r="I260">
        <v>4.7</v>
      </c>
      <c r="J260">
        <v>0</v>
      </c>
      <c r="K260" t="s">
        <v>19</v>
      </c>
      <c r="L260" t="s">
        <v>20</v>
      </c>
      <c r="M260" t="s">
        <v>28</v>
      </c>
      <c r="N260" t="s">
        <v>29</v>
      </c>
      <c r="O260">
        <v>0.59</v>
      </c>
      <c r="P260" t="s">
        <v>51</v>
      </c>
    </row>
    <row r="261" spans="1:16" x14ac:dyDescent="0.3">
      <c r="A261">
        <v>259</v>
      </c>
      <c r="B261" t="s">
        <v>87</v>
      </c>
      <c r="C261" t="s">
        <v>558</v>
      </c>
      <c r="D261" t="s">
        <v>561</v>
      </c>
      <c r="E261" t="s">
        <v>585</v>
      </c>
      <c r="F261" t="s">
        <v>457</v>
      </c>
      <c r="G261" t="s">
        <v>67</v>
      </c>
      <c r="H261">
        <v>2</v>
      </c>
      <c r="I261">
        <v>4.5</v>
      </c>
      <c r="J261">
        <v>0</v>
      </c>
      <c r="K261" t="s">
        <v>19</v>
      </c>
      <c r="L261" t="s">
        <v>20</v>
      </c>
      <c r="M261" t="s">
        <v>80</v>
      </c>
      <c r="N261" t="s">
        <v>19</v>
      </c>
      <c r="O261">
        <v>1.9E-2</v>
      </c>
      <c r="P261" t="s">
        <v>51</v>
      </c>
    </row>
    <row r="262" spans="1:16" x14ac:dyDescent="0.3">
      <c r="A262">
        <v>260</v>
      </c>
      <c r="B262" t="s">
        <v>87</v>
      </c>
      <c r="C262" t="s">
        <v>558</v>
      </c>
      <c r="D262" t="s">
        <v>561</v>
      </c>
      <c r="E262" t="s">
        <v>586</v>
      </c>
      <c r="F262" t="s">
        <v>53</v>
      </c>
      <c r="G262">
        <v>22</v>
      </c>
      <c r="H262">
        <v>1</v>
      </c>
      <c r="I262">
        <v>4.5999999999999996</v>
      </c>
      <c r="J262">
        <v>40</v>
      </c>
      <c r="K262" t="s">
        <v>19</v>
      </c>
      <c r="L262" t="s">
        <v>20</v>
      </c>
      <c r="M262" t="s">
        <v>21</v>
      </c>
      <c r="N262" t="s">
        <v>19</v>
      </c>
      <c r="O262">
        <v>0.49</v>
      </c>
      <c r="P262" t="s">
        <v>51</v>
      </c>
    </row>
    <row r="263" spans="1:16" x14ac:dyDescent="0.3">
      <c r="A263">
        <v>261</v>
      </c>
      <c r="B263" t="s">
        <v>87</v>
      </c>
      <c r="C263" t="s">
        <v>558</v>
      </c>
      <c r="D263" t="s">
        <v>561</v>
      </c>
      <c r="E263" t="s">
        <v>587</v>
      </c>
      <c r="F263" t="s">
        <v>263</v>
      </c>
      <c r="G263" t="s">
        <v>67</v>
      </c>
      <c r="H263">
        <v>2</v>
      </c>
      <c r="I263">
        <v>4.5</v>
      </c>
      <c r="J263">
        <v>60</v>
      </c>
      <c r="K263" t="s">
        <v>29</v>
      </c>
      <c r="L263" t="s">
        <v>20</v>
      </c>
      <c r="M263" t="s">
        <v>573</v>
      </c>
      <c r="N263" t="s">
        <v>19</v>
      </c>
      <c r="O263">
        <v>0.31</v>
      </c>
      <c r="P263" t="s">
        <v>25</v>
      </c>
    </row>
    <row r="264" spans="1:16" x14ac:dyDescent="0.3">
      <c r="A264">
        <v>262</v>
      </c>
      <c r="B264" t="s">
        <v>87</v>
      </c>
      <c r="C264" t="s">
        <v>558</v>
      </c>
      <c r="D264" t="s">
        <v>561</v>
      </c>
      <c r="E264" t="s">
        <v>18</v>
      </c>
      <c r="F264" t="s">
        <v>18</v>
      </c>
      <c r="G264" t="s">
        <v>67</v>
      </c>
      <c r="H264">
        <v>1</v>
      </c>
      <c r="I264">
        <v>4.5999999999999996</v>
      </c>
      <c r="J264">
        <v>0</v>
      </c>
      <c r="K264" t="s">
        <v>19</v>
      </c>
      <c r="L264" t="s">
        <v>20</v>
      </c>
      <c r="M264" t="s">
        <v>21</v>
      </c>
      <c r="N264" t="s">
        <v>19</v>
      </c>
      <c r="O264">
        <v>5.8999999999999997E-2</v>
      </c>
      <c r="P264" t="s">
        <v>51</v>
      </c>
    </row>
    <row r="265" spans="1:16" x14ac:dyDescent="0.3">
      <c r="A265">
        <v>263</v>
      </c>
      <c r="B265" t="s">
        <v>87</v>
      </c>
      <c r="C265" t="s">
        <v>558</v>
      </c>
      <c r="D265" t="s">
        <v>561</v>
      </c>
      <c r="E265" t="s">
        <v>588</v>
      </c>
      <c r="F265" t="s">
        <v>56</v>
      </c>
      <c r="G265">
        <v>1977</v>
      </c>
      <c r="H265">
        <v>2</v>
      </c>
      <c r="I265">
        <v>4.0999999999999996</v>
      </c>
      <c r="J265">
        <v>20</v>
      </c>
      <c r="K265" t="s">
        <v>19</v>
      </c>
      <c r="L265" t="s">
        <v>32</v>
      </c>
      <c r="M265" t="s">
        <v>73</v>
      </c>
      <c r="N265" t="s">
        <v>19</v>
      </c>
      <c r="O265">
        <v>0.25</v>
      </c>
      <c r="P265" t="s">
        <v>25</v>
      </c>
    </row>
    <row r="266" spans="1:16" x14ac:dyDescent="0.3">
      <c r="A266">
        <v>264</v>
      </c>
      <c r="B266" t="s">
        <v>87</v>
      </c>
      <c r="C266" t="s">
        <v>558</v>
      </c>
      <c r="D266" t="s">
        <v>561</v>
      </c>
      <c r="E266" t="s">
        <v>589</v>
      </c>
      <c r="F266" t="s">
        <v>590</v>
      </c>
      <c r="G266" t="s">
        <v>67</v>
      </c>
      <c r="H266">
        <v>1</v>
      </c>
      <c r="I266">
        <v>3.8</v>
      </c>
      <c r="J266">
        <v>20</v>
      </c>
      <c r="K266" t="s">
        <v>19</v>
      </c>
      <c r="L266" t="s">
        <v>20</v>
      </c>
      <c r="M266" t="s">
        <v>80</v>
      </c>
      <c r="N266" t="s">
        <v>19</v>
      </c>
      <c r="O266">
        <v>0.03</v>
      </c>
      <c r="P266" t="s">
        <v>51</v>
      </c>
    </row>
    <row r="267" spans="1:16" x14ac:dyDescent="0.3">
      <c r="A267">
        <v>265</v>
      </c>
      <c r="B267" t="s">
        <v>87</v>
      </c>
      <c r="C267" t="s">
        <v>558</v>
      </c>
      <c r="D267" t="s">
        <v>561</v>
      </c>
      <c r="E267" t="s">
        <v>591</v>
      </c>
      <c r="F267" t="s">
        <v>53</v>
      </c>
      <c r="G267">
        <v>1991</v>
      </c>
      <c r="H267">
        <v>1</v>
      </c>
      <c r="I267">
        <v>4.3</v>
      </c>
      <c r="J267">
        <v>10</v>
      </c>
      <c r="K267" t="s">
        <v>19</v>
      </c>
      <c r="L267" t="s">
        <v>20</v>
      </c>
      <c r="M267" t="s">
        <v>169</v>
      </c>
      <c r="N267" t="s">
        <v>19</v>
      </c>
      <c r="O267">
        <v>6.5000000000000002E-2</v>
      </c>
      <c r="P267" t="s">
        <v>51</v>
      </c>
    </row>
    <row r="268" spans="1:16" x14ac:dyDescent="0.3">
      <c r="A268">
        <v>266</v>
      </c>
      <c r="B268" t="s">
        <v>117</v>
      </c>
      <c r="C268" t="s">
        <v>592</v>
      </c>
      <c r="D268" t="s">
        <v>593</v>
      </c>
      <c r="E268" t="s">
        <v>594</v>
      </c>
      <c r="F268" t="s">
        <v>457</v>
      </c>
      <c r="G268" t="s">
        <v>67</v>
      </c>
      <c r="H268">
        <v>2</v>
      </c>
      <c r="I268">
        <v>4.3</v>
      </c>
      <c r="J268">
        <v>20</v>
      </c>
      <c r="K268" t="s">
        <v>19</v>
      </c>
      <c r="L268" t="s">
        <v>20</v>
      </c>
      <c r="M268" t="s">
        <v>21</v>
      </c>
      <c r="N268" t="s">
        <v>19</v>
      </c>
      <c r="O268">
        <v>0.15</v>
      </c>
      <c r="P268" t="s">
        <v>25</v>
      </c>
    </row>
    <row r="269" spans="1:16" x14ac:dyDescent="0.3">
      <c r="A269">
        <v>267</v>
      </c>
      <c r="B269" t="s">
        <v>117</v>
      </c>
      <c r="C269" t="s">
        <v>592</v>
      </c>
      <c r="D269" t="s">
        <v>595</v>
      </c>
      <c r="E269" t="s">
        <v>596</v>
      </c>
      <c r="F269" t="s">
        <v>352</v>
      </c>
      <c r="G269">
        <v>1705</v>
      </c>
      <c r="H269">
        <v>1</v>
      </c>
      <c r="I269">
        <v>4.5999999999999996</v>
      </c>
      <c r="J269">
        <v>20</v>
      </c>
      <c r="K269" t="s">
        <v>29</v>
      </c>
      <c r="L269" t="s">
        <v>20</v>
      </c>
      <c r="M269" t="s">
        <v>28</v>
      </c>
      <c r="N269" t="s">
        <v>29</v>
      </c>
      <c r="O269">
        <v>1.4999999999999999E-2</v>
      </c>
      <c r="P269" t="s">
        <v>37</v>
      </c>
    </row>
    <row r="270" spans="1:16" x14ac:dyDescent="0.3">
      <c r="A270">
        <v>268</v>
      </c>
      <c r="B270" t="s">
        <v>117</v>
      </c>
      <c r="C270" t="s">
        <v>592</v>
      </c>
      <c r="D270" t="s">
        <v>597</v>
      </c>
      <c r="E270" t="s">
        <v>598</v>
      </c>
      <c r="F270" t="s">
        <v>599</v>
      </c>
      <c r="G270">
        <v>211</v>
      </c>
      <c r="H270">
        <v>2</v>
      </c>
      <c r="I270">
        <v>4.7</v>
      </c>
      <c r="J270">
        <v>50</v>
      </c>
      <c r="K270" t="s">
        <v>19</v>
      </c>
      <c r="L270" t="s">
        <v>20</v>
      </c>
      <c r="M270" t="s">
        <v>28</v>
      </c>
      <c r="N270" t="s">
        <v>29</v>
      </c>
      <c r="O270">
        <v>0.12</v>
      </c>
      <c r="P270" t="s">
        <v>51</v>
      </c>
    </row>
    <row r="271" spans="1:16" x14ac:dyDescent="0.3">
      <c r="A271">
        <v>269</v>
      </c>
      <c r="B271" t="s">
        <v>117</v>
      </c>
      <c r="C271" t="s">
        <v>592</v>
      </c>
      <c r="D271" t="s">
        <v>593</v>
      </c>
      <c r="E271" t="s">
        <v>600</v>
      </c>
      <c r="F271" t="s">
        <v>352</v>
      </c>
      <c r="G271" t="s">
        <v>601</v>
      </c>
      <c r="H271">
        <v>1</v>
      </c>
      <c r="I271">
        <v>4.5999999999999996</v>
      </c>
      <c r="J271">
        <v>10</v>
      </c>
      <c r="K271" t="s">
        <v>19</v>
      </c>
      <c r="L271" t="s">
        <v>20</v>
      </c>
      <c r="M271" t="s">
        <v>28</v>
      </c>
      <c r="N271" t="s">
        <v>29</v>
      </c>
      <c r="O271">
        <v>3.5000000000000003E-2</v>
      </c>
      <c r="P271" t="s">
        <v>37</v>
      </c>
    </row>
    <row r="272" spans="1:16" x14ac:dyDescent="0.3">
      <c r="A272">
        <v>270</v>
      </c>
      <c r="B272" t="s">
        <v>117</v>
      </c>
      <c r="C272" t="s">
        <v>592</v>
      </c>
      <c r="D272" t="s">
        <v>602</v>
      </c>
      <c r="E272" t="s">
        <v>603</v>
      </c>
      <c r="F272" t="s">
        <v>47</v>
      </c>
      <c r="G272">
        <v>213</v>
      </c>
      <c r="H272">
        <v>1</v>
      </c>
      <c r="I272">
        <v>4.8</v>
      </c>
      <c r="J272">
        <v>50</v>
      </c>
      <c r="K272" t="s">
        <v>19</v>
      </c>
      <c r="L272" t="s">
        <v>20</v>
      </c>
      <c r="M272" t="s">
        <v>169</v>
      </c>
      <c r="N272" t="s">
        <v>19</v>
      </c>
      <c r="O272">
        <v>0.1</v>
      </c>
      <c r="P272" t="s">
        <v>51</v>
      </c>
    </row>
    <row r="273" spans="1:16" x14ac:dyDescent="0.3">
      <c r="A273">
        <v>271</v>
      </c>
      <c r="B273" t="s">
        <v>117</v>
      </c>
      <c r="C273" t="s">
        <v>592</v>
      </c>
      <c r="D273" t="s">
        <v>593</v>
      </c>
      <c r="E273" t="s">
        <v>604</v>
      </c>
      <c r="F273" t="s">
        <v>27</v>
      </c>
      <c r="G273">
        <v>1967</v>
      </c>
      <c r="H273">
        <v>1</v>
      </c>
      <c r="I273">
        <v>4.7</v>
      </c>
      <c r="J273">
        <v>0</v>
      </c>
      <c r="K273" t="s">
        <v>19</v>
      </c>
      <c r="L273" t="s">
        <v>20</v>
      </c>
      <c r="M273" t="s">
        <v>28</v>
      </c>
      <c r="N273" t="s">
        <v>29</v>
      </c>
      <c r="O273">
        <v>7.4999999999999997E-2</v>
      </c>
      <c r="P273" t="s">
        <v>51</v>
      </c>
    </row>
    <row r="274" spans="1:16" x14ac:dyDescent="0.3">
      <c r="A274">
        <v>272</v>
      </c>
      <c r="B274" t="s">
        <v>117</v>
      </c>
      <c r="C274" t="s">
        <v>592</v>
      </c>
      <c r="D274" t="s">
        <v>593</v>
      </c>
      <c r="E274" t="s">
        <v>605</v>
      </c>
      <c r="F274" t="s">
        <v>106</v>
      </c>
      <c r="G274" t="s">
        <v>67</v>
      </c>
      <c r="H274">
        <v>2</v>
      </c>
      <c r="I274">
        <v>4.5</v>
      </c>
      <c r="J274">
        <v>0</v>
      </c>
      <c r="K274" t="s">
        <v>19</v>
      </c>
      <c r="L274" t="s">
        <v>20</v>
      </c>
      <c r="M274" t="s">
        <v>94</v>
      </c>
      <c r="N274" t="s">
        <v>19</v>
      </c>
      <c r="O274">
        <v>0.15</v>
      </c>
      <c r="P274" t="s">
        <v>37</v>
      </c>
    </row>
    <row r="275" spans="1:16" x14ac:dyDescent="0.3">
      <c r="A275">
        <v>273</v>
      </c>
      <c r="B275" t="s">
        <v>606</v>
      </c>
      <c r="C275" t="s">
        <v>607</v>
      </c>
      <c r="D275" t="s">
        <v>608</v>
      </c>
      <c r="E275" t="s">
        <v>609</v>
      </c>
      <c r="F275" t="s">
        <v>27</v>
      </c>
      <c r="G275" t="s">
        <v>67</v>
      </c>
      <c r="H275">
        <v>2</v>
      </c>
      <c r="I275">
        <v>4.5999999999999996</v>
      </c>
      <c r="J275">
        <v>0</v>
      </c>
      <c r="K275" t="s">
        <v>19</v>
      </c>
      <c r="L275" t="s">
        <v>20</v>
      </c>
      <c r="M275" t="s">
        <v>28</v>
      </c>
      <c r="N275" t="s">
        <v>29</v>
      </c>
      <c r="O275">
        <v>0.21</v>
      </c>
      <c r="P275" t="s">
        <v>51</v>
      </c>
    </row>
    <row r="276" spans="1:16" x14ac:dyDescent="0.3">
      <c r="A276">
        <v>274</v>
      </c>
      <c r="B276" t="s">
        <v>606</v>
      </c>
      <c r="C276" t="s">
        <v>607</v>
      </c>
      <c r="D276" t="s">
        <v>610</v>
      </c>
      <c r="E276" t="s">
        <v>611</v>
      </c>
      <c r="F276" t="s">
        <v>72</v>
      </c>
      <c r="G276">
        <v>1905</v>
      </c>
      <c r="H276">
        <v>3</v>
      </c>
      <c r="I276">
        <v>4.5</v>
      </c>
      <c r="J276">
        <v>650</v>
      </c>
      <c r="K276" t="s">
        <v>29</v>
      </c>
      <c r="L276" t="s">
        <v>20</v>
      </c>
      <c r="M276" t="s">
        <v>73</v>
      </c>
      <c r="N276" t="s">
        <v>29</v>
      </c>
      <c r="O276">
        <v>6.8000000000000005E-2</v>
      </c>
      <c r="P276" t="s">
        <v>37</v>
      </c>
    </row>
    <row r="277" spans="1:16" x14ac:dyDescent="0.3">
      <c r="A277">
        <v>275</v>
      </c>
      <c r="B277" t="s">
        <v>606</v>
      </c>
      <c r="C277" t="s">
        <v>607</v>
      </c>
      <c r="D277" t="s">
        <v>608</v>
      </c>
      <c r="E277" t="s">
        <v>612</v>
      </c>
      <c r="F277" t="s">
        <v>613</v>
      </c>
      <c r="G277" t="s">
        <v>67</v>
      </c>
      <c r="H277">
        <v>1</v>
      </c>
      <c r="I277">
        <v>4.0999999999999996</v>
      </c>
      <c r="J277">
        <v>0</v>
      </c>
      <c r="K277" t="s">
        <v>19</v>
      </c>
      <c r="L277" t="s">
        <v>20</v>
      </c>
      <c r="M277" t="s">
        <v>94</v>
      </c>
      <c r="N277" t="s">
        <v>19</v>
      </c>
      <c r="O277">
        <v>0.01</v>
      </c>
      <c r="P277" t="s">
        <v>37</v>
      </c>
    </row>
    <row r="278" spans="1:16" x14ac:dyDescent="0.3">
      <c r="A278">
        <v>276</v>
      </c>
      <c r="B278" t="s">
        <v>606</v>
      </c>
      <c r="C278" t="s">
        <v>607</v>
      </c>
      <c r="D278" t="s">
        <v>614</v>
      </c>
      <c r="E278" t="s">
        <v>615</v>
      </c>
      <c r="F278" t="s">
        <v>27</v>
      </c>
      <c r="G278">
        <v>1734</v>
      </c>
      <c r="H278">
        <v>1</v>
      </c>
      <c r="I278">
        <v>4.7</v>
      </c>
      <c r="J278">
        <v>0</v>
      </c>
      <c r="K278" t="s">
        <v>29</v>
      </c>
      <c r="L278" t="s">
        <v>20</v>
      </c>
      <c r="M278" t="s">
        <v>21</v>
      </c>
      <c r="N278" t="s">
        <v>19</v>
      </c>
      <c r="O278">
        <v>6.5000000000000002E-2</v>
      </c>
      <c r="P278" t="s">
        <v>51</v>
      </c>
    </row>
    <row r="279" spans="1:16" x14ac:dyDescent="0.3">
      <c r="A279">
        <v>277</v>
      </c>
      <c r="B279" t="s">
        <v>606</v>
      </c>
      <c r="C279" t="s">
        <v>607</v>
      </c>
      <c r="D279" t="s">
        <v>616</v>
      </c>
      <c r="E279" t="s">
        <v>617</v>
      </c>
      <c r="F279" t="s">
        <v>618</v>
      </c>
      <c r="G279" t="s">
        <v>67</v>
      </c>
      <c r="H279">
        <v>2</v>
      </c>
      <c r="I279">
        <v>4.7</v>
      </c>
      <c r="J279">
        <v>0</v>
      </c>
      <c r="K279" t="s">
        <v>29</v>
      </c>
      <c r="L279" t="s">
        <v>20</v>
      </c>
      <c r="M279" t="s">
        <v>169</v>
      </c>
      <c r="N279" t="s">
        <v>19</v>
      </c>
      <c r="O279">
        <v>0.01</v>
      </c>
      <c r="P279" t="s">
        <v>37</v>
      </c>
    </row>
    <row r="280" spans="1:16" x14ac:dyDescent="0.3">
      <c r="A280">
        <v>278</v>
      </c>
      <c r="B280" t="s">
        <v>606</v>
      </c>
      <c r="C280" t="s">
        <v>607</v>
      </c>
      <c r="D280" t="s">
        <v>619</v>
      </c>
      <c r="E280" t="s">
        <v>620</v>
      </c>
      <c r="F280" t="s">
        <v>72</v>
      </c>
      <c r="G280">
        <v>1990</v>
      </c>
      <c r="H280">
        <v>3</v>
      </c>
      <c r="I280">
        <v>4.5999999999999996</v>
      </c>
      <c r="J280">
        <v>500</v>
      </c>
      <c r="K280" t="s">
        <v>29</v>
      </c>
      <c r="L280" t="s">
        <v>20</v>
      </c>
      <c r="M280" t="s">
        <v>73</v>
      </c>
      <c r="N280" t="s">
        <v>19</v>
      </c>
      <c r="O280">
        <v>0.19</v>
      </c>
      <c r="P280" t="s">
        <v>37</v>
      </c>
    </row>
    <row r="281" spans="1:16" x14ac:dyDescent="0.3">
      <c r="A281">
        <v>279</v>
      </c>
      <c r="B281" t="s">
        <v>606</v>
      </c>
      <c r="C281" t="s">
        <v>607</v>
      </c>
      <c r="D281" t="s">
        <v>621</v>
      </c>
      <c r="E281" t="s">
        <v>622</v>
      </c>
      <c r="F281" t="s">
        <v>27</v>
      </c>
      <c r="G281" t="s">
        <v>67</v>
      </c>
      <c r="H281">
        <v>1</v>
      </c>
      <c r="I281">
        <v>4.5</v>
      </c>
      <c r="J281">
        <v>0</v>
      </c>
      <c r="K281" t="s">
        <v>29</v>
      </c>
      <c r="L281" t="s">
        <v>20</v>
      </c>
      <c r="M281" t="s">
        <v>28</v>
      </c>
      <c r="N281" t="s">
        <v>19</v>
      </c>
      <c r="O281">
        <v>0.9</v>
      </c>
      <c r="P281" t="s">
        <v>51</v>
      </c>
    </row>
    <row r="282" spans="1:16" x14ac:dyDescent="0.3">
      <c r="A282">
        <v>280</v>
      </c>
      <c r="B282" t="s">
        <v>606</v>
      </c>
      <c r="C282" t="s">
        <v>607</v>
      </c>
      <c r="D282" t="s">
        <v>608</v>
      </c>
      <c r="E282" t="s">
        <v>623</v>
      </c>
      <c r="F282" t="s">
        <v>190</v>
      </c>
      <c r="G282">
        <v>1987</v>
      </c>
      <c r="H282">
        <v>2</v>
      </c>
      <c r="I282">
        <v>4.4000000000000004</v>
      </c>
      <c r="J282">
        <v>500</v>
      </c>
      <c r="K282" t="s">
        <v>19</v>
      </c>
      <c r="L282" t="s">
        <v>20</v>
      </c>
      <c r="M282" t="s">
        <v>73</v>
      </c>
      <c r="N282" t="s">
        <v>19</v>
      </c>
      <c r="O282">
        <v>3.6999999999999998E-2</v>
      </c>
      <c r="P282" t="s">
        <v>51</v>
      </c>
    </row>
    <row r="283" spans="1:16" x14ac:dyDescent="0.3">
      <c r="A283">
        <v>281</v>
      </c>
      <c r="B283" t="s">
        <v>606</v>
      </c>
      <c r="C283" t="s">
        <v>624</v>
      </c>
      <c r="D283" t="s">
        <v>625</v>
      </c>
      <c r="E283" t="s">
        <v>626</v>
      </c>
      <c r="F283" t="s">
        <v>352</v>
      </c>
      <c r="G283">
        <v>1680</v>
      </c>
      <c r="H283">
        <v>2</v>
      </c>
      <c r="I283">
        <v>4.7</v>
      </c>
      <c r="J283">
        <v>0</v>
      </c>
      <c r="K283" t="s">
        <v>29</v>
      </c>
      <c r="L283" t="s">
        <v>20</v>
      </c>
      <c r="M283" t="s">
        <v>28</v>
      </c>
      <c r="N283" t="s">
        <v>29</v>
      </c>
      <c r="O283">
        <v>3.2000000000000001E-2</v>
      </c>
      <c r="P283" t="s">
        <v>37</v>
      </c>
    </row>
    <row r="284" spans="1:16" x14ac:dyDescent="0.3">
      <c r="A284">
        <v>282</v>
      </c>
      <c r="B284" t="s">
        <v>606</v>
      </c>
      <c r="C284" t="s">
        <v>627</v>
      </c>
      <c r="D284" t="s">
        <v>628</v>
      </c>
      <c r="E284" t="s">
        <v>629</v>
      </c>
      <c r="F284" t="s">
        <v>91</v>
      </c>
      <c r="G284">
        <v>1901</v>
      </c>
      <c r="H284">
        <v>1.5</v>
      </c>
      <c r="I284">
        <v>4.5</v>
      </c>
      <c r="J284">
        <v>10</v>
      </c>
      <c r="K284" t="s">
        <v>19</v>
      </c>
      <c r="L284" t="s">
        <v>32</v>
      </c>
      <c r="M284" t="s">
        <v>21</v>
      </c>
      <c r="N284" t="s">
        <v>19</v>
      </c>
      <c r="O284">
        <v>3.5000000000000003E-2</v>
      </c>
      <c r="P284" t="s">
        <v>51</v>
      </c>
    </row>
    <row r="285" spans="1:16" x14ac:dyDescent="0.3">
      <c r="A285">
        <v>283</v>
      </c>
      <c r="B285" t="s">
        <v>606</v>
      </c>
      <c r="C285" t="s">
        <v>627</v>
      </c>
      <c r="D285" t="s">
        <v>630</v>
      </c>
      <c r="E285" t="s">
        <v>631</v>
      </c>
      <c r="F285" t="s">
        <v>106</v>
      </c>
      <c r="G285" t="s">
        <v>67</v>
      </c>
      <c r="H285">
        <v>1</v>
      </c>
      <c r="I285">
        <v>4.5</v>
      </c>
      <c r="J285">
        <v>0</v>
      </c>
      <c r="K285" t="s">
        <v>29</v>
      </c>
      <c r="L285" t="s">
        <v>20</v>
      </c>
      <c r="M285" t="s">
        <v>94</v>
      </c>
      <c r="N285" t="s">
        <v>19</v>
      </c>
      <c r="O285">
        <v>0.01</v>
      </c>
      <c r="P285" t="s">
        <v>37</v>
      </c>
    </row>
    <row r="286" spans="1:16" x14ac:dyDescent="0.3">
      <c r="A286">
        <v>284</v>
      </c>
      <c r="B286" t="s">
        <v>606</v>
      </c>
      <c r="C286" t="s">
        <v>627</v>
      </c>
      <c r="D286" t="s">
        <v>632</v>
      </c>
      <c r="E286" t="s">
        <v>633</v>
      </c>
      <c r="F286" t="s">
        <v>634</v>
      </c>
      <c r="G286">
        <v>700</v>
      </c>
      <c r="H286">
        <v>1.5</v>
      </c>
      <c r="I286">
        <v>4.5</v>
      </c>
      <c r="J286">
        <v>20</v>
      </c>
      <c r="K286" t="s">
        <v>29</v>
      </c>
      <c r="L286" t="s">
        <v>20</v>
      </c>
      <c r="M286" t="s">
        <v>21</v>
      </c>
      <c r="N286" t="s">
        <v>19</v>
      </c>
      <c r="O286">
        <v>2.5000000000000001E-2</v>
      </c>
      <c r="P286" t="s">
        <v>37</v>
      </c>
    </row>
    <row r="287" spans="1:16" x14ac:dyDescent="0.3">
      <c r="A287">
        <v>285</v>
      </c>
      <c r="B287" t="s">
        <v>306</v>
      </c>
      <c r="C287" t="s">
        <v>635</v>
      </c>
      <c r="D287" t="s">
        <v>636</v>
      </c>
      <c r="E287" t="s">
        <v>637</v>
      </c>
      <c r="F287" t="s">
        <v>142</v>
      </c>
      <c r="G287" t="s">
        <v>67</v>
      </c>
      <c r="H287">
        <v>1.5</v>
      </c>
      <c r="I287">
        <v>4.5999999999999996</v>
      </c>
      <c r="J287">
        <v>0</v>
      </c>
      <c r="K287" t="s">
        <v>29</v>
      </c>
      <c r="L287" t="s">
        <v>20</v>
      </c>
      <c r="M287" t="s">
        <v>94</v>
      </c>
      <c r="N287" t="s">
        <v>19</v>
      </c>
      <c r="O287">
        <v>0.19</v>
      </c>
      <c r="P287" t="s">
        <v>37</v>
      </c>
    </row>
    <row r="288" spans="1:16" x14ac:dyDescent="0.3">
      <c r="A288">
        <v>286</v>
      </c>
      <c r="B288" t="s">
        <v>606</v>
      </c>
      <c r="C288" t="s">
        <v>638</v>
      </c>
      <c r="D288" t="s">
        <v>639</v>
      </c>
      <c r="E288" t="s">
        <v>639</v>
      </c>
      <c r="F288" t="s">
        <v>300</v>
      </c>
      <c r="G288" t="s">
        <v>67</v>
      </c>
      <c r="H288">
        <v>3</v>
      </c>
      <c r="I288">
        <v>4.7</v>
      </c>
      <c r="J288">
        <v>0</v>
      </c>
      <c r="K288" t="s">
        <v>29</v>
      </c>
      <c r="L288" t="s">
        <v>20</v>
      </c>
      <c r="M288" t="s">
        <v>372</v>
      </c>
      <c r="N288" t="s">
        <v>19</v>
      </c>
      <c r="O288">
        <v>0.01</v>
      </c>
      <c r="P288" t="s">
        <v>25</v>
      </c>
    </row>
    <row r="289" spans="1:16" x14ac:dyDescent="0.3">
      <c r="A289">
        <v>287</v>
      </c>
      <c r="B289" t="s">
        <v>87</v>
      </c>
      <c r="C289" t="s">
        <v>640</v>
      </c>
      <c r="D289" t="s">
        <v>640</v>
      </c>
      <c r="E289" t="s">
        <v>641</v>
      </c>
      <c r="F289" t="s">
        <v>79</v>
      </c>
      <c r="G289" t="s">
        <v>67</v>
      </c>
      <c r="H289">
        <v>1</v>
      </c>
      <c r="I289">
        <v>4.5</v>
      </c>
      <c r="J289">
        <v>0</v>
      </c>
      <c r="K289" t="s">
        <v>19</v>
      </c>
      <c r="L289" t="s">
        <v>20</v>
      </c>
      <c r="M289" t="s">
        <v>80</v>
      </c>
      <c r="N289" t="s">
        <v>19</v>
      </c>
      <c r="O289">
        <v>0.09</v>
      </c>
      <c r="P289" t="s">
        <v>37</v>
      </c>
    </row>
    <row r="290" spans="1:16" x14ac:dyDescent="0.3">
      <c r="A290">
        <v>288</v>
      </c>
      <c r="B290" t="s">
        <v>87</v>
      </c>
      <c r="C290" t="s">
        <v>640</v>
      </c>
      <c r="D290" t="s">
        <v>642</v>
      </c>
      <c r="E290" t="s">
        <v>642</v>
      </c>
      <c r="F290" t="s">
        <v>643</v>
      </c>
      <c r="G290">
        <v>1968</v>
      </c>
      <c r="H290">
        <v>2</v>
      </c>
      <c r="I290">
        <v>4.0999999999999996</v>
      </c>
      <c r="J290">
        <v>0</v>
      </c>
      <c r="K290" t="s">
        <v>19</v>
      </c>
      <c r="L290" t="s">
        <v>20</v>
      </c>
      <c r="M290" t="s">
        <v>169</v>
      </c>
      <c r="N290" t="s">
        <v>19</v>
      </c>
      <c r="O290">
        <v>3.5000000000000003E-2</v>
      </c>
      <c r="P290" t="s">
        <v>51</v>
      </c>
    </row>
    <row r="291" spans="1:16" x14ac:dyDescent="0.3">
      <c r="A291">
        <v>289</v>
      </c>
      <c r="B291" t="s">
        <v>87</v>
      </c>
      <c r="C291" t="s">
        <v>640</v>
      </c>
      <c r="D291" t="s">
        <v>640</v>
      </c>
      <c r="E291" t="s">
        <v>644</v>
      </c>
      <c r="F291" t="s">
        <v>79</v>
      </c>
      <c r="G291" t="s">
        <v>67</v>
      </c>
      <c r="H291">
        <v>1</v>
      </c>
      <c r="I291">
        <v>4.5</v>
      </c>
      <c r="J291">
        <v>200</v>
      </c>
      <c r="K291" t="s">
        <v>19</v>
      </c>
      <c r="L291" t="s">
        <v>20</v>
      </c>
      <c r="M291" t="s">
        <v>80</v>
      </c>
      <c r="N291" t="s">
        <v>19</v>
      </c>
      <c r="O291">
        <v>1.4999999999999999E-2</v>
      </c>
      <c r="P291" t="s">
        <v>37</v>
      </c>
    </row>
    <row r="292" spans="1:16" x14ac:dyDescent="0.3">
      <c r="A292">
        <v>290</v>
      </c>
      <c r="B292" t="s">
        <v>87</v>
      </c>
      <c r="C292" t="s">
        <v>645</v>
      </c>
      <c r="D292" t="s">
        <v>646</v>
      </c>
      <c r="E292" t="s">
        <v>647</v>
      </c>
      <c r="F292" t="s">
        <v>103</v>
      </c>
      <c r="G292">
        <v>1906</v>
      </c>
      <c r="H292">
        <v>1.5</v>
      </c>
      <c r="I292">
        <v>4.7</v>
      </c>
      <c r="J292">
        <v>30</v>
      </c>
      <c r="K292" t="s">
        <v>19</v>
      </c>
      <c r="L292" t="s">
        <v>32</v>
      </c>
      <c r="M292" t="s">
        <v>21</v>
      </c>
      <c r="N292" t="s">
        <v>19</v>
      </c>
      <c r="O292">
        <v>0.12</v>
      </c>
      <c r="P292" t="s">
        <v>25</v>
      </c>
    </row>
    <row r="293" spans="1:16" x14ac:dyDescent="0.3">
      <c r="A293">
        <v>291</v>
      </c>
      <c r="B293" t="s">
        <v>87</v>
      </c>
      <c r="C293" t="s">
        <v>645</v>
      </c>
      <c r="D293" t="s">
        <v>648</v>
      </c>
      <c r="E293" t="s">
        <v>649</v>
      </c>
      <c r="F293" t="s">
        <v>79</v>
      </c>
      <c r="G293" t="s">
        <v>67</v>
      </c>
      <c r="H293">
        <v>1</v>
      </c>
      <c r="I293">
        <v>4.8</v>
      </c>
      <c r="J293">
        <v>0</v>
      </c>
      <c r="K293" t="s">
        <v>29</v>
      </c>
      <c r="L293" t="s">
        <v>20</v>
      </c>
      <c r="M293" t="s">
        <v>94</v>
      </c>
      <c r="N293" t="s">
        <v>19</v>
      </c>
      <c r="O293">
        <v>0.09</v>
      </c>
      <c r="P293" t="s">
        <v>37</v>
      </c>
    </row>
    <row r="294" spans="1:16" x14ac:dyDescent="0.3">
      <c r="A294">
        <v>292</v>
      </c>
      <c r="B294" t="s">
        <v>87</v>
      </c>
      <c r="C294" t="s">
        <v>645</v>
      </c>
      <c r="D294" t="s">
        <v>650</v>
      </c>
      <c r="E294" t="s">
        <v>651</v>
      </c>
      <c r="F294" t="s">
        <v>79</v>
      </c>
      <c r="G294" t="s">
        <v>67</v>
      </c>
      <c r="H294">
        <v>1</v>
      </c>
      <c r="I294">
        <v>4.5</v>
      </c>
      <c r="J294">
        <v>0</v>
      </c>
      <c r="K294" t="s">
        <v>29</v>
      </c>
      <c r="L294" t="s">
        <v>20</v>
      </c>
      <c r="M294" t="s">
        <v>94</v>
      </c>
      <c r="N294" t="s">
        <v>19</v>
      </c>
      <c r="O294">
        <v>0.04</v>
      </c>
      <c r="P294" t="s">
        <v>37</v>
      </c>
    </row>
    <row r="295" spans="1:16" x14ac:dyDescent="0.3">
      <c r="A295">
        <v>293</v>
      </c>
      <c r="B295" t="s">
        <v>87</v>
      </c>
      <c r="C295" t="s">
        <v>645</v>
      </c>
      <c r="D295" t="s">
        <v>652</v>
      </c>
      <c r="E295" t="s">
        <v>653</v>
      </c>
      <c r="F295" t="s">
        <v>654</v>
      </c>
      <c r="G295" t="s">
        <v>67</v>
      </c>
      <c r="H295">
        <v>1.5</v>
      </c>
      <c r="I295">
        <v>4.4000000000000004</v>
      </c>
      <c r="J295">
        <v>250</v>
      </c>
      <c r="K295" t="s">
        <v>29</v>
      </c>
      <c r="L295" t="s">
        <v>20</v>
      </c>
      <c r="M295" t="s">
        <v>94</v>
      </c>
      <c r="N295" t="s">
        <v>19</v>
      </c>
      <c r="O295">
        <v>1.4999999999999999E-2</v>
      </c>
      <c r="P295" t="s">
        <v>37</v>
      </c>
    </row>
    <row r="296" spans="1:16" x14ac:dyDescent="0.3">
      <c r="A296">
        <v>294</v>
      </c>
      <c r="B296" t="s">
        <v>62</v>
      </c>
      <c r="C296" t="s">
        <v>655</v>
      </c>
      <c r="D296" t="s">
        <v>656</v>
      </c>
      <c r="E296" t="s">
        <v>657</v>
      </c>
      <c r="F296" t="s">
        <v>263</v>
      </c>
      <c r="G296" t="s">
        <v>67</v>
      </c>
      <c r="H296">
        <v>1</v>
      </c>
      <c r="I296">
        <v>4.5</v>
      </c>
      <c r="J296">
        <v>0</v>
      </c>
      <c r="K296" t="s">
        <v>29</v>
      </c>
      <c r="L296" t="s">
        <v>20</v>
      </c>
      <c r="M296" t="s">
        <v>94</v>
      </c>
      <c r="N296" t="s">
        <v>19</v>
      </c>
      <c r="O296">
        <v>0.6</v>
      </c>
      <c r="P296" t="s">
        <v>25</v>
      </c>
    </row>
    <row r="297" spans="1:16" x14ac:dyDescent="0.3">
      <c r="A297">
        <v>295</v>
      </c>
      <c r="B297" t="s">
        <v>62</v>
      </c>
      <c r="C297" t="s">
        <v>655</v>
      </c>
      <c r="D297" t="s">
        <v>656</v>
      </c>
      <c r="E297" t="s">
        <v>658</v>
      </c>
      <c r="F297" t="s">
        <v>43</v>
      </c>
      <c r="G297">
        <v>1535</v>
      </c>
      <c r="H297">
        <v>1.5</v>
      </c>
      <c r="I297">
        <v>4.5999999999999996</v>
      </c>
      <c r="J297">
        <v>0</v>
      </c>
      <c r="K297" t="s">
        <v>29</v>
      </c>
      <c r="L297" t="s">
        <v>20</v>
      </c>
      <c r="M297" t="s">
        <v>21</v>
      </c>
      <c r="N297" t="s">
        <v>19</v>
      </c>
      <c r="O297">
        <v>1.2</v>
      </c>
      <c r="P297" t="s">
        <v>25</v>
      </c>
    </row>
    <row r="298" spans="1:16" x14ac:dyDescent="0.3">
      <c r="A298">
        <v>296</v>
      </c>
      <c r="B298" t="s">
        <v>117</v>
      </c>
      <c r="C298" t="s">
        <v>659</v>
      </c>
      <c r="D298" t="s">
        <v>660</v>
      </c>
      <c r="E298" t="s">
        <v>661</v>
      </c>
      <c r="F298" t="s">
        <v>27</v>
      </c>
      <c r="G298" t="s">
        <v>67</v>
      </c>
      <c r="H298">
        <v>1</v>
      </c>
      <c r="I298">
        <v>4.7</v>
      </c>
      <c r="J298">
        <v>0</v>
      </c>
      <c r="K298" t="s">
        <v>19</v>
      </c>
      <c r="L298" t="s">
        <v>20</v>
      </c>
      <c r="M298" t="s">
        <v>28</v>
      </c>
      <c r="N298" t="s">
        <v>19</v>
      </c>
      <c r="O298">
        <v>1.8</v>
      </c>
      <c r="P298" t="s">
        <v>51</v>
      </c>
    </row>
    <row r="299" spans="1:16" x14ac:dyDescent="0.3">
      <c r="A299">
        <v>297</v>
      </c>
      <c r="B299" t="s">
        <v>117</v>
      </c>
      <c r="C299" t="s">
        <v>659</v>
      </c>
      <c r="D299" t="s">
        <v>662</v>
      </c>
      <c r="E299" t="s">
        <v>663</v>
      </c>
      <c r="F299" t="s">
        <v>27</v>
      </c>
      <c r="G299" t="s">
        <v>67</v>
      </c>
      <c r="H299">
        <v>1</v>
      </c>
      <c r="I299">
        <v>4.5999999999999996</v>
      </c>
      <c r="J299">
        <v>0</v>
      </c>
      <c r="K299" t="s">
        <v>19</v>
      </c>
      <c r="L299" t="s">
        <v>20</v>
      </c>
      <c r="M299" t="s">
        <v>28</v>
      </c>
      <c r="N299" t="s">
        <v>19</v>
      </c>
      <c r="O299">
        <v>0.13</v>
      </c>
      <c r="P299" t="s">
        <v>51</v>
      </c>
    </row>
    <row r="300" spans="1:16" x14ac:dyDescent="0.3">
      <c r="A300">
        <v>298</v>
      </c>
      <c r="B300" t="s">
        <v>117</v>
      </c>
      <c r="C300" t="s">
        <v>664</v>
      </c>
      <c r="D300" t="s">
        <v>665</v>
      </c>
      <c r="E300" t="s">
        <v>666</v>
      </c>
      <c r="F300" t="s">
        <v>27</v>
      </c>
      <c r="G300">
        <v>-260</v>
      </c>
      <c r="H300">
        <v>1.5</v>
      </c>
      <c r="I300">
        <v>4.7</v>
      </c>
      <c r="J300">
        <v>0</v>
      </c>
      <c r="K300" t="s">
        <v>19</v>
      </c>
      <c r="L300" t="s">
        <v>20</v>
      </c>
      <c r="M300" t="s">
        <v>28</v>
      </c>
      <c r="N300" t="s">
        <v>19</v>
      </c>
      <c r="O300">
        <v>0.2</v>
      </c>
      <c r="P300" t="s">
        <v>51</v>
      </c>
    </row>
    <row r="301" spans="1:16" x14ac:dyDescent="0.3">
      <c r="A301">
        <v>299</v>
      </c>
      <c r="B301" t="s">
        <v>117</v>
      </c>
      <c r="C301" t="s">
        <v>664</v>
      </c>
      <c r="D301" t="s">
        <v>667</v>
      </c>
      <c r="E301" t="s">
        <v>668</v>
      </c>
      <c r="F301" t="s">
        <v>56</v>
      </c>
      <c r="G301" t="s">
        <v>67</v>
      </c>
      <c r="H301">
        <v>2.5</v>
      </c>
      <c r="I301">
        <v>4.3</v>
      </c>
      <c r="J301">
        <v>30</v>
      </c>
      <c r="K301" t="s">
        <v>19</v>
      </c>
      <c r="L301" t="s">
        <v>20</v>
      </c>
      <c r="M301" t="s">
        <v>73</v>
      </c>
      <c r="N301" t="s">
        <v>19</v>
      </c>
      <c r="O301">
        <v>0.5</v>
      </c>
      <c r="P301" t="s">
        <v>51</v>
      </c>
    </row>
    <row r="302" spans="1:16" x14ac:dyDescent="0.3">
      <c r="A302">
        <v>300</v>
      </c>
      <c r="B302" t="s">
        <v>117</v>
      </c>
      <c r="C302" t="s">
        <v>664</v>
      </c>
      <c r="D302" t="s">
        <v>667</v>
      </c>
      <c r="E302" t="s">
        <v>669</v>
      </c>
      <c r="F302" t="s">
        <v>375</v>
      </c>
      <c r="G302" t="s">
        <v>67</v>
      </c>
      <c r="H302">
        <v>1</v>
      </c>
      <c r="I302">
        <v>4.7</v>
      </c>
      <c r="J302">
        <v>0</v>
      </c>
      <c r="K302" t="s">
        <v>19</v>
      </c>
      <c r="L302" t="s">
        <v>20</v>
      </c>
      <c r="M302" t="s">
        <v>28</v>
      </c>
      <c r="N302" t="s">
        <v>19</v>
      </c>
      <c r="O302">
        <v>0.25</v>
      </c>
      <c r="P302" t="s">
        <v>51</v>
      </c>
    </row>
    <row r="303" spans="1:16" x14ac:dyDescent="0.3">
      <c r="A303">
        <v>301</v>
      </c>
      <c r="B303" t="s">
        <v>117</v>
      </c>
      <c r="C303" t="s">
        <v>664</v>
      </c>
      <c r="D303" t="s">
        <v>667</v>
      </c>
      <c r="E303" t="s">
        <v>670</v>
      </c>
      <c r="F303" t="s">
        <v>47</v>
      </c>
      <c r="G303" t="s">
        <v>67</v>
      </c>
      <c r="H303">
        <v>1</v>
      </c>
      <c r="I303">
        <v>4.4000000000000004</v>
      </c>
      <c r="J303">
        <v>10</v>
      </c>
      <c r="K303" t="s">
        <v>19</v>
      </c>
      <c r="L303" t="s">
        <v>20</v>
      </c>
      <c r="M303" t="s">
        <v>169</v>
      </c>
      <c r="N303" t="s">
        <v>19</v>
      </c>
      <c r="O303">
        <v>0.31</v>
      </c>
      <c r="P303" t="s">
        <v>51</v>
      </c>
    </row>
    <row r="304" spans="1:16" x14ac:dyDescent="0.3">
      <c r="A304">
        <v>302</v>
      </c>
      <c r="B304" t="s">
        <v>15</v>
      </c>
      <c r="C304" t="s">
        <v>671</v>
      </c>
      <c r="D304" t="s">
        <v>672</v>
      </c>
      <c r="E304" t="s">
        <v>673</v>
      </c>
      <c r="F304" t="s">
        <v>109</v>
      </c>
      <c r="G304">
        <v>2010</v>
      </c>
      <c r="H304">
        <v>3</v>
      </c>
      <c r="I304">
        <v>4.4000000000000004</v>
      </c>
      <c r="J304">
        <v>1100</v>
      </c>
      <c r="K304" t="s">
        <v>19</v>
      </c>
      <c r="L304" t="s">
        <v>32</v>
      </c>
      <c r="M304" t="s">
        <v>109</v>
      </c>
      <c r="N304" t="s">
        <v>19</v>
      </c>
      <c r="O304">
        <v>0.3</v>
      </c>
      <c r="P304" t="s">
        <v>25</v>
      </c>
    </row>
    <row r="305" spans="1:16" x14ac:dyDescent="0.3">
      <c r="A305">
        <v>303</v>
      </c>
      <c r="B305" t="s">
        <v>15</v>
      </c>
      <c r="C305" t="s">
        <v>671</v>
      </c>
      <c r="D305" t="s">
        <v>672</v>
      </c>
      <c r="E305" t="s">
        <v>674</v>
      </c>
      <c r="F305" t="s">
        <v>675</v>
      </c>
      <c r="G305" t="s">
        <v>67</v>
      </c>
      <c r="H305">
        <v>2</v>
      </c>
      <c r="I305">
        <v>4.5999999999999996</v>
      </c>
      <c r="J305">
        <v>0</v>
      </c>
      <c r="K305" t="s">
        <v>19</v>
      </c>
      <c r="L305" t="s">
        <v>20</v>
      </c>
      <c r="M305" t="s">
        <v>676</v>
      </c>
      <c r="N305" t="s">
        <v>19</v>
      </c>
      <c r="O305">
        <v>1.2</v>
      </c>
      <c r="P305" t="s">
        <v>25</v>
      </c>
    </row>
    <row r="306" spans="1:16" x14ac:dyDescent="0.3">
      <c r="A306">
        <v>304</v>
      </c>
      <c r="B306" t="s">
        <v>15</v>
      </c>
      <c r="C306" t="s">
        <v>671</v>
      </c>
      <c r="D306" t="s">
        <v>672</v>
      </c>
      <c r="E306" t="s">
        <v>677</v>
      </c>
      <c r="F306" t="s">
        <v>678</v>
      </c>
      <c r="G306" t="s">
        <v>67</v>
      </c>
      <c r="H306">
        <v>2</v>
      </c>
      <c r="I306">
        <v>4.7</v>
      </c>
      <c r="J306">
        <v>0</v>
      </c>
      <c r="K306" t="s">
        <v>19</v>
      </c>
      <c r="L306" t="s">
        <v>20</v>
      </c>
      <c r="M306" t="s">
        <v>109</v>
      </c>
      <c r="N306" t="s">
        <v>19</v>
      </c>
      <c r="O306">
        <v>0.71</v>
      </c>
      <c r="P306" t="s">
        <v>25</v>
      </c>
    </row>
    <row r="307" spans="1:16" x14ac:dyDescent="0.3">
      <c r="A307">
        <v>305</v>
      </c>
      <c r="B307" t="s">
        <v>15</v>
      </c>
      <c r="C307" t="s">
        <v>16</v>
      </c>
      <c r="D307" t="s">
        <v>679</v>
      </c>
      <c r="E307" t="s">
        <v>680</v>
      </c>
      <c r="F307" t="s">
        <v>375</v>
      </c>
      <c r="G307" t="s">
        <v>67</v>
      </c>
      <c r="H307">
        <v>1</v>
      </c>
      <c r="I307">
        <v>4.8</v>
      </c>
      <c r="J307">
        <v>0</v>
      </c>
      <c r="K307" t="s">
        <v>19</v>
      </c>
      <c r="L307" t="s">
        <v>20</v>
      </c>
      <c r="M307" t="s">
        <v>28</v>
      </c>
      <c r="N307" t="s">
        <v>19</v>
      </c>
      <c r="O307">
        <v>1.05</v>
      </c>
      <c r="P307" t="s">
        <v>51</v>
      </c>
    </row>
    <row r="308" spans="1:16" x14ac:dyDescent="0.3">
      <c r="A308">
        <v>306</v>
      </c>
      <c r="B308" t="s">
        <v>15</v>
      </c>
      <c r="C308" t="s">
        <v>385</v>
      </c>
      <c r="D308" t="s">
        <v>681</v>
      </c>
      <c r="E308" t="s">
        <v>681</v>
      </c>
      <c r="F308" t="s">
        <v>27</v>
      </c>
      <c r="G308" t="s">
        <v>67</v>
      </c>
      <c r="H308">
        <v>1.5</v>
      </c>
      <c r="I308">
        <v>4.8</v>
      </c>
      <c r="J308">
        <v>0</v>
      </c>
      <c r="K308" t="s">
        <v>29</v>
      </c>
      <c r="L308" t="s">
        <v>20</v>
      </c>
      <c r="M308" t="s">
        <v>28</v>
      </c>
      <c r="N308" t="s">
        <v>29</v>
      </c>
      <c r="O308">
        <v>2</v>
      </c>
      <c r="P308" t="s">
        <v>51</v>
      </c>
    </row>
    <row r="309" spans="1:16" x14ac:dyDescent="0.3">
      <c r="A309">
        <v>307</v>
      </c>
      <c r="B309" t="s">
        <v>306</v>
      </c>
      <c r="C309" t="s">
        <v>415</v>
      </c>
      <c r="D309" t="s">
        <v>437</v>
      </c>
      <c r="E309" t="s">
        <v>682</v>
      </c>
      <c r="F309" t="s">
        <v>675</v>
      </c>
      <c r="G309">
        <v>2016</v>
      </c>
      <c r="H309">
        <v>2</v>
      </c>
      <c r="I309">
        <v>4.5999999999999996</v>
      </c>
      <c r="J309">
        <v>0</v>
      </c>
      <c r="K309" t="s">
        <v>19</v>
      </c>
      <c r="L309" t="s">
        <v>20</v>
      </c>
      <c r="M309" t="s">
        <v>676</v>
      </c>
      <c r="N309" t="s">
        <v>19</v>
      </c>
      <c r="O309">
        <v>1.5</v>
      </c>
      <c r="P309" t="s">
        <v>51</v>
      </c>
    </row>
    <row r="310" spans="1:16" x14ac:dyDescent="0.3">
      <c r="A310">
        <v>308</v>
      </c>
      <c r="B310" t="s">
        <v>306</v>
      </c>
      <c r="C310" t="s">
        <v>415</v>
      </c>
      <c r="D310" t="s">
        <v>683</v>
      </c>
      <c r="E310" t="s">
        <v>684</v>
      </c>
      <c r="F310" t="s">
        <v>675</v>
      </c>
      <c r="G310" t="s">
        <v>67</v>
      </c>
      <c r="H310">
        <v>2</v>
      </c>
      <c r="I310">
        <v>4.2</v>
      </c>
      <c r="J310">
        <v>0</v>
      </c>
      <c r="K310" t="s">
        <v>19</v>
      </c>
      <c r="L310" t="s">
        <v>20</v>
      </c>
      <c r="M310" t="s">
        <v>676</v>
      </c>
      <c r="N310" t="s">
        <v>19</v>
      </c>
      <c r="O310">
        <v>0.45</v>
      </c>
      <c r="P310" t="s">
        <v>51</v>
      </c>
    </row>
    <row r="311" spans="1:16" x14ac:dyDescent="0.3">
      <c r="A311">
        <v>309</v>
      </c>
      <c r="B311" t="s">
        <v>87</v>
      </c>
      <c r="C311" t="s">
        <v>88</v>
      </c>
      <c r="D311" t="s">
        <v>685</v>
      </c>
      <c r="E311" t="s">
        <v>249</v>
      </c>
      <c r="F311" t="s">
        <v>82</v>
      </c>
      <c r="G311">
        <v>2005</v>
      </c>
      <c r="H311">
        <v>4</v>
      </c>
      <c r="I311">
        <v>4.5</v>
      </c>
      <c r="J311">
        <v>890</v>
      </c>
      <c r="K311" t="s">
        <v>19</v>
      </c>
      <c r="L311" t="s">
        <v>20</v>
      </c>
      <c r="M311" t="s">
        <v>109</v>
      </c>
      <c r="N311" t="s">
        <v>19</v>
      </c>
      <c r="O311">
        <v>0.95</v>
      </c>
      <c r="P311" t="s">
        <v>51</v>
      </c>
    </row>
    <row r="312" spans="1:16" x14ac:dyDescent="0.3">
      <c r="A312">
        <v>310</v>
      </c>
      <c r="B312" t="s">
        <v>117</v>
      </c>
      <c r="C312" t="s">
        <v>502</v>
      </c>
      <c r="D312" t="s">
        <v>508</v>
      </c>
      <c r="E312" t="s">
        <v>686</v>
      </c>
      <c r="F312" t="s">
        <v>56</v>
      </c>
      <c r="G312">
        <v>1960</v>
      </c>
      <c r="H312">
        <v>3</v>
      </c>
      <c r="I312">
        <v>4.4000000000000004</v>
      </c>
      <c r="J312">
        <v>50</v>
      </c>
      <c r="K312" t="s">
        <v>19</v>
      </c>
      <c r="L312" t="s">
        <v>32</v>
      </c>
      <c r="M312" t="s">
        <v>73</v>
      </c>
      <c r="N312" t="s">
        <v>19</v>
      </c>
      <c r="O312">
        <v>0.81</v>
      </c>
      <c r="P312" t="s">
        <v>25</v>
      </c>
    </row>
    <row r="313" spans="1:16" x14ac:dyDescent="0.3">
      <c r="A313">
        <v>311</v>
      </c>
      <c r="B313" t="s">
        <v>87</v>
      </c>
      <c r="C313" t="s">
        <v>88</v>
      </c>
      <c r="D313" t="s">
        <v>685</v>
      </c>
      <c r="E313" t="s">
        <v>687</v>
      </c>
      <c r="F313" t="s">
        <v>675</v>
      </c>
      <c r="G313">
        <v>2012</v>
      </c>
      <c r="H313">
        <v>2</v>
      </c>
      <c r="I313">
        <v>4.5</v>
      </c>
      <c r="J313">
        <v>0</v>
      </c>
      <c r="K313" t="s">
        <v>19</v>
      </c>
      <c r="L313" t="s">
        <v>20</v>
      </c>
      <c r="M313" t="s">
        <v>676</v>
      </c>
      <c r="N313" t="s">
        <v>19</v>
      </c>
      <c r="O313">
        <v>1.8</v>
      </c>
      <c r="P313" t="s">
        <v>51</v>
      </c>
    </row>
    <row r="314" spans="1:16" x14ac:dyDescent="0.3">
      <c r="A314">
        <v>312</v>
      </c>
      <c r="B314" t="s">
        <v>87</v>
      </c>
      <c r="C314" t="s">
        <v>100</v>
      </c>
      <c r="D314" t="s">
        <v>101</v>
      </c>
      <c r="E314" t="s">
        <v>688</v>
      </c>
      <c r="F314" t="s">
        <v>675</v>
      </c>
      <c r="G314">
        <v>2004</v>
      </c>
      <c r="H314">
        <v>2</v>
      </c>
      <c r="I314">
        <v>4.5</v>
      </c>
      <c r="J314">
        <v>0</v>
      </c>
      <c r="K314" t="s">
        <v>19</v>
      </c>
      <c r="L314" t="s">
        <v>20</v>
      </c>
      <c r="M314" t="s">
        <v>676</v>
      </c>
      <c r="N314" t="s">
        <v>19</v>
      </c>
      <c r="O314">
        <v>1.2</v>
      </c>
      <c r="P314" t="s">
        <v>51</v>
      </c>
    </row>
    <row r="315" spans="1:16" x14ac:dyDescent="0.3">
      <c r="A315">
        <v>313</v>
      </c>
      <c r="B315" t="s">
        <v>15</v>
      </c>
      <c r="C315" t="s">
        <v>16</v>
      </c>
      <c r="D315" t="s">
        <v>679</v>
      </c>
      <c r="E315" t="s">
        <v>689</v>
      </c>
      <c r="F315" t="s">
        <v>690</v>
      </c>
      <c r="G315">
        <v>1656</v>
      </c>
      <c r="H315">
        <v>1</v>
      </c>
      <c r="I315">
        <v>4.5</v>
      </c>
      <c r="J315">
        <v>0</v>
      </c>
      <c r="K315" t="s">
        <v>19</v>
      </c>
      <c r="L315" t="s">
        <v>20</v>
      </c>
      <c r="M315" t="s">
        <v>21</v>
      </c>
      <c r="N315" t="s">
        <v>19</v>
      </c>
      <c r="O315">
        <v>0.49</v>
      </c>
      <c r="P315" t="s">
        <v>51</v>
      </c>
    </row>
    <row r="316" spans="1:16" x14ac:dyDescent="0.3">
      <c r="A316">
        <v>314</v>
      </c>
      <c r="B316" t="s">
        <v>87</v>
      </c>
      <c r="C316" t="s">
        <v>530</v>
      </c>
      <c r="D316" t="s">
        <v>536</v>
      </c>
      <c r="E316" t="s">
        <v>537</v>
      </c>
      <c r="F316" t="s">
        <v>27</v>
      </c>
      <c r="G316" t="s">
        <v>67</v>
      </c>
      <c r="H316">
        <v>1.5</v>
      </c>
      <c r="I316">
        <v>4.7</v>
      </c>
      <c r="J316">
        <v>0</v>
      </c>
      <c r="K316" t="s">
        <v>19</v>
      </c>
      <c r="L316" t="s">
        <v>20</v>
      </c>
      <c r="M316" t="s">
        <v>28</v>
      </c>
      <c r="N316" t="s">
        <v>29</v>
      </c>
      <c r="O316">
        <v>0.1</v>
      </c>
      <c r="P316" t="s">
        <v>51</v>
      </c>
    </row>
    <row r="317" spans="1:16" x14ac:dyDescent="0.3">
      <c r="A317">
        <v>315</v>
      </c>
      <c r="B317" t="s">
        <v>306</v>
      </c>
      <c r="C317" t="s">
        <v>415</v>
      </c>
      <c r="D317" t="s">
        <v>683</v>
      </c>
      <c r="E317" t="s">
        <v>691</v>
      </c>
      <c r="F317" t="s">
        <v>692</v>
      </c>
      <c r="G317">
        <v>2011</v>
      </c>
      <c r="H317">
        <v>2</v>
      </c>
      <c r="I317">
        <v>4.5999999999999996</v>
      </c>
      <c r="J317">
        <v>1500</v>
      </c>
      <c r="K317" t="s">
        <v>19</v>
      </c>
      <c r="L317" t="s">
        <v>40</v>
      </c>
      <c r="M317" t="s">
        <v>129</v>
      </c>
      <c r="N317" t="s">
        <v>19</v>
      </c>
      <c r="O317">
        <v>7.4</v>
      </c>
      <c r="P317" t="s">
        <v>51</v>
      </c>
    </row>
    <row r="318" spans="1:16" x14ac:dyDescent="0.3">
      <c r="A318">
        <v>316</v>
      </c>
      <c r="B318" t="s">
        <v>306</v>
      </c>
      <c r="C318" t="s">
        <v>415</v>
      </c>
      <c r="D318" t="s">
        <v>420</v>
      </c>
      <c r="E318" t="s">
        <v>693</v>
      </c>
      <c r="F318" t="s">
        <v>675</v>
      </c>
      <c r="G318">
        <v>2020</v>
      </c>
      <c r="H318">
        <v>2</v>
      </c>
      <c r="I318">
        <v>4.5999999999999996</v>
      </c>
      <c r="J318">
        <v>0</v>
      </c>
      <c r="K318" t="s">
        <v>19</v>
      </c>
      <c r="L318" t="s">
        <v>20</v>
      </c>
      <c r="M318" t="s">
        <v>676</v>
      </c>
      <c r="N318" t="s">
        <v>19</v>
      </c>
      <c r="O318">
        <v>0.35</v>
      </c>
      <c r="P318" t="s">
        <v>51</v>
      </c>
    </row>
    <row r="319" spans="1:16" x14ac:dyDescent="0.3">
      <c r="A319">
        <v>317</v>
      </c>
      <c r="B319" t="s">
        <v>87</v>
      </c>
      <c r="C319" t="s">
        <v>219</v>
      </c>
      <c r="D319" t="s">
        <v>225</v>
      </c>
      <c r="E319" t="s">
        <v>694</v>
      </c>
      <c r="F319" t="s">
        <v>675</v>
      </c>
      <c r="G319">
        <v>2013</v>
      </c>
      <c r="H319">
        <v>3</v>
      </c>
      <c r="I319">
        <v>4.5999999999999996</v>
      </c>
      <c r="J319">
        <v>0</v>
      </c>
      <c r="K319" t="s">
        <v>19</v>
      </c>
      <c r="L319" t="s">
        <v>20</v>
      </c>
      <c r="M319" t="s">
        <v>676</v>
      </c>
      <c r="N319" t="s">
        <v>19</v>
      </c>
      <c r="O319">
        <v>1.9</v>
      </c>
      <c r="P319" t="s">
        <v>51</v>
      </c>
    </row>
    <row r="320" spans="1:16" x14ac:dyDescent="0.3">
      <c r="A320">
        <v>318</v>
      </c>
      <c r="B320" t="s">
        <v>15</v>
      </c>
      <c r="C320" t="s">
        <v>16</v>
      </c>
      <c r="D320" t="s">
        <v>679</v>
      </c>
      <c r="E320" t="s">
        <v>695</v>
      </c>
      <c r="F320" t="s">
        <v>53</v>
      </c>
      <c r="G320">
        <v>1977</v>
      </c>
      <c r="H320">
        <v>2</v>
      </c>
      <c r="I320">
        <v>4.4000000000000004</v>
      </c>
      <c r="J320">
        <v>50</v>
      </c>
      <c r="K320" t="s">
        <v>19</v>
      </c>
      <c r="L320" t="s">
        <v>32</v>
      </c>
      <c r="M320" t="s">
        <v>169</v>
      </c>
      <c r="N320" t="s">
        <v>19</v>
      </c>
      <c r="O320">
        <v>0.24</v>
      </c>
      <c r="P320" t="s">
        <v>37</v>
      </c>
    </row>
    <row r="321" spans="1:16" x14ac:dyDescent="0.3">
      <c r="A321">
        <v>319</v>
      </c>
      <c r="B321" t="s">
        <v>606</v>
      </c>
      <c r="C321" t="s">
        <v>696</v>
      </c>
      <c r="D321" t="s">
        <v>697</v>
      </c>
      <c r="E321" t="s">
        <v>698</v>
      </c>
      <c r="F321" t="s">
        <v>654</v>
      </c>
      <c r="G321" t="s">
        <v>67</v>
      </c>
      <c r="H321">
        <v>2</v>
      </c>
      <c r="I321">
        <v>4.5999999999999996</v>
      </c>
      <c r="J321">
        <v>0</v>
      </c>
      <c r="K321" t="s">
        <v>29</v>
      </c>
      <c r="L321" t="s">
        <v>20</v>
      </c>
      <c r="M321" t="s">
        <v>94</v>
      </c>
      <c r="N321" t="s">
        <v>19</v>
      </c>
      <c r="O321">
        <v>0.06</v>
      </c>
      <c r="P321" t="s">
        <v>37</v>
      </c>
    </row>
    <row r="322" spans="1:16" x14ac:dyDescent="0.3">
      <c r="A322">
        <v>320</v>
      </c>
      <c r="B322" t="s">
        <v>62</v>
      </c>
      <c r="C322" t="s">
        <v>154</v>
      </c>
      <c r="D322" t="s">
        <v>172</v>
      </c>
      <c r="E322" t="s">
        <v>699</v>
      </c>
      <c r="F322" t="s">
        <v>27</v>
      </c>
      <c r="G322">
        <v>1992</v>
      </c>
      <c r="H322">
        <v>3</v>
      </c>
      <c r="I322">
        <v>4.5999999999999996</v>
      </c>
      <c r="J322">
        <v>0</v>
      </c>
      <c r="K322" t="s">
        <v>19</v>
      </c>
      <c r="L322" t="s">
        <v>32</v>
      </c>
      <c r="M322" t="s">
        <v>28</v>
      </c>
      <c r="N322" t="s">
        <v>29</v>
      </c>
      <c r="O322">
        <v>0.18</v>
      </c>
      <c r="P322" t="s">
        <v>51</v>
      </c>
    </row>
    <row r="323" spans="1:16" x14ac:dyDescent="0.3">
      <c r="A323">
        <v>321</v>
      </c>
      <c r="B323" t="s">
        <v>306</v>
      </c>
      <c r="C323" t="s">
        <v>415</v>
      </c>
      <c r="D323" t="s">
        <v>416</v>
      </c>
      <c r="E323" t="s">
        <v>700</v>
      </c>
      <c r="F323" t="s">
        <v>43</v>
      </c>
      <c r="G323">
        <v>1565</v>
      </c>
      <c r="H323">
        <v>2</v>
      </c>
      <c r="I323">
        <v>4.5</v>
      </c>
      <c r="J323">
        <v>40</v>
      </c>
      <c r="K323" t="s">
        <v>19</v>
      </c>
      <c r="L323" t="s">
        <v>20</v>
      </c>
      <c r="M323" t="s">
        <v>21</v>
      </c>
      <c r="N323" t="s">
        <v>19</v>
      </c>
      <c r="O323">
        <v>1.3</v>
      </c>
      <c r="P323" t="s">
        <v>25</v>
      </c>
    </row>
    <row r="324" spans="1:16" x14ac:dyDescent="0.3">
      <c r="A324">
        <v>322</v>
      </c>
      <c r="B324" t="s">
        <v>306</v>
      </c>
      <c r="C324" t="s">
        <v>307</v>
      </c>
      <c r="D324" t="s">
        <v>311</v>
      </c>
      <c r="E324" t="s">
        <v>701</v>
      </c>
      <c r="F324" t="s">
        <v>53</v>
      </c>
      <c r="G324">
        <v>2013</v>
      </c>
      <c r="H324">
        <v>2</v>
      </c>
      <c r="I324">
        <v>4.7</v>
      </c>
      <c r="J324">
        <v>10</v>
      </c>
      <c r="K324" t="s">
        <v>19</v>
      </c>
      <c r="L324" t="s">
        <v>32</v>
      </c>
      <c r="M324" t="s">
        <v>169</v>
      </c>
      <c r="N324" t="s">
        <v>19</v>
      </c>
      <c r="O324">
        <v>0.15</v>
      </c>
      <c r="P324" t="s">
        <v>51</v>
      </c>
    </row>
    <row r="325" spans="1:16" x14ac:dyDescent="0.3">
      <c r="A325">
        <v>323</v>
      </c>
      <c r="B325" t="s">
        <v>15</v>
      </c>
      <c r="C325" t="s">
        <v>181</v>
      </c>
      <c r="D325" t="s">
        <v>182</v>
      </c>
      <c r="E325" t="s">
        <v>185</v>
      </c>
      <c r="F325" t="s">
        <v>91</v>
      </c>
      <c r="G325">
        <v>1727</v>
      </c>
      <c r="H325">
        <v>2</v>
      </c>
      <c r="I325">
        <v>4.4000000000000004</v>
      </c>
      <c r="J325">
        <v>200</v>
      </c>
      <c r="K325" t="s">
        <v>19</v>
      </c>
      <c r="L325" t="s">
        <v>20</v>
      </c>
      <c r="M325" t="s">
        <v>21</v>
      </c>
      <c r="N325" t="s">
        <v>19</v>
      </c>
      <c r="O325">
        <v>0.51</v>
      </c>
      <c r="P325" t="s">
        <v>37</v>
      </c>
    </row>
    <row r="326" spans="1:16" x14ac:dyDescent="0.3">
      <c r="A326">
        <v>324</v>
      </c>
      <c r="B326" t="s">
        <v>15</v>
      </c>
      <c r="C326" t="s">
        <v>181</v>
      </c>
      <c r="D326" t="s">
        <v>182</v>
      </c>
      <c r="E326" t="s">
        <v>702</v>
      </c>
      <c r="F326" t="s">
        <v>53</v>
      </c>
      <c r="G326">
        <v>1887</v>
      </c>
      <c r="H326">
        <v>2</v>
      </c>
      <c r="I326">
        <v>4.5</v>
      </c>
      <c r="J326">
        <v>200</v>
      </c>
      <c r="K326" t="s">
        <v>19</v>
      </c>
      <c r="L326" t="s">
        <v>20</v>
      </c>
      <c r="M326" t="s">
        <v>21</v>
      </c>
      <c r="N326" t="s">
        <v>19</v>
      </c>
      <c r="O326">
        <v>0.63</v>
      </c>
      <c r="P326"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26"/>
  <sheetViews>
    <sheetView topLeftCell="A2" zoomScale="85" zoomScaleNormal="85" workbookViewId="0">
      <selection activeCell="D15" sqref="A2:Y326"/>
    </sheetView>
  </sheetViews>
  <sheetFormatPr defaultRowHeight="14.4" x14ac:dyDescent="0.3"/>
  <cols>
    <col min="1" max="1" width="13.33203125" bestFit="1" customWidth="1"/>
    <col min="2" max="2" width="27.5546875" bestFit="1" customWidth="1"/>
    <col min="3" max="3" width="19.6640625" bestFit="1" customWidth="1"/>
    <col min="4" max="4" width="43.6640625" bestFit="1" customWidth="1"/>
    <col min="5" max="5" width="26.109375" bestFit="1" customWidth="1"/>
    <col min="6" max="6" width="18.88671875" bestFit="1" customWidth="1"/>
    <col min="7" max="7" width="14.109375" bestFit="1" customWidth="1"/>
    <col min="8" max="8" width="13.33203125" bestFit="1" customWidth="1"/>
    <col min="9" max="9" width="15.5546875" bestFit="1" customWidth="1"/>
    <col min="10" max="10" width="17.44140625" bestFit="1" customWidth="1"/>
    <col min="11" max="11" width="10.88671875" bestFit="1" customWidth="1"/>
    <col min="12" max="12" width="20.109375" bestFit="1" customWidth="1"/>
    <col min="13" max="13" width="11.6640625" bestFit="1" customWidth="1"/>
    <col min="14" max="14" width="18.44140625" bestFit="1" customWidth="1"/>
    <col min="15" max="15" width="13.88671875" bestFit="1" customWidth="1"/>
    <col min="16" max="16" width="22.109375" bestFit="1" customWidth="1"/>
    <col min="17" max="17" width="18.109375" bestFit="1" customWidth="1"/>
    <col min="18" max="18" width="14" bestFit="1" customWidth="1"/>
    <col min="19" max="19" width="13.88671875" bestFit="1" customWidth="1"/>
    <col min="20" max="20" width="14.33203125" bestFit="1" customWidth="1"/>
    <col min="21" max="21" width="10.44140625" bestFit="1" customWidth="1"/>
    <col min="22" max="22" width="19.5546875" bestFit="1" customWidth="1"/>
    <col min="24" max="24" width="10.5546875" bestFit="1" customWidth="1"/>
    <col min="25" max="25" width="15.109375" bestFit="1" customWidth="1"/>
  </cols>
  <sheetData>
    <row r="1" spans="1:25" x14ac:dyDescent="0.3">
      <c r="A1" s="2" t="s">
        <v>0</v>
      </c>
      <c r="B1" s="2" t="s">
        <v>1</v>
      </c>
      <c r="C1" s="2" t="s">
        <v>2</v>
      </c>
      <c r="D1" s="2" t="s">
        <v>3</v>
      </c>
      <c r="E1" s="2" t="s">
        <v>4</v>
      </c>
      <c r="F1" s="1" t="s">
        <v>704</v>
      </c>
      <c r="G1" s="1" t="s">
        <v>705</v>
      </c>
      <c r="H1" s="1" t="s">
        <v>706</v>
      </c>
      <c r="I1" s="1" t="s">
        <v>713</v>
      </c>
      <c r="J1" s="1" t="s">
        <v>707</v>
      </c>
      <c r="K1" s="1" t="s">
        <v>703</v>
      </c>
      <c r="L1" s="2" t="s">
        <v>708</v>
      </c>
      <c r="M1" s="2" t="s">
        <v>709</v>
      </c>
      <c r="N1" s="2" t="s">
        <v>11</v>
      </c>
      <c r="O1" s="2" t="s">
        <v>710</v>
      </c>
      <c r="P1" s="5" t="s">
        <v>711</v>
      </c>
      <c r="Q1" s="2" t="s">
        <v>712</v>
      </c>
      <c r="R1" s="2" t="s">
        <v>714</v>
      </c>
      <c r="S1" s="2" t="s">
        <v>715</v>
      </c>
      <c r="T1" s="2" t="s">
        <v>716</v>
      </c>
      <c r="U1" s="2" t="s">
        <v>717</v>
      </c>
      <c r="V1" s="2" t="s">
        <v>719</v>
      </c>
      <c r="W1" s="2" t="s">
        <v>718</v>
      </c>
      <c r="X1" s="2" t="s">
        <v>723</v>
      </c>
      <c r="Y1" s="2" t="s">
        <v>724</v>
      </c>
    </row>
    <row r="2" spans="1:25" x14ac:dyDescent="0.3">
      <c r="A2" s="2" t="s">
        <v>15</v>
      </c>
      <c r="B2" s="2" t="s">
        <v>16</v>
      </c>
      <c r="C2" s="2" t="s">
        <v>16</v>
      </c>
      <c r="D2" s="2" t="s">
        <v>17</v>
      </c>
      <c r="E2" s="2" t="s">
        <v>18</v>
      </c>
      <c r="F2" s="1">
        <v>1921</v>
      </c>
      <c r="G2" s="1">
        <v>0.5</v>
      </c>
      <c r="H2" s="1">
        <v>4.5999999999999996</v>
      </c>
      <c r="I2" s="1" t="str">
        <f>IF(Table13[[#This Row],[Reiew_Rating]]&gt;=4.5,"Excellent",
IF(Table13[[#This Row],[Reiew_Rating]]&gt;=4,"Good","Average"))</f>
        <v>Excellent</v>
      </c>
      <c r="J2" s="1">
        <v>0</v>
      </c>
      <c r="K2" s="1" t="str">
        <f>IF(Table13[[#This Row],[Entrance_Fee_INR]]=0,"Free","Paid")</f>
        <v>Free</v>
      </c>
      <c r="L2" s="2" t="s">
        <v>19</v>
      </c>
      <c r="M2" s="2" t="s">
        <v>57</v>
      </c>
      <c r="N2" s="2" t="s">
        <v>21</v>
      </c>
      <c r="O2" s="2" t="s">
        <v>19</v>
      </c>
      <c r="P2" s="3">
        <v>2.6</v>
      </c>
      <c r="Q2" s="2" t="s">
        <v>22</v>
      </c>
      <c r="R2" s="4" t="str">
        <f>IF(Table13[[#This Row],[Number_Review_Lakhs]]&gt;=1,"Highly Popular", IF(Table13[[#This Row],[Number_Review_Lakhs]]&gt;=0.5,"Popular","Less Popular"))</f>
        <v>Highly Popular</v>
      </c>
      <c r="S2" s="1" t="str">
        <f>IF(Table13[[#This Row],[Visit_Time_Hrs]]&lt;=2,"Short Visit", IF(Table13[[#This Row],[Visit_Time_Hrs]]&lt;=5,"Medium Visit","Full Day"))</f>
        <v>Short Visit</v>
      </c>
      <c r="T2" s="1" t="str">
        <f>IF(Table13[[#This Row],[Airport_50km_Radius]]="Yes","Accessible","Remote")</f>
        <v>Accessible</v>
      </c>
      <c r="U2" s="1" t="str">
        <f>IF(Table13[[#This Row],[Reiew_Rating]]&gt;=4.7,"Yes","No")</f>
        <v>No</v>
      </c>
      <c r="V2" s="1" t="str">
        <f t="shared" ref="V2:V65" si="0">IF(OR(N2="Historical",N2="Artistic",N2="Religious",N2="Architectural"), "Heritage &amp; Culture",
IF(OR(N2="Environmental",N2="Botanical",N2="Scenic",N2="Wildlife",N2="Nature"), "Nature &amp; Wildlife",
IF(OR(N2="Recreational",N2="Market",N2="Entertainment"), "Leisure &amp; Commerce",
IF(N2="Scientific", "Science &amp; Education", "Other"))))</f>
        <v>Heritage &amp; Culture</v>
      </c>
      <c r="W2" s="1" t="str">
        <f t="shared" ref="W2:W65" si="1">REPT("★", ROUND(H2, 0)) &amp; REPT("☆", 5 - ROUND(H2, 0))</f>
        <v>★★★★★</v>
      </c>
      <c r="X2" s="1" t="str">
        <f t="shared" ref="X2:X65" si="2">ROUND(H2, 0) &amp; " / 5 Stars"</f>
        <v>5 / 5 Stars</v>
      </c>
      <c r="Y2" s="1" t="str">
        <f t="shared" ref="Y2:Y65" si="3">IF(P2&gt;=1.5, "High Traffic", IF(P2&gt;=0.4, "Medium Traffic", "Low Traffic"))</f>
        <v>High Traffic</v>
      </c>
    </row>
    <row r="3" spans="1:25" x14ac:dyDescent="0.3">
      <c r="A3" s="2" t="s">
        <v>15</v>
      </c>
      <c r="B3" s="2" t="s">
        <v>16</v>
      </c>
      <c r="C3" s="2" t="s">
        <v>16</v>
      </c>
      <c r="D3" s="2" t="s">
        <v>23</v>
      </c>
      <c r="E3" s="2" t="s">
        <v>24</v>
      </c>
      <c r="F3" s="1">
        <v>1572</v>
      </c>
      <c r="G3" s="1">
        <v>2</v>
      </c>
      <c r="H3" s="1">
        <v>4.5</v>
      </c>
      <c r="I3" s="1" t="str">
        <f>IF(Table13[[#This Row],[Reiew_Rating]]&gt;=4.5,"Excellent",
IF(Table13[[#This Row],[Reiew_Rating]]&gt;=4,"Good","Average"))</f>
        <v>Excellent</v>
      </c>
      <c r="J3" s="1">
        <v>30</v>
      </c>
      <c r="K3" s="1" t="str">
        <f>IF(Table13[[#This Row],[Entrance_Fee_INR]]=0,"Free","Paid")</f>
        <v>Paid</v>
      </c>
      <c r="L3" s="2" t="s">
        <v>19</v>
      </c>
      <c r="M3" s="2" t="s">
        <v>57</v>
      </c>
      <c r="N3" s="2" t="s">
        <v>21</v>
      </c>
      <c r="O3" s="2" t="s">
        <v>19</v>
      </c>
      <c r="P3" s="3">
        <v>0.4</v>
      </c>
      <c r="Q3" s="2" t="s">
        <v>25</v>
      </c>
      <c r="R3" s="1" t="str">
        <f>IF(Table13[[#This Row],[Number_Review_Lakhs]]&gt;=1,"Highly Popular", IF(Table13[[#This Row],[Number_Review_Lakhs]]&gt;=0.5,"Popular","Less Popular"))</f>
        <v>Less Popular</v>
      </c>
      <c r="S3" s="1" t="str">
        <f>IF(Table13[[#This Row],[Visit_Time_Hrs]]&lt;=2,"Short Visit", IF(Table13[[#This Row],[Visit_Time_Hrs]]&lt;=5,"Medium Visit","Full Day"))</f>
        <v>Short Visit</v>
      </c>
      <c r="T3" s="1" t="str">
        <f>IF(Table13[[#This Row],[Airport_50km_Radius]]="Yes","Accessible","Remote")</f>
        <v>Accessible</v>
      </c>
      <c r="U3" s="1" t="str">
        <f>IF(Table13[[#This Row],[Reiew_Rating]]&gt;=4.7,"Yes","No")</f>
        <v>No</v>
      </c>
      <c r="V3" s="1" t="str">
        <f t="shared" si="0"/>
        <v>Heritage &amp; Culture</v>
      </c>
      <c r="W3" s="1" t="str">
        <f t="shared" si="1"/>
        <v>★★★★★</v>
      </c>
      <c r="X3" s="1" t="str">
        <f t="shared" si="2"/>
        <v>5 / 5 Stars</v>
      </c>
      <c r="Y3" s="1" t="str">
        <f t="shared" si="3"/>
        <v>Medium Traffic</v>
      </c>
    </row>
    <row r="4" spans="1:25" x14ac:dyDescent="0.3">
      <c r="A4" s="2" t="s">
        <v>15</v>
      </c>
      <c r="B4" s="2" t="s">
        <v>16</v>
      </c>
      <c r="C4" s="2" t="s">
        <v>16</v>
      </c>
      <c r="D4" s="2" t="s">
        <v>26</v>
      </c>
      <c r="E4" s="2" t="s">
        <v>27</v>
      </c>
      <c r="F4" s="1">
        <v>2005</v>
      </c>
      <c r="G4" s="1">
        <v>5</v>
      </c>
      <c r="H4" s="1">
        <v>4.5999999999999996</v>
      </c>
      <c r="I4" s="1" t="str">
        <f>IF(Table13[[#This Row],[Reiew_Rating]]&gt;=4.5,"Excellent",
IF(Table13[[#This Row],[Reiew_Rating]]&gt;=4,"Good","Average"))</f>
        <v>Excellent</v>
      </c>
      <c r="J4" s="1">
        <v>60</v>
      </c>
      <c r="K4" s="1" t="str">
        <f>IF(Table13[[#This Row],[Entrance_Fee_INR]]=0,"Free","Paid")</f>
        <v>Paid</v>
      </c>
      <c r="L4" s="2" t="s">
        <v>19</v>
      </c>
      <c r="M4" s="2" t="s">
        <v>40</v>
      </c>
      <c r="N4" s="2" t="s">
        <v>28</v>
      </c>
      <c r="O4" s="2" t="s">
        <v>29</v>
      </c>
      <c r="P4" s="3">
        <v>0.4</v>
      </c>
      <c r="Q4" s="2" t="s">
        <v>25</v>
      </c>
      <c r="R4" s="1" t="str">
        <f>IF(Table13[[#This Row],[Number_Review_Lakhs]]&gt;=1,"Highly Popular", IF(Table13[[#This Row],[Number_Review_Lakhs]]&gt;=0.5,"Popular","Less Popular"))</f>
        <v>Less Popular</v>
      </c>
      <c r="S4" s="1" t="str">
        <f>IF(Table13[[#This Row],[Visit_Time_Hrs]]&lt;=2,"Short Visit", IF(Table13[[#This Row],[Visit_Time_Hrs]]&lt;=5,"Medium Visit","Full Day"))</f>
        <v>Medium Visit</v>
      </c>
      <c r="T4" s="1" t="str">
        <f>IF(Table13[[#This Row],[Airport_50km_Radius]]="Yes","Accessible","Remote")</f>
        <v>Accessible</v>
      </c>
      <c r="U4" s="1" t="str">
        <f>IF(Table13[[#This Row],[Reiew_Rating]]&gt;=4.7,"Yes","No")</f>
        <v>No</v>
      </c>
      <c r="V4" s="1" t="str">
        <f t="shared" si="0"/>
        <v>Heritage &amp; Culture</v>
      </c>
      <c r="W4" s="1" t="str">
        <f t="shared" si="1"/>
        <v>★★★★★</v>
      </c>
      <c r="X4" s="1" t="str">
        <f t="shared" si="2"/>
        <v>5 / 5 Stars</v>
      </c>
      <c r="Y4" s="1" t="str">
        <f t="shared" si="3"/>
        <v>Medium Traffic</v>
      </c>
    </row>
    <row r="5" spans="1:25" x14ac:dyDescent="0.3">
      <c r="A5" s="2" t="s">
        <v>15</v>
      </c>
      <c r="B5" s="2" t="s">
        <v>16</v>
      </c>
      <c r="C5" s="2" t="s">
        <v>16</v>
      </c>
      <c r="D5" s="2" t="s">
        <v>30</v>
      </c>
      <c r="E5" s="2" t="s">
        <v>31</v>
      </c>
      <c r="F5" s="1">
        <v>2019</v>
      </c>
      <c r="G5" s="1">
        <v>2</v>
      </c>
      <c r="H5" s="1">
        <v>4.0999999999999996</v>
      </c>
      <c r="I5" s="1" t="str">
        <f>IF(Table13[[#This Row],[Reiew_Rating]]&gt;=4.5,"Excellent",
IF(Table13[[#This Row],[Reiew_Rating]]&gt;=4,"Good","Average"))</f>
        <v>Good</v>
      </c>
      <c r="J5" s="1">
        <v>50</v>
      </c>
      <c r="K5" s="1" t="str">
        <f>IF(Table13[[#This Row],[Entrance_Fee_INR]]=0,"Free","Paid")</f>
        <v>Paid</v>
      </c>
      <c r="L5" s="2" t="s">
        <v>19</v>
      </c>
      <c r="M5" s="2" t="s">
        <v>32</v>
      </c>
      <c r="N5" s="2" t="s">
        <v>33</v>
      </c>
      <c r="O5" s="2" t="s">
        <v>19</v>
      </c>
      <c r="P5" s="3">
        <v>0.27</v>
      </c>
      <c r="Q5" s="2" t="s">
        <v>22</v>
      </c>
      <c r="R5" s="1" t="str">
        <f>IF(Table13[[#This Row],[Number_Review_Lakhs]]&gt;=1,"Highly Popular", IF(Table13[[#This Row],[Number_Review_Lakhs]]&gt;=0.5,"Popular","Less Popular"))</f>
        <v>Less Popular</v>
      </c>
      <c r="S5" s="1" t="str">
        <f>IF(Table13[[#This Row],[Visit_Time_Hrs]]&lt;=2,"Short Visit", IF(Table13[[#This Row],[Visit_Time_Hrs]]&lt;=5,"Medium Visit","Full Day"))</f>
        <v>Short Visit</v>
      </c>
      <c r="T5" s="1" t="str">
        <f>IF(Table13[[#This Row],[Airport_50km_Radius]]="Yes","Accessible","Remote")</f>
        <v>Accessible</v>
      </c>
      <c r="U5" s="1" t="str">
        <f>IF(Table13[[#This Row],[Reiew_Rating]]&gt;=4.7,"Yes","No")</f>
        <v>No</v>
      </c>
      <c r="V5" s="1" t="str">
        <f t="shared" si="0"/>
        <v>Nature &amp; Wildlife</v>
      </c>
      <c r="W5" s="1" t="str">
        <f t="shared" si="1"/>
        <v>★★★★☆</v>
      </c>
      <c r="X5" s="1" t="str">
        <f t="shared" si="2"/>
        <v>4 / 5 Stars</v>
      </c>
      <c r="Y5" s="1" t="str">
        <f t="shared" si="3"/>
        <v>Low Traffic</v>
      </c>
    </row>
    <row r="6" spans="1:25" x14ac:dyDescent="0.3">
      <c r="A6" s="2" t="s">
        <v>15</v>
      </c>
      <c r="B6" s="2" t="s">
        <v>16</v>
      </c>
      <c r="C6" s="2" t="s">
        <v>16</v>
      </c>
      <c r="D6" s="2" t="s">
        <v>34</v>
      </c>
      <c r="E6" s="2" t="s">
        <v>35</v>
      </c>
      <c r="F6" s="1">
        <v>1724</v>
      </c>
      <c r="G6" s="1">
        <v>2</v>
      </c>
      <c r="H6" s="1">
        <v>4.2</v>
      </c>
      <c r="I6" s="1" t="str">
        <f>IF(Table13[[#This Row],[Reiew_Rating]]&gt;=4.5,"Excellent",
IF(Table13[[#This Row],[Reiew_Rating]]&gt;=4,"Good","Average"))</f>
        <v>Good</v>
      </c>
      <c r="J6" s="1">
        <v>15</v>
      </c>
      <c r="K6" s="1" t="str">
        <f>IF(Table13[[#This Row],[Entrance_Fee_INR]]=0,"Free","Paid")</f>
        <v>Paid</v>
      </c>
      <c r="L6" s="2" t="s">
        <v>19</v>
      </c>
      <c r="M6" s="2" t="s">
        <v>40</v>
      </c>
      <c r="N6" s="2" t="s">
        <v>36</v>
      </c>
      <c r="O6" s="2" t="s">
        <v>19</v>
      </c>
      <c r="P6" s="3">
        <v>0.31</v>
      </c>
      <c r="Q6" s="2" t="s">
        <v>37</v>
      </c>
      <c r="R6" s="1" t="str">
        <f>IF(Table13[[#This Row],[Number_Review_Lakhs]]&gt;=1,"Highly Popular", IF(Table13[[#This Row],[Number_Review_Lakhs]]&gt;=0.5,"Popular","Less Popular"))</f>
        <v>Less Popular</v>
      </c>
      <c r="S6" s="1" t="str">
        <f>IF(Table13[[#This Row],[Visit_Time_Hrs]]&lt;=2,"Short Visit", IF(Table13[[#This Row],[Visit_Time_Hrs]]&lt;=5,"Medium Visit","Full Day"))</f>
        <v>Short Visit</v>
      </c>
      <c r="T6" s="1" t="str">
        <f>IF(Table13[[#This Row],[Airport_50km_Radius]]="Yes","Accessible","Remote")</f>
        <v>Accessible</v>
      </c>
      <c r="U6" s="1" t="str">
        <f>IF(Table13[[#This Row],[Reiew_Rating]]&gt;=4.7,"Yes","No")</f>
        <v>No</v>
      </c>
      <c r="V6" s="1" t="str">
        <f t="shared" si="0"/>
        <v>Science &amp; Education</v>
      </c>
      <c r="W6" s="1" t="str">
        <f t="shared" si="1"/>
        <v>★★★★☆</v>
      </c>
      <c r="X6" s="1" t="str">
        <f t="shared" si="2"/>
        <v>4 / 5 Stars</v>
      </c>
      <c r="Y6" s="1" t="str">
        <f t="shared" si="3"/>
        <v>Low Traffic</v>
      </c>
    </row>
    <row r="7" spans="1:25" x14ac:dyDescent="0.3">
      <c r="A7" s="2" t="s">
        <v>15</v>
      </c>
      <c r="B7" s="2" t="s">
        <v>16</v>
      </c>
      <c r="C7" s="2" t="s">
        <v>16</v>
      </c>
      <c r="D7" s="2" t="s">
        <v>38</v>
      </c>
      <c r="E7" s="2" t="s">
        <v>39</v>
      </c>
      <c r="F7" s="1">
        <v>1700</v>
      </c>
      <c r="G7" s="1">
        <v>3</v>
      </c>
      <c r="H7" s="1">
        <v>4.2</v>
      </c>
      <c r="I7" s="1" t="str">
        <f>IF(Table13[[#This Row],[Reiew_Rating]]&gt;=4.5,"Excellent",
IF(Table13[[#This Row],[Reiew_Rating]]&gt;=4,"Good","Average"))</f>
        <v>Good</v>
      </c>
      <c r="J7" s="1">
        <v>0</v>
      </c>
      <c r="K7" s="1" t="str">
        <f>IF(Table13[[#This Row],[Entrance_Fee_INR]]=0,"Free","Paid")</f>
        <v>Free</v>
      </c>
      <c r="L7" s="2" t="s">
        <v>19</v>
      </c>
      <c r="M7" s="2" t="s">
        <v>40</v>
      </c>
      <c r="N7" s="2" t="s">
        <v>39</v>
      </c>
      <c r="O7" s="2" t="s">
        <v>19</v>
      </c>
      <c r="P7" s="3">
        <v>0.25</v>
      </c>
      <c r="Q7" s="2" t="s">
        <v>25</v>
      </c>
      <c r="R7" s="1" t="str">
        <f>IF(Table13[[#This Row],[Number_Review_Lakhs]]&gt;=1,"Highly Popular", IF(Table13[[#This Row],[Number_Review_Lakhs]]&gt;=0.5,"Popular","Less Popular"))</f>
        <v>Less Popular</v>
      </c>
      <c r="S7" s="1" t="str">
        <f>IF(Table13[[#This Row],[Visit_Time_Hrs]]&lt;=2,"Short Visit", IF(Table13[[#This Row],[Visit_Time_Hrs]]&lt;=5,"Medium Visit","Full Day"))</f>
        <v>Medium Visit</v>
      </c>
      <c r="T7" s="1" t="str">
        <f>IF(Table13[[#This Row],[Airport_50km_Radius]]="Yes","Accessible","Remote")</f>
        <v>Accessible</v>
      </c>
      <c r="U7" s="1" t="str">
        <f>IF(Table13[[#This Row],[Reiew_Rating]]&gt;=4.7,"Yes","No")</f>
        <v>No</v>
      </c>
      <c r="V7" s="1" t="str">
        <f t="shared" si="0"/>
        <v>Leisure &amp; Commerce</v>
      </c>
      <c r="W7" s="1" t="str">
        <f t="shared" si="1"/>
        <v>★★★★☆</v>
      </c>
      <c r="X7" s="1" t="str">
        <f t="shared" si="2"/>
        <v>4 / 5 Stars</v>
      </c>
      <c r="Y7" s="1" t="str">
        <f t="shared" si="3"/>
        <v>Low Traffic</v>
      </c>
    </row>
    <row r="8" spans="1:25" x14ac:dyDescent="0.3">
      <c r="A8" s="2" t="s">
        <v>15</v>
      </c>
      <c r="B8" s="2" t="s">
        <v>16</v>
      </c>
      <c r="C8" s="2" t="s">
        <v>16</v>
      </c>
      <c r="D8" s="2" t="s">
        <v>41</v>
      </c>
      <c r="E8" s="2" t="s">
        <v>27</v>
      </c>
      <c r="F8" s="1">
        <v>1986</v>
      </c>
      <c r="G8" s="1">
        <v>1</v>
      </c>
      <c r="H8" s="1">
        <v>4.5</v>
      </c>
      <c r="I8" s="1" t="str">
        <f>IF(Table13[[#This Row],[Reiew_Rating]]&gt;=4.5,"Excellent",
IF(Table13[[#This Row],[Reiew_Rating]]&gt;=4,"Good","Average"))</f>
        <v>Excellent</v>
      </c>
      <c r="J8" s="1">
        <v>0</v>
      </c>
      <c r="K8" s="1" t="str">
        <f>IF(Table13[[#This Row],[Entrance_Fee_INR]]=0,"Free","Paid")</f>
        <v>Free</v>
      </c>
      <c r="L8" s="2" t="s">
        <v>19</v>
      </c>
      <c r="M8" s="2" t="s">
        <v>32</v>
      </c>
      <c r="N8" s="2" t="s">
        <v>28</v>
      </c>
      <c r="O8" s="2" t="s">
        <v>19</v>
      </c>
      <c r="P8" s="3">
        <v>0.59</v>
      </c>
      <c r="Q8" s="2" t="s">
        <v>22</v>
      </c>
      <c r="R8" s="1" t="str">
        <f>IF(Table13[[#This Row],[Number_Review_Lakhs]]&gt;=1,"Highly Popular", IF(Table13[[#This Row],[Number_Review_Lakhs]]&gt;=0.5,"Popular","Less Popular"))</f>
        <v>Popular</v>
      </c>
      <c r="S8" s="1" t="str">
        <f>IF(Table13[[#This Row],[Visit_Time_Hrs]]&lt;=2,"Short Visit", IF(Table13[[#This Row],[Visit_Time_Hrs]]&lt;=5,"Medium Visit","Full Day"))</f>
        <v>Short Visit</v>
      </c>
      <c r="T8" s="1" t="str">
        <f>IF(Table13[[#This Row],[Airport_50km_Radius]]="Yes","Accessible","Remote")</f>
        <v>Accessible</v>
      </c>
      <c r="U8" s="1" t="str">
        <f>IF(Table13[[#This Row],[Reiew_Rating]]&gt;=4.7,"Yes","No")</f>
        <v>No</v>
      </c>
      <c r="V8" s="1" t="str">
        <f t="shared" si="0"/>
        <v>Heritage &amp; Culture</v>
      </c>
      <c r="W8" s="1" t="str">
        <f t="shared" si="1"/>
        <v>★★★★★</v>
      </c>
      <c r="X8" s="1" t="str">
        <f t="shared" si="2"/>
        <v>5 / 5 Stars</v>
      </c>
      <c r="Y8" s="1" t="str">
        <f t="shared" si="3"/>
        <v>Medium Traffic</v>
      </c>
    </row>
    <row r="9" spans="1:25" x14ac:dyDescent="0.3">
      <c r="A9" s="2" t="s">
        <v>15</v>
      </c>
      <c r="B9" s="2" t="s">
        <v>16</v>
      </c>
      <c r="C9" s="2" t="s">
        <v>16</v>
      </c>
      <c r="D9" s="2" t="s">
        <v>42</v>
      </c>
      <c r="E9" s="2" t="s">
        <v>43</v>
      </c>
      <c r="F9" s="1">
        <v>1648</v>
      </c>
      <c r="G9" s="1">
        <v>2</v>
      </c>
      <c r="H9" s="1">
        <v>4.5</v>
      </c>
      <c r="I9" s="1" t="str">
        <f>IF(Table13[[#This Row],[Reiew_Rating]]&gt;=4.5,"Excellent",
IF(Table13[[#This Row],[Reiew_Rating]]&gt;=4,"Good","Average"))</f>
        <v>Excellent</v>
      </c>
      <c r="J9" s="1">
        <v>35</v>
      </c>
      <c r="K9" s="1" t="str">
        <f>IF(Table13[[#This Row],[Entrance_Fee_INR]]=0,"Free","Paid")</f>
        <v>Paid</v>
      </c>
      <c r="L9" s="2" t="s">
        <v>19</v>
      </c>
      <c r="M9" s="2" t="s">
        <v>305</v>
      </c>
      <c r="N9" s="2" t="s">
        <v>21</v>
      </c>
      <c r="O9" s="2" t="s">
        <v>19</v>
      </c>
      <c r="P9" s="3">
        <v>1.5</v>
      </c>
      <c r="Q9" s="2" t="s">
        <v>25</v>
      </c>
      <c r="R9" s="1" t="str">
        <f>IF(Table13[[#This Row],[Number_Review_Lakhs]]&gt;=1,"Highly Popular", IF(Table13[[#This Row],[Number_Review_Lakhs]]&gt;=0.5,"Popular","Less Popular"))</f>
        <v>Highly Popular</v>
      </c>
      <c r="S9" s="1" t="str">
        <f>IF(Table13[[#This Row],[Visit_Time_Hrs]]&lt;=2,"Short Visit", IF(Table13[[#This Row],[Visit_Time_Hrs]]&lt;=5,"Medium Visit","Full Day"))</f>
        <v>Short Visit</v>
      </c>
      <c r="T9" s="1" t="str">
        <f>IF(Table13[[#This Row],[Airport_50km_Radius]]="Yes","Accessible","Remote")</f>
        <v>Accessible</v>
      </c>
      <c r="U9" s="1" t="str">
        <f>IF(Table13[[#This Row],[Reiew_Rating]]&gt;=4.7,"Yes","No")</f>
        <v>No</v>
      </c>
      <c r="V9" s="1" t="str">
        <f t="shared" si="0"/>
        <v>Heritage &amp; Culture</v>
      </c>
      <c r="W9" s="1" t="str">
        <f t="shared" si="1"/>
        <v>★★★★★</v>
      </c>
      <c r="X9" s="1" t="str">
        <f t="shared" si="2"/>
        <v>5 / 5 Stars</v>
      </c>
      <c r="Y9" s="1" t="str">
        <f t="shared" si="3"/>
        <v>High Traffic</v>
      </c>
    </row>
    <row r="10" spans="1:25" x14ac:dyDescent="0.3">
      <c r="A10" s="2" t="s">
        <v>15</v>
      </c>
      <c r="B10" s="2" t="s">
        <v>16</v>
      </c>
      <c r="C10" s="2" t="s">
        <v>16</v>
      </c>
      <c r="D10" s="2" t="s">
        <v>44</v>
      </c>
      <c r="E10" s="2" t="s">
        <v>45</v>
      </c>
      <c r="F10" s="1">
        <v>1400</v>
      </c>
      <c r="G10" s="1">
        <v>1</v>
      </c>
      <c r="H10" s="1">
        <v>4.2</v>
      </c>
      <c r="I10" s="1" t="str">
        <f>IF(Table13[[#This Row],[Reiew_Rating]]&gt;=4.5,"Excellent",
IF(Table13[[#This Row],[Reiew_Rating]]&gt;=4,"Good","Average"))</f>
        <v>Good</v>
      </c>
      <c r="J10" s="1">
        <v>0</v>
      </c>
      <c r="K10" s="1" t="str">
        <f>IF(Table13[[#This Row],[Entrance_Fee_INR]]=0,"Free","Paid")</f>
        <v>Free</v>
      </c>
      <c r="L10" s="2" t="s">
        <v>19</v>
      </c>
      <c r="M10" s="2" t="s">
        <v>720</v>
      </c>
      <c r="N10" s="2" t="s">
        <v>21</v>
      </c>
      <c r="O10" s="2" t="s">
        <v>19</v>
      </c>
      <c r="P10" s="3">
        <v>0.41</v>
      </c>
      <c r="Q10" s="2" t="s">
        <v>25</v>
      </c>
      <c r="R10" s="1" t="str">
        <f>IF(Table13[[#This Row],[Number_Review_Lakhs]]&gt;=1,"Highly Popular", IF(Table13[[#This Row],[Number_Review_Lakhs]]&gt;=0.5,"Popular","Less Popular"))</f>
        <v>Less Popular</v>
      </c>
      <c r="S10" s="1" t="str">
        <f>IF(Table13[[#This Row],[Visit_Time_Hrs]]&lt;=2,"Short Visit", IF(Table13[[#This Row],[Visit_Time_Hrs]]&lt;=5,"Medium Visit","Full Day"))</f>
        <v>Short Visit</v>
      </c>
      <c r="T10" s="1" t="str">
        <f>IF(Table13[[#This Row],[Airport_50km_Radius]]="Yes","Accessible","Remote")</f>
        <v>Accessible</v>
      </c>
      <c r="U10" s="1" t="str">
        <f>IF(Table13[[#This Row],[Reiew_Rating]]&gt;=4.7,"Yes","No")</f>
        <v>No</v>
      </c>
      <c r="V10" s="1" t="str">
        <f t="shared" si="0"/>
        <v>Heritage &amp; Culture</v>
      </c>
      <c r="W10" s="1" t="str">
        <f t="shared" si="1"/>
        <v>★★★★☆</v>
      </c>
      <c r="X10" s="1" t="str">
        <f t="shared" si="2"/>
        <v>4 / 5 Stars</v>
      </c>
      <c r="Y10" s="1" t="str">
        <f t="shared" si="3"/>
        <v>Medium Traffic</v>
      </c>
    </row>
    <row r="11" spans="1:25" x14ac:dyDescent="0.3">
      <c r="A11" s="2" t="s">
        <v>15</v>
      </c>
      <c r="B11" s="2" t="s">
        <v>16</v>
      </c>
      <c r="C11" s="2" t="s">
        <v>16</v>
      </c>
      <c r="D11" s="2" t="s">
        <v>46</v>
      </c>
      <c r="E11" s="2" t="s">
        <v>47</v>
      </c>
      <c r="F11" s="1">
        <v>1600</v>
      </c>
      <c r="G11" s="1">
        <v>2</v>
      </c>
      <c r="H11" s="1">
        <v>4.5999999999999996</v>
      </c>
      <c r="I11" s="1" t="str">
        <f>IF(Table13[[#This Row],[Reiew_Rating]]&gt;=4.5,"Excellent",
IF(Table13[[#This Row],[Reiew_Rating]]&gt;=4,"Good","Average"))</f>
        <v>Excellent</v>
      </c>
      <c r="J11" s="1">
        <v>0</v>
      </c>
      <c r="K11" s="1" t="str">
        <f>IF(Table13[[#This Row],[Entrance_Fee_INR]]=0,"Free","Paid")</f>
        <v>Free</v>
      </c>
      <c r="L11" s="2" t="s">
        <v>19</v>
      </c>
      <c r="M11" s="2" t="s">
        <v>720</v>
      </c>
      <c r="N11" s="2" t="s">
        <v>48</v>
      </c>
      <c r="O11" s="2" t="s">
        <v>19</v>
      </c>
      <c r="P11" s="3">
        <v>0.16</v>
      </c>
      <c r="Q11" s="2" t="s">
        <v>25</v>
      </c>
      <c r="R11" s="1" t="str">
        <f>IF(Table13[[#This Row],[Number_Review_Lakhs]]&gt;=1,"Highly Popular", IF(Table13[[#This Row],[Number_Review_Lakhs]]&gt;=0.5,"Popular","Less Popular"))</f>
        <v>Less Popular</v>
      </c>
      <c r="S11" s="1" t="str">
        <f>IF(Table13[[#This Row],[Visit_Time_Hrs]]&lt;=2,"Short Visit", IF(Table13[[#This Row],[Visit_Time_Hrs]]&lt;=5,"Medium Visit","Full Day"))</f>
        <v>Short Visit</v>
      </c>
      <c r="T11" s="1" t="str">
        <f>IF(Table13[[#This Row],[Airport_50km_Radius]]="Yes","Accessible","Remote")</f>
        <v>Accessible</v>
      </c>
      <c r="U11" s="1" t="str">
        <f>IF(Table13[[#This Row],[Reiew_Rating]]&gt;=4.7,"Yes","No")</f>
        <v>No</v>
      </c>
      <c r="V11" s="1" t="str">
        <f t="shared" si="0"/>
        <v>Nature &amp; Wildlife</v>
      </c>
      <c r="W11" s="1" t="str">
        <f t="shared" si="1"/>
        <v>★★★★★</v>
      </c>
      <c r="X11" s="1" t="str">
        <f t="shared" si="2"/>
        <v>5 / 5 Stars</v>
      </c>
      <c r="Y11" s="1" t="str">
        <f t="shared" si="3"/>
        <v>Low Traffic</v>
      </c>
    </row>
    <row r="12" spans="1:25" x14ac:dyDescent="0.3">
      <c r="A12" s="2" t="s">
        <v>15</v>
      </c>
      <c r="B12" s="2" t="s">
        <v>16</v>
      </c>
      <c r="C12" s="2" t="s">
        <v>16</v>
      </c>
      <c r="D12" s="2" t="s">
        <v>49</v>
      </c>
      <c r="E12" s="2" t="s">
        <v>47</v>
      </c>
      <c r="F12" s="1">
        <v>2003</v>
      </c>
      <c r="G12" s="1">
        <v>2</v>
      </c>
      <c r="H12" s="1">
        <v>4.0999999999999996</v>
      </c>
      <c r="I12" s="1" t="str">
        <f>IF(Table13[[#This Row],[Reiew_Rating]]&gt;=4.5,"Excellent",
IF(Table13[[#This Row],[Reiew_Rating]]&gt;=4,"Good","Average"))</f>
        <v>Good</v>
      </c>
      <c r="J12" s="1">
        <v>35</v>
      </c>
      <c r="K12" s="1" t="str">
        <f>IF(Table13[[#This Row],[Entrance_Fee_INR]]=0,"Free","Paid")</f>
        <v>Paid</v>
      </c>
      <c r="L12" s="2" t="s">
        <v>19</v>
      </c>
      <c r="M12" s="2" t="s">
        <v>57</v>
      </c>
      <c r="N12" s="2" t="s">
        <v>48</v>
      </c>
      <c r="O12" s="2" t="s">
        <v>19</v>
      </c>
      <c r="P12" s="3">
        <v>0.23</v>
      </c>
      <c r="Q12" s="2" t="s">
        <v>37</v>
      </c>
      <c r="R12" s="1" t="str">
        <f>IF(Table13[[#This Row],[Number_Review_Lakhs]]&gt;=1,"Highly Popular", IF(Table13[[#This Row],[Number_Review_Lakhs]]&gt;=0.5,"Popular","Less Popular"))</f>
        <v>Less Popular</v>
      </c>
      <c r="S12" s="1" t="str">
        <f>IF(Table13[[#This Row],[Visit_Time_Hrs]]&lt;=2,"Short Visit", IF(Table13[[#This Row],[Visit_Time_Hrs]]&lt;=5,"Medium Visit","Full Day"))</f>
        <v>Short Visit</v>
      </c>
      <c r="T12" s="1" t="str">
        <f>IF(Table13[[#This Row],[Airport_50km_Radius]]="Yes","Accessible","Remote")</f>
        <v>Accessible</v>
      </c>
      <c r="U12" s="1" t="str">
        <f>IF(Table13[[#This Row],[Reiew_Rating]]&gt;=4.7,"Yes","No")</f>
        <v>No</v>
      </c>
      <c r="V12" s="1" t="str">
        <f t="shared" si="0"/>
        <v>Nature &amp; Wildlife</v>
      </c>
      <c r="W12" s="1" t="str">
        <f t="shared" si="1"/>
        <v>★★★★☆</v>
      </c>
      <c r="X12" s="1" t="str">
        <f t="shared" si="2"/>
        <v>4 / 5 Stars</v>
      </c>
      <c r="Y12" s="1" t="str">
        <f t="shared" si="3"/>
        <v>Low Traffic</v>
      </c>
    </row>
    <row r="13" spans="1:25" x14ac:dyDescent="0.3">
      <c r="A13" s="2" t="s">
        <v>15</v>
      </c>
      <c r="B13" s="2" t="s">
        <v>16</v>
      </c>
      <c r="C13" s="2" t="s">
        <v>16</v>
      </c>
      <c r="D13" s="2" t="s">
        <v>50</v>
      </c>
      <c r="E13" s="2" t="s">
        <v>47</v>
      </c>
      <c r="F13" s="1">
        <v>1500</v>
      </c>
      <c r="G13" s="1">
        <v>1</v>
      </c>
      <c r="H13" s="1">
        <v>4.5</v>
      </c>
      <c r="I13" s="1" t="str">
        <f>IF(Table13[[#This Row],[Reiew_Rating]]&gt;=4.5,"Excellent",
IF(Table13[[#This Row],[Reiew_Rating]]&gt;=4,"Good","Average"))</f>
        <v>Excellent</v>
      </c>
      <c r="J13" s="1">
        <v>0</v>
      </c>
      <c r="K13" s="1" t="str">
        <f>IF(Table13[[#This Row],[Entrance_Fee_INR]]=0,"Free","Paid")</f>
        <v>Free</v>
      </c>
      <c r="L13" s="2" t="s">
        <v>19</v>
      </c>
      <c r="M13" s="2" t="s">
        <v>721</v>
      </c>
      <c r="N13" s="2" t="s">
        <v>48</v>
      </c>
      <c r="O13" s="2" t="s">
        <v>19</v>
      </c>
      <c r="P13" s="3">
        <v>0.48</v>
      </c>
      <c r="Q13" s="2" t="s">
        <v>51</v>
      </c>
      <c r="R13" s="1" t="str">
        <f>IF(Table13[[#This Row],[Number_Review_Lakhs]]&gt;=1,"Highly Popular", IF(Table13[[#This Row],[Number_Review_Lakhs]]&gt;=0.5,"Popular","Less Popular"))</f>
        <v>Less Popular</v>
      </c>
      <c r="S13" s="1" t="str">
        <f>IF(Table13[[#This Row],[Visit_Time_Hrs]]&lt;=2,"Short Visit", IF(Table13[[#This Row],[Visit_Time_Hrs]]&lt;=5,"Medium Visit","Full Day"))</f>
        <v>Short Visit</v>
      </c>
      <c r="T13" s="1" t="str">
        <f>IF(Table13[[#This Row],[Airport_50km_Radius]]="Yes","Accessible","Remote")</f>
        <v>Accessible</v>
      </c>
      <c r="U13" s="1" t="str">
        <f>IF(Table13[[#This Row],[Reiew_Rating]]&gt;=4.7,"Yes","No")</f>
        <v>No</v>
      </c>
      <c r="V13" s="1" t="str">
        <f t="shared" si="0"/>
        <v>Nature &amp; Wildlife</v>
      </c>
      <c r="W13" s="1" t="str">
        <f t="shared" si="1"/>
        <v>★★★★★</v>
      </c>
      <c r="X13" s="1" t="str">
        <f t="shared" si="2"/>
        <v>5 / 5 Stars</v>
      </c>
      <c r="Y13" s="1" t="str">
        <f t="shared" si="3"/>
        <v>Medium Traffic</v>
      </c>
    </row>
    <row r="14" spans="1:25" x14ac:dyDescent="0.3">
      <c r="A14" s="2" t="s">
        <v>15</v>
      </c>
      <c r="B14" s="2" t="s">
        <v>16</v>
      </c>
      <c r="C14" s="2" t="s">
        <v>16</v>
      </c>
      <c r="D14" s="2" t="s">
        <v>52</v>
      </c>
      <c r="E14" s="2" t="s">
        <v>53</v>
      </c>
      <c r="F14" s="1">
        <v>1954</v>
      </c>
      <c r="G14" s="1">
        <v>3</v>
      </c>
      <c r="H14" s="1">
        <v>4.5</v>
      </c>
      <c r="I14" s="1" t="str">
        <f>IF(Table13[[#This Row],[Reiew_Rating]]&gt;=4.5,"Excellent",
IF(Table13[[#This Row],[Reiew_Rating]]&gt;=4,"Good","Average"))</f>
        <v>Excellent</v>
      </c>
      <c r="J14" s="1">
        <v>20</v>
      </c>
      <c r="K14" s="1" t="str">
        <f>IF(Table13[[#This Row],[Entrance_Fee_INR]]=0,"Free","Paid")</f>
        <v>Paid</v>
      </c>
      <c r="L14" s="2" t="s">
        <v>19</v>
      </c>
      <c r="M14" s="2" t="s">
        <v>32</v>
      </c>
      <c r="N14" s="2" t="s">
        <v>54</v>
      </c>
      <c r="O14" s="2" t="s">
        <v>19</v>
      </c>
      <c r="P14" s="3">
        <v>0.08</v>
      </c>
      <c r="Q14" s="2" t="s">
        <v>51</v>
      </c>
      <c r="R14" s="1" t="str">
        <f>IF(Table13[[#This Row],[Number_Review_Lakhs]]&gt;=1,"Highly Popular", IF(Table13[[#This Row],[Number_Review_Lakhs]]&gt;=0.5,"Popular","Less Popular"))</f>
        <v>Less Popular</v>
      </c>
      <c r="S14" s="1" t="str">
        <f>IF(Table13[[#This Row],[Visit_Time_Hrs]]&lt;=2,"Short Visit", IF(Table13[[#This Row],[Visit_Time_Hrs]]&lt;=5,"Medium Visit","Full Day"))</f>
        <v>Medium Visit</v>
      </c>
      <c r="T14" s="1" t="str">
        <f>IF(Table13[[#This Row],[Airport_50km_Radius]]="Yes","Accessible","Remote")</f>
        <v>Accessible</v>
      </c>
      <c r="U14" s="1" t="str">
        <f>IF(Table13[[#This Row],[Reiew_Rating]]&gt;=4.7,"Yes","No")</f>
        <v>No</v>
      </c>
      <c r="V14" s="1" t="str">
        <f t="shared" si="0"/>
        <v>Heritage &amp; Culture</v>
      </c>
      <c r="W14" s="1" t="str">
        <f t="shared" si="1"/>
        <v>★★★★★</v>
      </c>
      <c r="X14" s="1" t="str">
        <f t="shared" si="2"/>
        <v>5 / 5 Stars</v>
      </c>
      <c r="Y14" s="1" t="str">
        <f t="shared" si="3"/>
        <v>Low Traffic</v>
      </c>
    </row>
    <row r="15" spans="1:25" x14ac:dyDescent="0.3">
      <c r="A15" s="2" t="s">
        <v>15</v>
      </c>
      <c r="B15" s="2" t="s">
        <v>16</v>
      </c>
      <c r="C15" s="2" t="s">
        <v>16</v>
      </c>
      <c r="D15" s="2" t="s">
        <v>55</v>
      </c>
      <c r="E15" s="2" t="s">
        <v>56</v>
      </c>
      <c r="F15" s="1">
        <v>1959</v>
      </c>
      <c r="G15" s="1">
        <v>3</v>
      </c>
      <c r="H15" s="1">
        <v>4.0999999999999996</v>
      </c>
      <c r="I15" s="1" t="str">
        <f>IF(Table13[[#This Row],[Reiew_Rating]]&gt;=4.5,"Excellent",
IF(Table13[[#This Row],[Reiew_Rating]]&gt;=4,"Good","Average"))</f>
        <v>Good</v>
      </c>
      <c r="J15" s="1">
        <v>80</v>
      </c>
      <c r="K15" s="1" t="str">
        <f>IF(Table13[[#This Row],[Entrance_Fee_INR]]=0,"Free","Paid")</f>
        <v>Paid</v>
      </c>
      <c r="L15" s="2" t="s">
        <v>19</v>
      </c>
      <c r="M15" s="2" t="s">
        <v>57</v>
      </c>
      <c r="N15" s="2" t="s">
        <v>33</v>
      </c>
      <c r="O15" s="2" t="s">
        <v>19</v>
      </c>
      <c r="P15" s="3">
        <v>0.41</v>
      </c>
      <c r="Q15" s="2" t="s">
        <v>51</v>
      </c>
      <c r="R15" s="1" t="str">
        <f>IF(Table13[[#This Row],[Number_Review_Lakhs]]&gt;=1,"Highly Popular", IF(Table13[[#This Row],[Number_Review_Lakhs]]&gt;=0.5,"Popular","Less Popular"))</f>
        <v>Less Popular</v>
      </c>
      <c r="S15" s="1" t="str">
        <f>IF(Table13[[#This Row],[Visit_Time_Hrs]]&lt;=2,"Short Visit", IF(Table13[[#This Row],[Visit_Time_Hrs]]&lt;=5,"Medium Visit","Full Day"))</f>
        <v>Medium Visit</v>
      </c>
      <c r="T15" s="1" t="str">
        <f>IF(Table13[[#This Row],[Airport_50km_Radius]]="Yes","Accessible","Remote")</f>
        <v>Accessible</v>
      </c>
      <c r="U15" s="1" t="str">
        <f>IF(Table13[[#This Row],[Reiew_Rating]]&gt;=4.7,"Yes","No")</f>
        <v>No</v>
      </c>
      <c r="V15" s="1" t="str">
        <f t="shared" si="0"/>
        <v>Nature &amp; Wildlife</v>
      </c>
      <c r="W15" s="1" t="str">
        <f t="shared" si="1"/>
        <v>★★★★☆</v>
      </c>
      <c r="X15" s="1" t="str">
        <f t="shared" si="2"/>
        <v>4 / 5 Stars</v>
      </c>
      <c r="Y15" s="1" t="str">
        <f t="shared" si="3"/>
        <v>Medium Traffic</v>
      </c>
    </row>
    <row r="16" spans="1:25" x14ac:dyDescent="0.3">
      <c r="A16" s="2" t="s">
        <v>15</v>
      </c>
      <c r="B16" s="2" t="s">
        <v>16</v>
      </c>
      <c r="C16" s="2" t="s">
        <v>16</v>
      </c>
      <c r="D16" s="2" t="s">
        <v>58</v>
      </c>
      <c r="E16" s="2" t="s">
        <v>59</v>
      </c>
      <c r="F16" s="1">
        <v>1192</v>
      </c>
      <c r="G16" s="1">
        <v>1</v>
      </c>
      <c r="H16" s="1">
        <v>4.5</v>
      </c>
      <c r="I16" s="1" t="str">
        <f>IF(Table13[[#This Row],[Reiew_Rating]]&gt;=4.5,"Excellent",
IF(Table13[[#This Row],[Reiew_Rating]]&gt;=4,"Good","Average"))</f>
        <v>Excellent</v>
      </c>
      <c r="J16" s="1">
        <v>35</v>
      </c>
      <c r="K16" s="1" t="str">
        <f>IF(Table13[[#This Row],[Entrance_Fee_INR]]=0,"Free","Paid")</f>
        <v>Paid</v>
      </c>
      <c r="L16" s="2" t="s">
        <v>19</v>
      </c>
      <c r="M16" s="2" t="s">
        <v>32</v>
      </c>
      <c r="N16" s="2" t="s">
        <v>21</v>
      </c>
      <c r="O16" s="2" t="s">
        <v>19</v>
      </c>
      <c r="P16" s="3">
        <v>1.37</v>
      </c>
      <c r="Q16" s="2" t="s">
        <v>25</v>
      </c>
      <c r="R16" s="1" t="str">
        <f>IF(Table13[[#This Row],[Number_Review_Lakhs]]&gt;=1,"Highly Popular", IF(Table13[[#This Row],[Number_Review_Lakhs]]&gt;=0.5,"Popular","Less Popular"))</f>
        <v>Highly Popular</v>
      </c>
      <c r="S16" s="1" t="str">
        <f>IF(Table13[[#This Row],[Visit_Time_Hrs]]&lt;=2,"Short Visit", IF(Table13[[#This Row],[Visit_Time_Hrs]]&lt;=5,"Medium Visit","Full Day"))</f>
        <v>Short Visit</v>
      </c>
      <c r="T16" s="1" t="str">
        <f>IF(Table13[[#This Row],[Airport_50km_Radius]]="Yes","Accessible","Remote")</f>
        <v>Accessible</v>
      </c>
      <c r="U16" s="1" t="str">
        <f>IF(Table13[[#This Row],[Reiew_Rating]]&gt;=4.7,"Yes","No")</f>
        <v>No</v>
      </c>
      <c r="V16" s="1" t="str">
        <f t="shared" si="0"/>
        <v>Heritage &amp; Culture</v>
      </c>
      <c r="W16" s="1" t="str">
        <f t="shared" si="1"/>
        <v>★★★★★</v>
      </c>
      <c r="X16" s="1" t="str">
        <f t="shared" si="2"/>
        <v>5 / 5 Stars</v>
      </c>
      <c r="Y16" s="1" t="str">
        <f t="shared" si="3"/>
        <v>Medium Traffic</v>
      </c>
    </row>
    <row r="17" spans="1:25" x14ac:dyDescent="0.3">
      <c r="A17" s="2" t="s">
        <v>15</v>
      </c>
      <c r="B17" s="2" t="s">
        <v>16</v>
      </c>
      <c r="C17" s="2" t="s">
        <v>16</v>
      </c>
      <c r="D17" s="2" t="s">
        <v>60</v>
      </c>
      <c r="E17" s="2" t="s">
        <v>61</v>
      </c>
      <c r="F17" s="1">
        <v>1992</v>
      </c>
      <c r="G17" s="1">
        <v>5</v>
      </c>
      <c r="H17" s="1">
        <v>4.4000000000000004</v>
      </c>
      <c r="I17" s="1" t="str">
        <f>IF(Table13[[#This Row],[Reiew_Rating]]&gt;=4.5,"Excellent",
IF(Table13[[#This Row],[Reiew_Rating]]&gt;=4,"Good","Average"))</f>
        <v>Good</v>
      </c>
      <c r="J17" s="1">
        <v>70</v>
      </c>
      <c r="K17" s="1" t="str">
        <f>IF(Table13[[#This Row],[Entrance_Fee_INR]]=0,"Free","Paid")</f>
        <v>Paid</v>
      </c>
      <c r="L17" s="2" t="s">
        <v>19</v>
      </c>
      <c r="M17" s="2" t="s">
        <v>57</v>
      </c>
      <c r="N17" s="2" t="s">
        <v>36</v>
      </c>
      <c r="O17" s="2" t="s">
        <v>19</v>
      </c>
      <c r="P17" s="3">
        <v>0.23</v>
      </c>
      <c r="Q17" s="2" t="s">
        <v>51</v>
      </c>
      <c r="R17" s="1" t="str">
        <f>IF(Table13[[#This Row],[Number_Review_Lakhs]]&gt;=1,"Highly Popular", IF(Table13[[#This Row],[Number_Review_Lakhs]]&gt;=0.5,"Popular","Less Popular"))</f>
        <v>Less Popular</v>
      </c>
      <c r="S17" s="1" t="str">
        <f>IF(Table13[[#This Row],[Visit_Time_Hrs]]&lt;=2,"Short Visit", IF(Table13[[#This Row],[Visit_Time_Hrs]]&lt;=5,"Medium Visit","Full Day"))</f>
        <v>Medium Visit</v>
      </c>
      <c r="T17" s="1" t="str">
        <f>IF(Table13[[#This Row],[Airport_50km_Radius]]="Yes","Accessible","Remote")</f>
        <v>Accessible</v>
      </c>
      <c r="U17" s="1" t="str">
        <f>IF(Table13[[#This Row],[Reiew_Rating]]&gt;=4.7,"Yes","No")</f>
        <v>No</v>
      </c>
      <c r="V17" s="1" t="str">
        <f t="shared" si="0"/>
        <v>Science &amp; Education</v>
      </c>
      <c r="W17" s="1" t="str">
        <f t="shared" si="1"/>
        <v>★★★★☆</v>
      </c>
      <c r="X17" s="1" t="str">
        <f t="shared" si="2"/>
        <v>4 / 5 Stars</v>
      </c>
      <c r="Y17" s="1" t="str">
        <f t="shared" si="3"/>
        <v>Low Traffic</v>
      </c>
    </row>
    <row r="18" spans="1:25" x14ac:dyDescent="0.3">
      <c r="A18" s="2" t="s">
        <v>62</v>
      </c>
      <c r="B18" s="2" t="s">
        <v>63</v>
      </c>
      <c r="C18" s="2" t="s">
        <v>64</v>
      </c>
      <c r="D18" s="2" t="s">
        <v>65</v>
      </c>
      <c r="E18" s="2" t="s">
        <v>66</v>
      </c>
      <c r="F18" s="1">
        <v>1513</v>
      </c>
      <c r="G18" s="1">
        <v>2</v>
      </c>
      <c r="H18" s="1">
        <v>4.5</v>
      </c>
      <c r="I18" s="1" t="str">
        <f>IF(Table13[[#This Row],[Reiew_Rating]]&gt;=4.5,"Excellent",
IF(Table13[[#This Row],[Reiew_Rating]]&gt;=4,"Good","Average"))</f>
        <v>Excellent</v>
      </c>
      <c r="J18" s="1">
        <v>0</v>
      </c>
      <c r="K18" s="1" t="str">
        <f>IF(Table13[[#This Row],[Entrance_Fee_INR]]=0,"Free","Paid")</f>
        <v>Free</v>
      </c>
      <c r="L18" s="2" t="s">
        <v>19</v>
      </c>
      <c r="M18" s="2" t="s">
        <v>32</v>
      </c>
      <c r="N18" s="2" t="s">
        <v>68</v>
      </c>
      <c r="O18" s="2" t="s">
        <v>19</v>
      </c>
      <c r="P18" s="3">
        <v>1.5</v>
      </c>
      <c r="Q18" s="2" t="s">
        <v>22</v>
      </c>
      <c r="R18" s="1" t="str">
        <f>IF(Table13[[#This Row],[Number_Review_Lakhs]]&gt;=1,"Highly Popular", IF(Table13[[#This Row],[Number_Review_Lakhs]]&gt;=0.5,"Popular","Less Popular"))</f>
        <v>Highly Popular</v>
      </c>
      <c r="S18" s="1" t="str">
        <f>IF(Table13[[#This Row],[Visit_Time_Hrs]]&lt;=2,"Short Visit", IF(Table13[[#This Row],[Visit_Time_Hrs]]&lt;=5,"Medium Visit","Full Day"))</f>
        <v>Short Visit</v>
      </c>
      <c r="T18" s="1" t="str">
        <f>IF(Table13[[#This Row],[Airport_50km_Radius]]="Yes","Accessible","Remote")</f>
        <v>Accessible</v>
      </c>
      <c r="U18" s="1" t="str">
        <f>IF(Table13[[#This Row],[Reiew_Rating]]&gt;=4.7,"Yes","No")</f>
        <v>No</v>
      </c>
      <c r="V18" s="1" t="str">
        <f t="shared" si="0"/>
        <v>Nature &amp; Wildlife</v>
      </c>
      <c r="W18" s="1" t="str">
        <f t="shared" si="1"/>
        <v>★★★★★</v>
      </c>
      <c r="X18" s="1" t="str">
        <f t="shared" si="2"/>
        <v>5 / 5 Stars</v>
      </c>
      <c r="Y18" s="1" t="str">
        <f t="shared" si="3"/>
        <v>High Traffic</v>
      </c>
    </row>
    <row r="19" spans="1:25" x14ac:dyDescent="0.3">
      <c r="A19" s="2" t="s">
        <v>62</v>
      </c>
      <c r="B19" s="2" t="s">
        <v>63</v>
      </c>
      <c r="C19" s="2" t="s">
        <v>64</v>
      </c>
      <c r="D19" s="2" t="s">
        <v>69</v>
      </c>
      <c r="E19" s="2" t="s">
        <v>59</v>
      </c>
      <c r="F19" s="1">
        <v>1924</v>
      </c>
      <c r="G19" s="1">
        <v>1</v>
      </c>
      <c r="H19" s="1">
        <v>4.5999999999999996</v>
      </c>
      <c r="I19" s="1" t="str">
        <f>IF(Table13[[#This Row],[Reiew_Rating]]&gt;=4.5,"Excellent",
IF(Table13[[#This Row],[Reiew_Rating]]&gt;=4,"Good","Average"))</f>
        <v>Excellent</v>
      </c>
      <c r="J19" s="1">
        <v>0</v>
      </c>
      <c r="K19" s="1" t="str">
        <f>IF(Table13[[#This Row],[Entrance_Fee_INR]]=0,"Free","Paid")</f>
        <v>Free</v>
      </c>
      <c r="L19" s="2" t="s">
        <v>19</v>
      </c>
      <c r="M19" s="2" t="s">
        <v>721</v>
      </c>
      <c r="N19" s="2" t="s">
        <v>21</v>
      </c>
      <c r="O19" s="2" t="s">
        <v>19</v>
      </c>
      <c r="P19" s="3">
        <v>3.6</v>
      </c>
      <c r="Q19" s="2" t="s">
        <v>51</v>
      </c>
      <c r="R19" s="1" t="str">
        <f>IF(Table13[[#This Row],[Number_Review_Lakhs]]&gt;=1,"Highly Popular", IF(Table13[[#This Row],[Number_Review_Lakhs]]&gt;=0.5,"Popular","Less Popular"))</f>
        <v>Highly Popular</v>
      </c>
      <c r="S19" s="1" t="str">
        <f>IF(Table13[[#This Row],[Visit_Time_Hrs]]&lt;=2,"Short Visit", IF(Table13[[#This Row],[Visit_Time_Hrs]]&lt;=5,"Medium Visit","Full Day"))</f>
        <v>Short Visit</v>
      </c>
      <c r="T19" s="1" t="str">
        <f>IF(Table13[[#This Row],[Airport_50km_Radius]]="Yes","Accessible","Remote")</f>
        <v>Accessible</v>
      </c>
      <c r="U19" s="1" t="str">
        <f>IF(Table13[[#This Row],[Reiew_Rating]]&gt;=4.7,"Yes","No")</f>
        <v>No</v>
      </c>
      <c r="V19" s="1" t="str">
        <f t="shared" si="0"/>
        <v>Heritage &amp; Culture</v>
      </c>
      <c r="W19" s="1" t="str">
        <f t="shared" si="1"/>
        <v>★★★★★</v>
      </c>
      <c r="X19" s="1" t="str">
        <f t="shared" si="2"/>
        <v>5 / 5 Stars</v>
      </c>
      <c r="Y19" s="1" t="str">
        <f t="shared" si="3"/>
        <v>High Traffic</v>
      </c>
    </row>
    <row r="20" spans="1:25" x14ac:dyDescent="0.3">
      <c r="A20" s="2" t="s">
        <v>62</v>
      </c>
      <c r="B20" s="2" t="s">
        <v>63</v>
      </c>
      <c r="C20" s="2" t="s">
        <v>64</v>
      </c>
      <c r="D20" s="2" t="s">
        <v>70</v>
      </c>
      <c r="E20" s="2" t="s">
        <v>53</v>
      </c>
      <c r="F20" s="1">
        <v>1922</v>
      </c>
      <c r="G20" s="1">
        <v>1</v>
      </c>
      <c r="H20" s="1">
        <v>4.5999999999999996</v>
      </c>
      <c r="I20" s="1" t="str">
        <f>IF(Table13[[#This Row],[Reiew_Rating]]&gt;=4.5,"Excellent",
IF(Table13[[#This Row],[Reiew_Rating]]&gt;=4,"Good","Average"))</f>
        <v>Excellent</v>
      </c>
      <c r="J20" s="1">
        <v>500</v>
      </c>
      <c r="K20" s="1" t="str">
        <f>IF(Table13[[#This Row],[Entrance_Fee_INR]]=0,"Free","Paid")</f>
        <v>Paid</v>
      </c>
      <c r="L20" s="2" t="s">
        <v>19</v>
      </c>
      <c r="M20" s="2" t="s">
        <v>32</v>
      </c>
      <c r="N20" s="2" t="s">
        <v>21</v>
      </c>
      <c r="O20" s="2" t="s">
        <v>19</v>
      </c>
      <c r="P20" s="3">
        <v>0.34</v>
      </c>
      <c r="Q20" s="2" t="s">
        <v>51</v>
      </c>
      <c r="R20" s="1" t="str">
        <f>IF(Table13[[#This Row],[Number_Review_Lakhs]]&gt;=1,"Highly Popular", IF(Table13[[#This Row],[Number_Review_Lakhs]]&gt;=0.5,"Popular","Less Popular"))</f>
        <v>Less Popular</v>
      </c>
      <c r="S20" s="1" t="str">
        <f>IF(Table13[[#This Row],[Visit_Time_Hrs]]&lt;=2,"Short Visit", IF(Table13[[#This Row],[Visit_Time_Hrs]]&lt;=5,"Medium Visit","Full Day"))</f>
        <v>Short Visit</v>
      </c>
      <c r="T20" s="1" t="str">
        <f>IF(Table13[[#This Row],[Airport_50km_Radius]]="Yes","Accessible","Remote")</f>
        <v>Accessible</v>
      </c>
      <c r="U20" s="1" t="str">
        <f>IF(Table13[[#This Row],[Reiew_Rating]]&gt;=4.7,"Yes","No")</f>
        <v>No</v>
      </c>
      <c r="V20" s="1" t="str">
        <f t="shared" si="0"/>
        <v>Heritage &amp; Culture</v>
      </c>
      <c r="W20" s="1" t="str">
        <f t="shared" si="1"/>
        <v>★★★★★</v>
      </c>
      <c r="X20" s="1" t="str">
        <f t="shared" si="2"/>
        <v>5 / 5 Stars</v>
      </c>
      <c r="Y20" s="1" t="str">
        <f t="shared" si="3"/>
        <v>Low Traffic</v>
      </c>
    </row>
    <row r="21" spans="1:25" x14ac:dyDescent="0.3">
      <c r="A21" s="2" t="s">
        <v>62</v>
      </c>
      <c r="B21" s="2" t="s">
        <v>63</v>
      </c>
      <c r="C21" s="2" t="s">
        <v>64</v>
      </c>
      <c r="D21" s="2" t="s">
        <v>71</v>
      </c>
      <c r="E21" s="2" t="s">
        <v>72</v>
      </c>
      <c r="F21" s="1">
        <v>1996</v>
      </c>
      <c r="G21" s="1">
        <v>3</v>
      </c>
      <c r="H21" s="1">
        <v>4.3</v>
      </c>
      <c r="I21" s="1" t="str">
        <f>IF(Table13[[#This Row],[Reiew_Rating]]&gt;=4.5,"Excellent",
IF(Table13[[#This Row],[Reiew_Rating]]&gt;=4,"Good","Average"))</f>
        <v>Good</v>
      </c>
      <c r="J21" s="1">
        <v>50</v>
      </c>
      <c r="K21" s="1" t="str">
        <f>IF(Table13[[#This Row],[Entrance_Fee_INR]]=0,"Free","Paid")</f>
        <v>Paid</v>
      </c>
      <c r="L21" s="2" t="s">
        <v>19</v>
      </c>
      <c r="M21" s="2" t="s">
        <v>32</v>
      </c>
      <c r="N21" s="2" t="s">
        <v>73</v>
      </c>
      <c r="O21" s="2" t="s">
        <v>19</v>
      </c>
      <c r="P21" s="3">
        <v>0.6</v>
      </c>
      <c r="Q21" s="2" t="s">
        <v>51</v>
      </c>
      <c r="R21" s="1" t="str">
        <f>IF(Table13[[#This Row],[Number_Review_Lakhs]]&gt;=1,"Highly Popular", IF(Table13[[#This Row],[Number_Review_Lakhs]]&gt;=0.5,"Popular","Less Popular"))</f>
        <v>Popular</v>
      </c>
      <c r="S21" s="1" t="str">
        <f>IF(Table13[[#This Row],[Visit_Time_Hrs]]&lt;=2,"Short Visit", IF(Table13[[#This Row],[Visit_Time_Hrs]]&lt;=5,"Medium Visit","Full Day"))</f>
        <v>Medium Visit</v>
      </c>
      <c r="T21" s="1" t="str">
        <f>IF(Table13[[#This Row],[Airport_50km_Radius]]="Yes","Accessible","Remote")</f>
        <v>Accessible</v>
      </c>
      <c r="U21" s="1" t="str">
        <f>IF(Table13[[#This Row],[Reiew_Rating]]&gt;=4.7,"Yes","No")</f>
        <v>No</v>
      </c>
      <c r="V21" s="1" t="str">
        <f t="shared" si="0"/>
        <v>Nature &amp; Wildlife</v>
      </c>
      <c r="W21" s="1" t="str">
        <f t="shared" si="1"/>
        <v>★★★★☆</v>
      </c>
      <c r="X21" s="1" t="str">
        <f t="shared" si="2"/>
        <v>4 / 5 Stars</v>
      </c>
      <c r="Y21" s="1" t="str">
        <f t="shared" si="3"/>
        <v>Medium Traffic</v>
      </c>
    </row>
    <row r="22" spans="1:25" x14ac:dyDescent="0.3">
      <c r="A22" s="2" t="s">
        <v>62</v>
      </c>
      <c r="B22" s="2" t="s">
        <v>63</v>
      </c>
      <c r="C22" s="2" t="s">
        <v>64</v>
      </c>
      <c r="D22" s="2" t="s">
        <v>74</v>
      </c>
      <c r="E22" s="2" t="s">
        <v>27</v>
      </c>
      <c r="F22" s="1">
        <v>1881</v>
      </c>
      <c r="G22" s="1">
        <v>2</v>
      </c>
      <c r="H22" s="1">
        <v>4.8</v>
      </c>
      <c r="I22" s="1" t="str">
        <f>IF(Table13[[#This Row],[Reiew_Rating]]&gt;=4.5,"Excellent",
IF(Table13[[#This Row],[Reiew_Rating]]&gt;=4,"Good","Average"))</f>
        <v>Excellent</v>
      </c>
      <c r="J22" s="1">
        <v>0</v>
      </c>
      <c r="K22" s="1" t="str">
        <f>IF(Table13[[#This Row],[Entrance_Fee_INR]]=0,"Free","Paid")</f>
        <v>Free</v>
      </c>
      <c r="L22" s="2" t="s">
        <v>19</v>
      </c>
      <c r="M22" s="2" t="s">
        <v>722</v>
      </c>
      <c r="N22" s="2" t="s">
        <v>28</v>
      </c>
      <c r="O22" s="2" t="s">
        <v>29</v>
      </c>
      <c r="P22" s="3">
        <v>1.05</v>
      </c>
      <c r="Q22" s="2" t="s">
        <v>51</v>
      </c>
      <c r="R22" s="1" t="str">
        <f>IF(Table13[[#This Row],[Number_Review_Lakhs]]&gt;=1,"Highly Popular", IF(Table13[[#This Row],[Number_Review_Lakhs]]&gt;=0.5,"Popular","Less Popular"))</f>
        <v>Highly Popular</v>
      </c>
      <c r="S22" s="1" t="str">
        <f>IF(Table13[[#This Row],[Visit_Time_Hrs]]&lt;=2,"Short Visit", IF(Table13[[#This Row],[Visit_Time_Hrs]]&lt;=5,"Medium Visit","Full Day"))</f>
        <v>Short Visit</v>
      </c>
      <c r="T22" s="1" t="str">
        <f>IF(Table13[[#This Row],[Airport_50km_Radius]]="Yes","Accessible","Remote")</f>
        <v>Accessible</v>
      </c>
      <c r="U22" s="1" t="str">
        <f>IF(Table13[[#This Row],[Reiew_Rating]]&gt;=4.7,"Yes","No")</f>
        <v>Yes</v>
      </c>
      <c r="V22" s="1" t="str">
        <f t="shared" si="0"/>
        <v>Heritage &amp; Culture</v>
      </c>
      <c r="W22" s="1" t="str">
        <f t="shared" si="1"/>
        <v>★★★★★</v>
      </c>
      <c r="X22" s="1" t="str">
        <f t="shared" si="2"/>
        <v>5 / 5 Stars</v>
      </c>
      <c r="Y22" s="1" t="str">
        <f t="shared" si="3"/>
        <v>Medium Traffic</v>
      </c>
    </row>
    <row r="23" spans="1:25" x14ac:dyDescent="0.3">
      <c r="A23" s="2" t="s">
        <v>62</v>
      </c>
      <c r="B23" s="2" t="s">
        <v>63</v>
      </c>
      <c r="C23" s="2" t="s">
        <v>64</v>
      </c>
      <c r="D23" s="2" t="s">
        <v>75</v>
      </c>
      <c r="E23" s="2" t="s">
        <v>27</v>
      </c>
      <c r="F23" s="1">
        <v>1831</v>
      </c>
      <c r="G23" s="1">
        <v>1</v>
      </c>
      <c r="H23" s="1">
        <v>4.7</v>
      </c>
      <c r="I23" s="1" t="str">
        <f>IF(Table13[[#This Row],[Reiew_Rating]]&gt;=4.5,"Excellent",
IF(Table13[[#This Row],[Reiew_Rating]]&gt;=4,"Good","Average"))</f>
        <v>Excellent</v>
      </c>
      <c r="J23" s="1">
        <v>0</v>
      </c>
      <c r="K23" s="1" t="str">
        <f>IF(Table13[[#This Row],[Entrance_Fee_INR]]=0,"Free","Paid")</f>
        <v>Free</v>
      </c>
      <c r="L23" s="2" t="s">
        <v>19</v>
      </c>
      <c r="M23" s="2" t="s">
        <v>720</v>
      </c>
      <c r="N23" s="2" t="s">
        <v>28</v>
      </c>
      <c r="O23" s="2" t="s">
        <v>29</v>
      </c>
      <c r="P23" s="3">
        <v>0.33</v>
      </c>
      <c r="Q23" s="2" t="s">
        <v>51</v>
      </c>
      <c r="R23" s="1" t="str">
        <f>IF(Table13[[#This Row],[Number_Review_Lakhs]]&gt;=1,"Highly Popular", IF(Table13[[#This Row],[Number_Review_Lakhs]]&gt;=0.5,"Popular","Less Popular"))</f>
        <v>Less Popular</v>
      </c>
      <c r="S23" s="1" t="str">
        <f>IF(Table13[[#This Row],[Visit_Time_Hrs]]&lt;=2,"Short Visit", IF(Table13[[#This Row],[Visit_Time_Hrs]]&lt;=5,"Medium Visit","Full Day"))</f>
        <v>Short Visit</v>
      </c>
      <c r="T23" s="1" t="str">
        <f>IF(Table13[[#This Row],[Airport_50km_Radius]]="Yes","Accessible","Remote")</f>
        <v>Accessible</v>
      </c>
      <c r="U23" s="1" t="str">
        <f>IF(Table13[[#This Row],[Reiew_Rating]]&gt;=4.7,"Yes","No")</f>
        <v>Yes</v>
      </c>
      <c r="V23" s="1" t="str">
        <f t="shared" si="0"/>
        <v>Heritage &amp; Culture</v>
      </c>
      <c r="W23" s="1" t="str">
        <f t="shared" si="1"/>
        <v>★★★★★</v>
      </c>
      <c r="X23" s="1" t="str">
        <f t="shared" si="2"/>
        <v>5 / 5 Stars</v>
      </c>
      <c r="Y23" s="1" t="str">
        <f t="shared" si="3"/>
        <v>Low Traffic</v>
      </c>
    </row>
    <row r="24" spans="1:25" x14ac:dyDescent="0.3">
      <c r="A24" s="2" t="s">
        <v>62</v>
      </c>
      <c r="B24" s="2" t="s">
        <v>63</v>
      </c>
      <c r="C24" s="2" t="s">
        <v>64</v>
      </c>
      <c r="D24" s="2" t="s">
        <v>76</v>
      </c>
      <c r="E24" s="2" t="s">
        <v>77</v>
      </c>
      <c r="F24" s="1">
        <v>1431</v>
      </c>
      <c r="G24" s="1">
        <v>2</v>
      </c>
      <c r="H24" s="1">
        <v>4.4000000000000004</v>
      </c>
      <c r="I24" s="1" t="str">
        <f>IF(Table13[[#This Row],[Reiew_Rating]]&gt;=4.5,"Excellent",
IF(Table13[[#This Row],[Reiew_Rating]]&gt;=4,"Good","Average"))</f>
        <v>Good</v>
      </c>
      <c r="J24" s="1">
        <v>0</v>
      </c>
      <c r="K24" s="1" t="str">
        <f>IF(Table13[[#This Row],[Entrance_Fee_INR]]=0,"Free","Paid")</f>
        <v>Free</v>
      </c>
      <c r="L24" s="2" t="s">
        <v>19</v>
      </c>
      <c r="M24" s="2" t="s">
        <v>32</v>
      </c>
      <c r="N24" s="2" t="s">
        <v>28</v>
      </c>
      <c r="O24" s="2" t="s">
        <v>29</v>
      </c>
      <c r="P24" s="3">
        <v>0.16</v>
      </c>
      <c r="Q24" s="2" t="s">
        <v>51</v>
      </c>
      <c r="R24" s="1" t="str">
        <f>IF(Table13[[#This Row],[Number_Review_Lakhs]]&gt;=1,"Highly Popular", IF(Table13[[#This Row],[Number_Review_Lakhs]]&gt;=0.5,"Popular","Less Popular"))</f>
        <v>Less Popular</v>
      </c>
      <c r="S24" s="1" t="str">
        <f>IF(Table13[[#This Row],[Visit_Time_Hrs]]&lt;=2,"Short Visit", IF(Table13[[#This Row],[Visit_Time_Hrs]]&lt;=5,"Medium Visit","Full Day"))</f>
        <v>Short Visit</v>
      </c>
      <c r="T24" s="1" t="str">
        <f>IF(Table13[[#This Row],[Airport_50km_Radius]]="Yes","Accessible","Remote")</f>
        <v>Accessible</v>
      </c>
      <c r="U24" s="1" t="str">
        <f>IF(Table13[[#This Row],[Reiew_Rating]]&gt;=4.7,"Yes","No")</f>
        <v>No</v>
      </c>
      <c r="V24" s="1" t="str">
        <f t="shared" si="0"/>
        <v>Heritage &amp; Culture</v>
      </c>
      <c r="W24" s="1" t="str">
        <f t="shared" si="1"/>
        <v>★★★★☆</v>
      </c>
      <c r="X24" s="1" t="str">
        <f t="shared" si="2"/>
        <v>4 / 5 Stars</v>
      </c>
      <c r="Y24" s="1" t="str">
        <f t="shared" si="3"/>
        <v>Low Traffic</v>
      </c>
    </row>
    <row r="25" spans="1:25" x14ac:dyDescent="0.3">
      <c r="A25" s="2" t="s">
        <v>62</v>
      </c>
      <c r="B25" s="2" t="s">
        <v>63</v>
      </c>
      <c r="C25" s="2" t="s">
        <v>64</v>
      </c>
      <c r="D25" s="2" t="s">
        <v>78</v>
      </c>
      <c r="E25" s="2" t="s">
        <v>79</v>
      </c>
      <c r="F25" s="1">
        <v>1806</v>
      </c>
      <c r="G25" s="1">
        <v>2</v>
      </c>
      <c r="H25" s="1">
        <v>4.3</v>
      </c>
      <c r="I25" s="1" t="str">
        <f>IF(Table13[[#This Row],[Reiew_Rating]]&gt;=4.5,"Excellent",
IF(Table13[[#This Row],[Reiew_Rating]]&gt;=4,"Good","Average"))</f>
        <v>Good</v>
      </c>
      <c r="J25" s="1">
        <v>0</v>
      </c>
      <c r="K25" s="1" t="str">
        <f>IF(Table13[[#This Row],[Entrance_Fee_INR]]=0,"Free","Paid")</f>
        <v>Free</v>
      </c>
      <c r="L25" s="2" t="s">
        <v>19</v>
      </c>
      <c r="M25" s="2" t="s">
        <v>40</v>
      </c>
      <c r="N25" s="2" t="s">
        <v>80</v>
      </c>
      <c r="O25" s="2" t="s">
        <v>19</v>
      </c>
      <c r="P25" s="3">
        <v>0.05</v>
      </c>
      <c r="Q25" s="2" t="s">
        <v>22</v>
      </c>
      <c r="R25" s="1" t="str">
        <f>IF(Table13[[#This Row],[Number_Review_Lakhs]]&gt;=1,"Highly Popular", IF(Table13[[#This Row],[Number_Review_Lakhs]]&gt;=0.5,"Popular","Less Popular"))</f>
        <v>Less Popular</v>
      </c>
      <c r="S25" s="1" t="str">
        <f>IF(Table13[[#This Row],[Visit_Time_Hrs]]&lt;=2,"Short Visit", IF(Table13[[#This Row],[Visit_Time_Hrs]]&lt;=5,"Medium Visit","Full Day"))</f>
        <v>Short Visit</v>
      </c>
      <c r="T25" s="1" t="str">
        <f>IF(Table13[[#This Row],[Airport_50km_Radius]]="Yes","Accessible","Remote")</f>
        <v>Accessible</v>
      </c>
      <c r="U25" s="1" t="str">
        <f>IF(Table13[[#This Row],[Reiew_Rating]]&gt;=4.7,"Yes","No")</f>
        <v>No</v>
      </c>
      <c r="V25" s="1" t="str">
        <f t="shared" si="0"/>
        <v>Leisure &amp; Commerce</v>
      </c>
      <c r="W25" s="1" t="str">
        <f t="shared" si="1"/>
        <v>★★★★☆</v>
      </c>
      <c r="X25" s="1" t="str">
        <f t="shared" si="2"/>
        <v>4 / 5 Stars</v>
      </c>
      <c r="Y25" s="1" t="str">
        <f t="shared" si="3"/>
        <v>Low Traffic</v>
      </c>
    </row>
    <row r="26" spans="1:25" x14ac:dyDescent="0.3">
      <c r="A26" s="2" t="s">
        <v>62</v>
      </c>
      <c r="B26" s="2" t="s">
        <v>63</v>
      </c>
      <c r="C26" s="2" t="s">
        <v>64</v>
      </c>
      <c r="D26" s="2" t="s">
        <v>81</v>
      </c>
      <c r="E26" s="2" t="s">
        <v>82</v>
      </c>
      <c r="F26" s="1">
        <v>1986</v>
      </c>
      <c r="G26" s="1">
        <v>5</v>
      </c>
      <c r="H26" s="1">
        <v>4.3</v>
      </c>
      <c r="I26" s="1" t="str">
        <f>IF(Table13[[#This Row],[Reiew_Rating]]&gt;=4.5,"Excellent",
IF(Table13[[#This Row],[Reiew_Rating]]&gt;=4,"Good","Average"))</f>
        <v>Good</v>
      </c>
      <c r="J26" s="1">
        <v>1149</v>
      </c>
      <c r="K26" s="1" t="str">
        <f>IF(Table13[[#This Row],[Entrance_Fee_INR]]=0,"Free","Paid")</f>
        <v>Paid</v>
      </c>
      <c r="L26" s="2" t="s">
        <v>19</v>
      </c>
      <c r="M26" s="2" t="s">
        <v>40</v>
      </c>
      <c r="N26" s="2" t="s">
        <v>80</v>
      </c>
      <c r="O26" s="2" t="s">
        <v>19</v>
      </c>
      <c r="P26" s="3">
        <v>0.27</v>
      </c>
      <c r="Q26" s="2" t="s">
        <v>51</v>
      </c>
      <c r="R26" s="1" t="str">
        <f>IF(Table13[[#This Row],[Number_Review_Lakhs]]&gt;=1,"Highly Popular", IF(Table13[[#This Row],[Number_Review_Lakhs]]&gt;=0.5,"Popular","Less Popular"))</f>
        <v>Less Popular</v>
      </c>
      <c r="S26" s="1" t="str">
        <f>IF(Table13[[#This Row],[Visit_Time_Hrs]]&lt;=2,"Short Visit", IF(Table13[[#This Row],[Visit_Time_Hrs]]&lt;=5,"Medium Visit","Full Day"))</f>
        <v>Medium Visit</v>
      </c>
      <c r="T26" s="1" t="str">
        <f>IF(Table13[[#This Row],[Airport_50km_Radius]]="Yes","Accessible","Remote")</f>
        <v>Accessible</v>
      </c>
      <c r="U26" s="1" t="str">
        <f>IF(Table13[[#This Row],[Reiew_Rating]]&gt;=4.7,"Yes","No")</f>
        <v>No</v>
      </c>
      <c r="V26" s="1" t="str">
        <f t="shared" si="0"/>
        <v>Leisure &amp; Commerce</v>
      </c>
      <c r="W26" s="1" t="str">
        <f t="shared" si="1"/>
        <v>★★★★☆</v>
      </c>
      <c r="X26" s="1" t="str">
        <f t="shared" si="2"/>
        <v>4 / 5 Stars</v>
      </c>
      <c r="Y26" s="1" t="str">
        <f t="shared" si="3"/>
        <v>Low Traffic</v>
      </c>
    </row>
    <row r="27" spans="1:25" x14ac:dyDescent="0.3">
      <c r="A27" s="2" t="s">
        <v>62</v>
      </c>
      <c r="B27" s="2" t="s">
        <v>63</v>
      </c>
      <c r="C27" s="2" t="s">
        <v>64</v>
      </c>
      <c r="D27" s="2" t="s">
        <v>83</v>
      </c>
      <c r="E27" s="2" t="s">
        <v>59</v>
      </c>
      <c r="F27" s="1">
        <v>1987</v>
      </c>
      <c r="G27" s="1">
        <v>4</v>
      </c>
      <c r="H27" s="1">
        <v>4.3</v>
      </c>
      <c r="I27" s="1" t="str">
        <f>IF(Table13[[#This Row],[Reiew_Rating]]&gt;=4.5,"Excellent",
IF(Table13[[#This Row],[Reiew_Rating]]&gt;=4,"Good","Average"))</f>
        <v>Good</v>
      </c>
      <c r="J27" s="1">
        <v>550</v>
      </c>
      <c r="K27" s="1" t="str">
        <f>IF(Table13[[#This Row],[Entrance_Fee_INR]]=0,"Free","Paid")</f>
        <v>Paid</v>
      </c>
      <c r="L27" s="2" t="s">
        <v>19</v>
      </c>
      <c r="M27" s="2" t="s">
        <v>720</v>
      </c>
      <c r="N27" s="2" t="s">
        <v>21</v>
      </c>
      <c r="O27" s="2" t="s">
        <v>19</v>
      </c>
      <c r="P27" s="3">
        <v>0.35</v>
      </c>
      <c r="Q27" s="2" t="s">
        <v>84</v>
      </c>
      <c r="R27" s="1" t="str">
        <f>IF(Table13[[#This Row],[Number_Review_Lakhs]]&gt;=1,"Highly Popular", IF(Table13[[#This Row],[Number_Review_Lakhs]]&gt;=0.5,"Popular","Less Popular"))</f>
        <v>Less Popular</v>
      </c>
      <c r="S27" s="1" t="str">
        <f>IF(Table13[[#This Row],[Visit_Time_Hrs]]&lt;=2,"Short Visit", IF(Table13[[#This Row],[Visit_Time_Hrs]]&lt;=5,"Medium Visit","Full Day"))</f>
        <v>Medium Visit</v>
      </c>
      <c r="T27" s="1" t="str">
        <f>IF(Table13[[#This Row],[Airport_50km_Radius]]="Yes","Accessible","Remote")</f>
        <v>Accessible</v>
      </c>
      <c r="U27" s="1" t="str">
        <f>IF(Table13[[#This Row],[Reiew_Rating]]&gt;=4.7,"Yes","No")</f>
        <v>No</v>
      </c>
      <c r="V27" s="1" t="str">
        <f t="shared" si="0"/>
        <v>Heritage &amp; Culture</v>
      </c>
      <c r="W27" s="1" t="str">
        <f t="shared" si="1"/>
        <v>★★★★☆</v>
      </c>
      <c r="X27" s="1" t="str">
        <f t="shared" si="2"/>
        <v>4 / 5 Stars</v>
      </c>
      <c r="Y27" s="1" t="str">
        <f t="shared" si="3"/>
        <v>Low Traffic</v>
      </c>
    </row>
    <row r="28" spans="1:25" x14ac:dyDescent="0.3">
      <c r="A28" s="2" t="s">
        <v>62</v>
      </c>
      <c r="B28" s="2" t="s">
        <v>63</v>
      </c>
      <c r="C28" s="2" t="s">
        <v>85</v>
      </c>
      <c r="D28" s="2" t="s">
        <v>86</v>
      </c>
      <c r="E28" s="2" t="s">
        <v>82</v>
      </c>
      <c r="F28" s="1">
        <v>2013</v>
      </c>
      <c r="G28" s="1">
        <v>5</v>
      </c>
      <c r="H28" s="1">
        <v>1.4</v>
      </c>
      <c r="I28" s="1" t="str">
        <f>IF(Table13[[#This Row],[Reiew_Rating]]&gt;=4.5,"Excellent",
IF(Table13[[#This Row],[Reiew_Rating]]&gt;=4,"Good","Average"))</f>
        <v>Average</v>
      </c>
      <c r="J28" s="1">
        <v>1149</v>
      </c>
      <c r="K28" s="1" t="str">
        <f>IF(Table13[[#This Row],[Entrance_Fee_INR]]=0,"Free","Paid")</f>
        <v>Paid</v>
      </c>
      <c r="L28" s="2" t="s">
        <v>29</v>
      </c>
      <c r="M28" s="2" t="s">
        <v>32</v>
      </c>
      <c r="N28" s="2" t="s">
        <v>80</v>
      </c>
      <c r="O28" s="2" t="s">
        <v>19</v>
      </c>
      <c r="P28" s="3">
        <v>0.95</v>
      </c>
      <c r="Q28" s="2" t="s">
        <v>51</v>
      </c>
      <c r="R28" s="1" t="str">
        <f>IF(Table13[[#This Row],[Number_Review_Lakhs]]&gt;=1,"Highly Popular", IF(Table13[[#This Row],[Number_Review_Lakhs]]&gt;=0.5,"Popular","Less Popular"))</f>
        <v>Popular</v>
      </c>
      <c r="S28" s="1" t="str">
        <f>IF(Table13[[#This Row],[Visit_Time_Hrs]]&lt;=2,"Short Visit", IF(Table13[[#This Row],[Visit_Time_Hrs]]&lt;=5,"Medium Visit","Full Day"))</f>
        <v>Medium Visit</v>
      </c>
      <c r="T28" s="1" t="str">
        <f>IF(Table13[[#This Row],[Airport_50km_Radius]]="Yes","Accessible","Remote")</f>
        <v>Remote</v>
      </c>
      <c r="U28" s="1" t="str">
        <f>IF(Table13[[#This Row],[Reiew_Rating]]&gt;=4.7,"Yes","No")</f>
        <v>No</v>
      </c>
      <c r="V28" s="1" t="str">
        <f t="shared" si="0"/>
        <v>Leisure &amp; Commerce</v>
      </c>
      <c r="W28" s="1" t="str">
        <f t="shared" si="1"/>
        <v>★☆☆☆☆</v>
      </c>
      <c r="X28" s="1" t="str">
        <f t="shared" si="2"/>
        <v>1 / 5 Stars</v>
      </c>
      <c r="Y28" s="1" t="str">
        <f t="shared" si="3"/>
        <v>Medium Traffic</v>
      </c>
    </row>
    <row r="29" spans="1:25" x14ac:dyDescent="0.3">
      <c r="A29" s="2" t="s">
        <v>87</v>
      </c>
      <c r="B29" s="2" t="s">
        <v>88</v>
      </c>
      <c r="C29" s="2" t="s">
        <v>89</v>
      </c>
      <c r="D29" s="2" t="s">
        <v>90</v>
      </c>
      <c r="E29" s="2" t="s">
        <v>91</v>
      </c>
      <c r="F29" s="1">
        <v>1878</v>
      </c>
      <c r="G29" s="1">
        <v>2</v>
      </c>
      <c r="H29" s="1">
        <v>4.2</v>
      </c>
      <c r="I29" s="1" t="str">
        <f>IF(Table13[[#This Row],[Reiew_Rating]]&gt;=4.5,"Excellent",
IF(Table13[[#This Row],[Reiew_Rating]]&gt;=4,"Good","Average"))</f>
        <v>Good</v>
      </c>
      <c r="J29" s="1">
        <v>500</v>
      </c>
      <c r="K29" s="1" t="str">
        <f>IF(Table13[[#This Row],[Entrance_Fee_INR]]=0,"Free","Paid")</f>
        <v>Paid</v>
      </c>
      <c r="L29" s="2" t="s">
        <v>19</v>
      </c>
      <c r="M29" s="2" t="s">
        <v>32</v>
      </c>
      <c r="N29" s="2" t="s">
        <v>21</v>
      </c>
      <c r="O29" s="2" t="s">
        <v>19</v>
      </c>
      <c r="P29" s="3">
        <v>0.9</v>
      </c>
      <c r="Q29" s="2" t="s">
        <v>37</v>
      </c>
      <c r="R29" s="1" t="str">
        <f>IF(Table13[[#This Row],[Number_Review_Lakhs]]&gt;=1,"Highly Popular", IF(Table13[[#This Row],[Number_Review_Lakhs]]&gt;=0.5,"Popular","Less Popular"))</f>
        <v>Popular</v>
      </c>
      <c r="S29" s="1" t="str">
        <f>IF(Table13[[#This Row],[Visit_Time_Hrs]]&lt;=2,"Short Visit", IF(Table13[[#This Row],[Visit_Time_Hrs]]&lt;=5,"Medium Visit","Full Day"))</f>
        <v>Short Visit</v>
      </c>
      <c r="T29" s="1" t="str">
        <f>IF(Table13[[#This Row],[Airport_50km_Radius]]="Yes","Accessible","Remote")</f>
        <v>Accessible</v>
      </c>
      <c r="U29" s="1" t="str">
        <f>IF(Table13[[#This Row],[Reiew_Rating]]&gt;=4.7,"Yes","No")</f>
        <v>No</v>
      </c>
      <c r="V29" s="1" t="str">
        <f t="shared" si="0"/>
        <v>Heritage &amp; Culture</v>
      </c>
      <c r="W29" s="1" t="str">
        <f t="shared" si="1"/>
        <v>★★★★☆</v>
      </c>
      <c r="X29" s="1" t="str">
        <f t="shared" si="2"/>
        <v>4 / 5 Stars</v>
      </c>
      <c r="Y29" s="1" t="str">
        <f t="shared" si="3"/>
        <v>Medium Traffic</v>
      </c>
    </row>
    <row r="30" spans="1:25" x14ac:dyDescent="0.3">
      <c r="A30" s="2" t="s">
        <v>87</v>
      </c>
      <c r="B30" s="2" t="s">
        <v>88</v>
      </c>
      <c r="C30" s="2" t="s">
        <v>89</v>
      </c>
      <c r="D30" s="2" t="s">
        <v>92</v>
      </c>
      <c r="E30" s="2" t="s">
        <v>93</v>
      </c>
      <c r="F30" s="1">
        <v>1760</v>
      </c>
      <c r="G30" s="1">
        <v>1.5</v>
      </c>
      <c r="H30" s="1">
        <v>4.4000000000000004</v>
      </c>
      <c r="I30" s="1" t="str">
        <f>IF(Table13[[#This Row],[Reiew_Rating]]&gt;=4.5,"Excellent",
IF(Table13[[#This Row],[Reiew_Rating]]&gt;=4,"Good","Average"))</f>
        <v>Good</v>
      </c>
      <c r="J30" s="1">
        <v>20</v>
      </c>
      <c r="K30" s="1" t="str">
        <f>IF(Table13[[#This Row],[Entrance_Fee_INR]]=0,"Free","Paid")</f>
        <v>Paid</v>
      </c>
      <c r="L30" s="2" t="s">
        <v>19</v>
      </c>
      <c r="M30" s="2" t="s">
        <v>722</v>
      </c>
      <c r="N30" s="2" t="s">
        <v>94</v>
      </c>
      <c r="O30" s="2" t="s">
        <v>19</v>
      </c>
      <c r="P30" s="3">
        <v>1.5</v>
      </c>
      <c r="Q30" s="2" t="s">
        <v>22</v>
      </c>
      <c r="R30" s="1" t="str">
        <f>IF(Table13[[#This Row],[Number_Review_Lakhs]]&gt;=1,"Highly Popular", IF(Table13[[#This Row],[Number_Review_Lakhs]]&gt;=0.5,"Popular","Less Popular"))</f>
        <v>Highly Popular</v>
      </c>
      <c r="S30" s="1" t="str">
        <f>IF(Table13[[#This Row],[Visit_Time_Hrs]]&lt;=2,"Short Visit", IF(Table13[[#This Row],[Visit_Time_Hrs]]&lt;=5,"Medium Visit","Full Day"))</f>
        <v>Short Visit</v>
      </c>
      <c r="T30" s="1" t="str">
        <f>IF(Table13[[#This Row],[Airport_50km_Radius]]="Yes","Accessible","Remote")</f>
        <v>Accessible</v>
      </c>
      <c r="U30" s="1" t="str">
        <f>IF(Table13[[#This Row],[Reiew_Rating]]&gt;=4.7,"Yes","No")</f>
        <v>No</v>
      </c>
      <c r="V30" s="1" t="str">
        <f t="shared" si="0"/>
        <v>Nature &amp; Wildlife</v>
      </c>
      <c r="W30" s="1" t="str">
        <f t="shared" si="1"/>
        <v>★★★★☆</v>
      </c>
      <c r="X30" s="1" t="str">
        <f t="shared" si="2"/>
        <v>4 / 5 Stars</v>
      </c>
      <c r="Y30" s="1" t="str">
        <f t="shared" si="3"/>
        <v>High Traffic</v>
      </c>
    </row>
    <row r="31" spans="1:25" x14ac:dyDescent="0.3">
      <c r="A31" s="2" t="s">
        <v>87</v>
      </c>
      <c r="B31" s="2" t="s">
        <v>88</v>
      </c>
      <c r="C31" s="2" t="s">
        <v>89</v>
      </c>
      <c r="D31" s="2" t="s">
        <v>95</v>
      </c>
      <c r="E31" s="2" t="s">
        <v>47</v>
      </c>
      <c r="F31" s="1">
        <v>1870</v>
      </c>
      <c r="G31" s="1">
        <v>1</v>
      </c>
      <c r="H31" s="1">
        <v>4.4000000000000004</v>
      </c>
      <c r="I31" s="1" t="str">
        <f>IF(Table13[[#This Row],[Reiew_Rating]]&gt;=4.5,"Excellent",
IF(Table13[[#This Row],[Reiew_Rating]]&gt;=4,"Good","Average"))</f>
        <v>Good</v>
      </c>
      <c r="J31" s="1">
        <v>0</v>
      </c>
      <c r="K31" s="1" t="str">
        <f>IF(Table13[[#This Row],[Entrance_Fee_INR]]=0,"Free","Paid")</f>
        <v>Free</v>
      </c>
      <c r="L31" s="2" t="s">
        <v>19</v>
      </c>
      <c r="M31" s="2" t="s">
        <v>722</v>
      </c>
      <c r="N31" s="2" t="s">
        <v>94</v>
      </c>
      <c r="O31" s="2" t="s">
        <v>19</v>
      </c>
      <c r="P31" s="3">
        <v>1.32</v>
      </c>
      <c r="Q31" s="2" t="s">
        <v>37</v>
      </c>
      <c r="R31" s="1" t="str">
        <f>IF(Table13[[#This Row],[Number_Review_Lakhs]]&gt;=1,"Highly Popular", IF(Table13[[#This Row],[Number_Review_Lakhs]]&gt;=0.5,"Popular","Less Popular"))</f>
        <v>Highly Popular</v>
      </c>
      <c r="S31" s="1" t="str">
        <f>IF(Table13[[#This Row],[Visit_Time_Hrs]]&lt;=2,"Short Visit", IF(Table13[[#This Row],[Visit_Time_Hrs]]&lt;=5,"Medium Visit","Full Day"))</f>
        <v>Short Visit</v>
      </c>
      <c r="T31" s="1" t="str">
        <f>IF(Table13[[#This Row],[Airport_50km_Radius]]="Yes","Accessible","Remote")</f>
        <v>Accessible</v>
      </c>
      <c r="U31" s="1" t="str">
        <f>IF(Table13[[#This Row],[Reiew_Rating]]&gt;=4.7,"Yes","No")</f>
        <v>No</v>
      </c>
      <c r="V31" s="1" t="str">
        <f t="shared" si="0"/>
        <v>Nature &amp; Wildlife</v>
      </c>
      <c r="W31" s="1" t="str">
        <f t="shared" si="1"/>
        <v>★★★★☆</v>
      </c>
      <c r="X31" s="1" t="str">
        <f t="shared" si="2"/>
        <v>4 / 5 Stars</v>
      </c>
      <c r="Y31" s="1" t="str">
        <f t="shared" si="3"/>
        <v>Medium Traffic</v>
      </c>
    </row>
    <row r="32" spans="1:25" x14ac:dyDescent="0.3">
      <c r="A32" s="2" t="s">
        <v>87</v>
      </c>
      <c r="B32" s="2" t="s">
        <v>88</v>
      </c>
      <c r="C32" s="2" t="s">
        <v>89</v>
      </c>
      <c r="D32" s="2" t="s">
        <v>96</v>
      </c>
      <c r="E32" s="2" t="s">
        <v>97</v>
      </c>
      <c r="F32" s="1">
        <v>1956</v>
      </c>
      <c r="G32" s="1">
        <v>0.5</v>
      </c>
      <c r="H32" s="1">
        <v>4.5999999999999996</v>
      </c>
      <c r="I32" s="1" t="str">
        <f>IF(Table13[[#This Row],[Reiew_Rating]]&gt;=4.5,"Excellent",
IF(Table13[[#This Row],[Reiew_Rating]]&gt;=4,"Good","Average"))</f>
        <v>Excellent</v>
      </c>
      <c r="J32" s="1">
        <v>0</v>
      </c>
      <c r="K32" s="1" t="str">
        <f>IF(Table13[[#This Row],[Entrance_Fee_INR]]=0,"Free","Paid")</f>
        <v>Free</v>
      </c>
      <c r="L32" s="2" t="s">
        <v>19</v>
      </c>
      <c r="M32" s="2" t="s">
        <v>32</v>
      </c>
      <c r="N32" s="2" t="s">
        <v>98</v>
      </c>
      <c r="O32" s="2" t="s">
        <v>29</v>
      </c>
      <c r="P32" s="3">
        <v>0.8</v>
      </c>
      <c r="Q32" s="2" t="s">
        <v>37</v>
      </c>
      <c r="R32" s="1" t="str">
        <f>IF(Table13[[#This Row],[Number_Review_Lakhs]]&gt;=1,"Highly Popular", IF(Table13[[#This Row],[Number_Review_Lakhs]]&gt;=0.5,"Popular","Less Popular"))</f>
        <v>Popular</v>
      </c>
      <c r="S32" s="1" t="str">
        <f>IF(Table13[[#This Row],[Visit_Time_Hrs]]&lt;=2,"Short Visit", IF(Table13[[#This Row],[Visit_Time_Hrs]]&lt;=5,"Medium Visit","Full Day"))</f>
        <v>Short Visit</v>
      </c>
      <c r="T32" s="1" t="str">
        <f>IF(Table13[[#This Row],[Airport_50km_Radius]]="Yes","Accessible","Remote")</f>
        <v>Accessible</v>
      </c>
      <c r="U32" s="1" t="str">
        <f>IF(Table13[[#This Row],[Reiew_Rating]]&gt;=4.7,"Yes","No")</f>
        <v>No</v>
      </c>
      <c r="V32" s="1" t="str">
        <f t="shared" si="0"/>
        <v>Heritage &amp; Culture</v>
      </c>
      <c r="W32" s="1" t="str">
        <f t="shared" si="1"/>
        <v>★★★★★</v>
      </c>
      <c r="X32" s="1" t="str">
        <f t="shared" si="2"/>
        <v>5 / 5 Stars</v>
      </c>
      <c r="Y32" s="1" t="str">
        <f t="shared" si="3"/>
        <v>Medium Traffic</v>
      </c>
    </row>
    <row r="33" spans="1:25" x14ac:dyDescent="0.3">
      <c r="A33" s="2" t="s">
        <v>87</v>
      </c>
      <c r="B33" s="2" t="s">
        <v>88</v>
      </c>
      <c r="C33" s="2" t="s">
        <v>89</v>
      </c>
      <c r="D33" s="2" t="s">
        <v>99</v>
      </c>
      <c r="E33" s="2" t="s">
        <v>27</v>
      </c>
      <c r="F33" s="1">
        <v>1997</v>
      </c>
      <c r="G33" s="1">
        <v>1</v>
      </c>
      <c r="H33" s="1">
        <v>4.5999999999999996</v>
      </c>
      <c r="I33" s="1" t="str">
        <f>IF(Table13[[#This Row],[Reiew_Rating]]&gt;=4.5,"Excellent",
IF(Table13[[#This Row],[Reiew_Rating]]&gt;=4,"Good","Average"))</f>
        <v>Excellent</v>
      </c>
      <c r="J33" s="1">
        <v>0</v>
      </c>
      <c r="K33" s="1" t="str">
        <f>IF(Table13[[#This Row],[Entrance_Fee_INR]]=0,"Free","Paid")</f>
        <v>Free</v>
      </c>
      <c r="L33" s="2" t="s">
        <v>19</v>
      </c>
      <c r="M33" s="2" t="s">
        <v>720</v>
      </c>
      <c r="N33" s="2" t="s">
        <v>28</v>
      </c>
      <c r="O33" s="2" t="s">
        <v>19</v>
      </c>
      <c r="P33" s="3">
        <v>1.1399999999999999</v>
      </c>
      <c r="Q33" s="2" t="s">
        <v>22</v>
      </c>
      <c r="R33" s="1" t="str">
        <f>IF(Table13[[#This Row],[Number_Review_Lakhs]]&gt;=1,"Highly Popular", IF(Table13[[#This Row],[Number_Review_Lakhs]]&gt;=0.5,"Popular","Less Popular"))</f>
        <v>Highly Popular</v>
      </c>
      <c r="S33" s="1" t="str">
        <f>IF(Table13[[#This Row],[Visit_Time_Hrs]]&lt;=2,"Short Visit", IF(Table13[[#This Row],[Visit_Time_Hrs]]&lt;=5,"Medium Visit","Full Day"))</f>
        <v>Short Visit</v>
      </c>
      <c r="T33" s="1" t="str">
        <f>IF(Table13[[#This Row],[Airport_50km_Radius]]="Yes","Accessible","Remote")</f>
        <v>Accessible</v>
      </c>
      <c r="U33" s="1" t="str">
        <f>IF(Table13[[#This Row],[Reiew_Rating]]&gt;=4.7,"Yes","No")</f>
        <v>No</v>
      </c>
      <c r="V33" s="1" t="str">
        <f t="shared" si="0"/>
        <v>Heritage &amp; Culture</v>
      </c>
      <c r="W33" s="1" t="str">
        <f t="shared" si="1"/>
        <v>★★★★★</v>
      </c>
      <c r="X33" s="1" t="str">
        <f t="shared" si="2"/>
        <v>5 / 5 Stars</v>
      </c>
      <c r="Y33" s="1" t="str">
        <f t="shared" si="3"/>
        <v>Medium Traffic</v>
      </c>
    </row>
    <row r="34" spans="1:25" x14ac:dyDescent="0.3">
      <c r="A34" s="2" t="s">
        <v>87</v>
      </c>
      <c r="B34" s="2" t="s">
        <v>100</v>
      </c>
      <c r="C34" s="2" t="s">
        <v>101</v>
      </c>
      <c r="D34" s="2" t="s">
        <v>102</v>
      </c>
      <c r="E34" s="2" t="s">
        <v>103</v>
      </c>
      <c r="F34" s="1">
        <v>1591</v>
      </c>
      <c r="G34" s="1">
        <v>1</v>
      </c>
      <c r="H34" s="1">
        <v>4.5</v>
      </c>
      <c r="I34" s="1" t="str">
        <f>IF(Table13[[#This Row],[Reiew_Rating]]&gt;=4.5,"Excellent",
IF(Table13[[#This Row],[Reiew_Rating]]&gt;=4,"Good","Average"))</f>
        <v>Excellent</v>
      </c>
      <c r="J34" s="1">
        <v>25</v>
      </c>
      <c r="K34" s="1" t="str">
        <f>IF(Table13[[#This Row],[Entrance_Fee_INR]]=0,"Free","Paid")</f>
        <v>Paid</v>
      </c>
      <c r="L34" s="2" t="s">
        <v>19</v>
      </c>
      <c r="M34" s="2" t="s">
        <v>57</v>
      </c>
      <c r="N34" s="2" t="s">
        <v>21</v>
      </c>
      <c r="O34" s="2" t="s">
        <v>19</v>
      </c>
      <c r="P34" s="3">
        <v>2.1</v>
      </c>
      <c r="Q34" s="2" t="s">
        <v>37</v>
      </c>
      <c r="R34" s="1" t="str">
        <f>IF(Table13[[#This Row],[Number_Review_Lakhs]]&gt;=1,"Highly Popular", IF(Table13[[#This Row],[Number_Review_Lakhs]]&gt;=0.5,"Popular","Less Popular"))</f>
        <v>Highly Popular</v>
      </c>
      <c r="S34" s="1" t="str">
        <f>IF(Table13[[#This Row],[Visit_Time_Hrs]]&lt;=2,"Short Visit", IF(Table13[[#This Row],[Visit_Time_Hrs]]&lt;=5,"Medium Visit","Full Day"))</f>
        <v>Short Visit</v>
      </c>
      <c r="T34" s="1" t="str">
        <f>IF(Table13[[#This Row],[Airport_50km_Radius]]="Yes","Accessible","Remote")</f>
        <v>Accessible</v>
      </c>
      <c r="U34" s="1" t="str">
        <f>IF(Table13[[#This Row],[Reiew_Rating]]&gt;=4.7,"Yes","No")</f>
        <v>No</v>
      </c>
      <c r="V34" s="1" t="str">
        <f t="shared" si="0"/>
        <v>Heritage &amp; Culture</v>
      </c>
      <c r="W34" s="1" t="str">
        <f t="shared" si="1"/>
        <v>★★★★★</v>
      </c>
      <c r="X34" s="1" t="str">
        <f t="shared" si="2"/>
        <v>5 / 5 Stars</v>
      </c>
      <c r="Y34" s="1" t="str">
        <f t="shared" si="3"/>
        <v>High Traffic</v>
      </c>
    </row>
    <row r="35" spans="1:25" x14ac:dyDescent="0.3">
      <c r="A35" s="2" t="s">
        <v>87</v>
      </c>
      <c r="B35" s="2" t="s">
        <v>100</v>
      </c>
      <c r="C35" s="2" t="s">
        <v>101</v>
      </c>
      <c r="D35" s="2" t="s">
        <v>104</v>
      </c>
      <c r="E35" s="2" t="s">
        <v>43</v>
      </c>
      <c r="F35" s="1">
        <v>1600</v>
      </c>
      <c r="G35" s="1">
        <v>2</v>
      </c>
      <c r="H35" s="1">
        <v>4.4000000000000004</v>
      </c>
      <c r="I35" s="1" t="str">
        <f>IF(Table13[[#This Row],[Reiew_Rating]]&gt;=4.5,"Excellent",
IF(Table13[[#This Row],[Reiew_Rating]]&gt;=4,"Good","Average"))</f>
        <v>Good</v>
      </c>
      <c r="J35" s="1">
        <v>30</v>
      </c>
      <c r="K35" s="1" t="str">
        <f>IF(Table13[[#This Row],[Entrance_Fee_INR]]=0,"Free","Paid")</f>
        <v>Paid</v>
      </c>
      <c r="L35" s="2" t="s">
        <v>19</v>
      </c>
      <c r="M35" s="2" t="s">
        <v>305</v>
      </c>
      <c r="N35" s="2" t="s">
        <v>21</v>
      </c>
      <c r="O35" s="2" t="s">
        <v>19</v>
      </c>
      <c r="P35" s="3">
        <v>1.2</v>
      </c>
      <c r="Q35" s="2" t="s">
        <v>37</v>
      </c>
      <c r="R35" s="1" t="str">
        <f>IF(Table13[[#This Row],[Number_Review_Lakhs]]&gt;=1,"Highly Popular", IF(Table13[[#This Row],[Number_Review_Lakhs]]&gt;=0.5,"Popular","Less Popular"))</f>
        <v>Highly Popular</v>
      </c>
      <c r="S35" s="1" t="str">
        <f>IF(Table13[[#This Row],[Visit_Time_Hrs]]&lt;=2,"Short Visit", IF(Table13[[#This Row],[Visit_Time_Hrs]]&lt;=5,"Medium Visit","Full Day"))</f>
        <v>Short Visit</v>
      </c>
      <c r="T35" s="1" t="str">
        <f>IF(Table13[[#This Row],[Airport_50km_Radius]]="Yes","Accessible","Remote")</f>
        <v>Accessible</v>
      </c>
      <c r="U35" s="1" t="str">
        <f>IF(Table13[[#This Row],[Reiew_Rating]]&gt;=4.7,"Yes","No")</f>
        <v>No</v>
      </c>
      <c r="V35" s="1" t="str">
        <f t="shared" si="0"/>
        <v>Heritage &amp; Culture</v>
      </c>
      <c r="W35" s="1" t="str">
        <f t="shared" si="1"/>
        <v>★★★★☆</v>
      </c>
      <c r="X35" s="1" t="str">
        <f t="shared" si="2"/>
        <v>4 / 5 Stars</v>
      </c>
      <c r="Y35" s="1" t="str">
        <f t="shared" si="3"/>
        <v>Medium Traffic</v>
      </c>
    </row>
    <row r="36" spans="1:25" x14ac:dyDescent="0.3">
      <c r="A36" s="2" t="s">
        <v>87</v>
      </c>
      <c r="B36" s="2" t="s">
        <v>100</v>
      </c>
      <c r="C36" s="2" t="s">
        <v>101</v>
      </c>
      <c r="D36" s="2" t="s">
        <v>105</v>
      </c>
      <c r="E36" s="2" t="s">
        <v>106</v>
      </c>
      <c r="F36" s="1">
        <v>1563</v>
      </c>
      <c r="G36" s="1">
        <v>1</v>
      </c>
      <c r="H36" s="1">
        <v>4.3</v>
      </c>
      <c r="I36" s="1" t="str">
        <f>IF(Table13[[#This Row],[Reiew_Rating]]&gt;=4.5,"Excellent",
IF(Table13[[#This Row],[Reiew_Rating]]&gt;=4,"Good","Average"))</f>
        <v>Good</v>
      </c>
      <c r="J36" s="1">
        <v>0</v>
      </c>
      <c r="K36" s="1" t="str">
        <f>IF(Table13[[#This Row],[Entrance_Fee_INR]]=0,"Free","Paid")</f>
        <v>Free</v>
      </c>
      <c r="L36" s="2" t="s">
        <v>19</v>
      </c>
      <c r="M36" s="2" t="s">
        <v>720</v>
      </c>
      <c r="N36" s="2" t="s">
        <v>68</v>
      </c>
      <c r="O36" s="2" t="s">
        <v>19</v>
      </c>
      <c r="P36" s="3">
        <v>0.5</v>
      </c>
      <c r="Q36" s="2" t="s">
        <v>22</v>
      </c>
      <c r="R36" s="1" t="str">
        <f>IF(Table13[[#This Row],[Number_Review_Lakhs]]&gt;=1,"Highly Popular", IF(Table13[[#This Row],[Number_Review_Lakhs]]&gt;=0.5,"Popular","Less Popular"))</f>
        <v>Popular</v>
      </c>
      <c r="S36" s="1" t="str">
        <f>IF(Table13[[#This Row],[Visit_Time_Hrs]]&lt;=2,"Short Visit", IF(Table13[[#This Row],[Visit_Time_Hrs]]&lt;=5,"Medium Visit","Full Day"))</f>
        <v>Short Visit</v>
      </c>
      <c r="T36" s="1" t="str">
        <f>IF(Table13[[#This Row],[Airport_50km_Radius]]="Yes","Accessible","Remote")</f>
        <v>Accessible</v>
      </c>
      <c r="U36" s="1" t="str">
        <f>IF(Table13[[#This Row],[Reiew_Rating]]&gt;=4.7,"Yes","No")</f>
        <v>No</v>
      </c>
      <c r="V36" s="1" t="str">
        <f t="shared" si="0"/>
        <v>Nature &amp; Wildlife</v>
      </c>
      <c r="W36" s="1" t="str">
        <f t="shared" si="1"/>
        <v>★★★★☆</v>
      </c>
      <c r="X36" s="1" t="str">
        <f t="shared" si="2"/>
        <v>4 / 5 Stars</v>
      </c>
      <c r="Y36" s="1" t="str">
        <f t="shared" si="3"/>
        <v>Medium Traffic</v>
      </c>
    </row>
    <row r="37" spans="1:25" x14ac:dyDescent="0.3">
      <c r="A37" s="2" t="s">
        <v>87</v>
      </c>
      <c r="B37" s="2" t="s">
        <v>100</v>
      </c>
      <c r="C37" s="2" t="s">
        <v>101</v>
      </c>
      <c r="D37" s="2" t="s">
        <v>107</v>
      </c>
      <c r="E37" s="2" t="s">
        <v>108</v>
      </c>
      <c r="F37" s="1">
        <v>1996</v>
      </c>
      <c r="G37" s="1">
        <v>4</v>
      </c>
      <c r="H37" s="1">
        <v>4.4000000000000004</v>
      </c>
      <c r="I37" s="1" t="str">
        <f>IF(Table13[[#This Row],[Reiew_Rating]]&gt;=4.5,"Excellent",
IF(Table13[[#This Row],[Reiew_Rating]]&gt;=4,"Good","Average"))</f>
        <v>Good</v>
      </c>
      <c r="J37" s="1">
        <v>1150</v>
      </c>
      <c r="K37" s="1" t="str">
        <f>IF(Table13[[#This Row],[Entrance_Fee_INR]]=0,"Free","Paid")</f>
        <v>Paid</v>
      </c>
      <c r="L37" s="2" t="s">
        <v>19</v>
      </c>
      <c r="M37" s="2" t="s">
        <v>57</v>
      </c>
      <c r="N37" s="2" t="s">
        <v>109</v>
      </c>
      <c r="O37" s="2" t="s">
        <v>19</v>
      </c>
      <c r="P37" s="3">
        <v>0.45</v>
      </c>
      <c r="Q37" s="2" t="s">
        <v>51</v>
      </c>
      <c r="R37" s="1" t="str">
        <f>IF(Table13[[#This Row],[Number_Review_Lakhs]]&gt;=1,"Highly Popular", IF(Table13[[#This Row],[Number_Review_Lakhs]]&gt;=0.5,"Popular","Less Popular"))</f>
        <v>Less Popular</v>
      </c>
      <c r="S37" s="1" t="str">
        <f>IF(Table13[[#This Row],[Visit_Time_Hrs]]&lt;=2,"Short Visit", IF(Table13[[#This Row],[Visit_Time_Hrs]]&lt;=5,"Medium Visit","Full Day"))</f>
        <v>Medium Visit</v>
      </c>
      <c r="T37" s="1" t="str">
        <f>IF(Table13[[#This Row],[Airport_50km_Radius]]="Yes","Accessible","Remote")</f>
        <v>Accessible</v>
      </c>
      <c r="U37" s="1" t="str">
        <f>IF(Table13[[#This Row],[Reiew_Rating]]&gt;=4.7,"Yes","No")</f>
        <v>No</v>
      </c>
      <c r="V37" s="1" t="str">
        <f t="shared" si="0"/>
        <v>Leisure &amp; Commerce</v>
      </c>
      <c r="W37" s="1" t="str">
        <f t="shared" si="1"/>
        <v>★★★★☆</v>
      </c>
      <c r="X37" s="1" t="str">
        <f t="shared" si="2"/>
        <v>4 / 5 Stars</v>
      </c>
      <c r="Y37" s="1" t="str">
        <f t="shared" si="3"/>
        <v>Medium Traffic</v>
      </c>
    </row>
    <row r="38" spans="1:25" x14ac:dyDescent="0.3">
      <c r="A38" s="2" t="s">
        <v>87</v>
      </c>
      <c r="B38" s="2" t="s">
        <v>100</v>
      </c>
      <c r="C38" s="2" t="s">
        <v>101</v>
      </c>
      <c r="D38" s="2" t="s">
        <v>110</v>
      </c>
      <c r="E38" s="2" t="s">
        <v>53</v>
      </c>
      <c r="F38" s="1">
        <v>1951</v>
      </c>
      <c r="G38" s="1">
        <v>2</v>
      </c>
      <c r="H38" s="1">
        <v>4.4000000000000004</v>
      </c>
      <c r="I38" s="1" t="str">
        <f>IF(Table13[[#This Row],[Reiew_Rating]]&gt;=4.5,"Excellent",
IF(Table13[[#This Row],[Reiew_Rating]]&gt;=4,"Good","Average"))</f>
        <v>Good</v>
      </c>
      <c r="J38" s="1">
        <v>20</v>
      </c>
      <c r="K38" s="1" t="str">
        <f>IF(Table13[[#This Row],[Entrance_Fee_INR]]=0,"Free","Paid")</f>
        <v>Paid</v>
      </c>
      <c r="L38" s="2" t="s">
        <v>19</v>
      </c>
      <c r="M38" s="2" t="s">
        <v>721</v>
      </c>
      <c r="N38" s="2" t="s">
        <v>21</v>
      </c>
      <c r="O38" s="2" t="s">
        <v>19</v>
      </c>
      <c r="P38" s="3">
        <v>0.67</v>
      </c>
      <c r="Q38" s="2" t="s">
        <v>51</v>
      </c>
      <c r="R38" s="1" t="str">
        <f>IF(Table13[[#This Row],[Number_Review_Lakhs]]&gt;=1,"Highly Popular", IF(Table13[[#This Row],[Number_Review_Lakhs]]&gt;=0.5,"Popular","Less Popular"))</f>
        <v>Popular</v>
      </c>
      <c r="S38" s="1" t="str">
        <f>IF(Table13[[#This Row],[Visit_Time_Hrs]]&lt;=2,"Short Visit", IF(Table13[[#This Row],[Visit_Time_Hrs]]&lt;=5,"Medium Visit","Full Day"))</f>
        <v>Short Visit</v>
      </c>
      <c r="T38" s="1" t="str">
        <f>IF(Table13[[#This Row],[Airport_50km_Radius]]="Yes","Accessible","Remote")</f>
        <v>Accessible</v>
      </c>
      <c r="U38" s="1" t="str">
        <f>IF(Table13[[#This Row],[Reiew_Rating]]&gt;=4.7,"Yes","No")</f>
        <v>No</v>
      </c>
      <c r="V38" s="1" t="str">
        <f t="shared" si="0"/>
        <v>Heritage &amp; Culture</v>
      </c>
      <c r="W38" s="1" t="str">
        <f t="shared" si="1"/>
        <v>★★★★☆</v>
      </c>
      <c r="X38" s="1" t="str">
        <f t="shared" si="2"/>
        <v>4 / 5 Stars</v>
      </c>
      <c r="Y38" s="1" t="str">
        <f t="shared" si="3"/>
        <v>Medium Traffic</v>
      </c>
    </row>
    <row r="39" spans="1:25" x14ac:dyDescent="0.3">
      <c r="A39" s="2" t="s">
        <v>87</v>
      </c>
      <c r="B39" s="2" t="s">
        <v>100</v>
      </c>
      <c r="C39" s="2" t="s">
        <v>101</v>
      </c>
      <c r="D39" s="2" t="s">
        <v>111</v>
      </c>
      <c r="E39" s="2" t="s">
        <v>112</v>
      </c>
      <c r="F39" s="1">
        <v>1600</v>
      </c>
      <c r="G39" s="1">
        <v>1</v>
      </c>
      <c r="H39" s="1">
        <v>4.4000000000000004</v>
      </c>
      <c r="I39" s="1" t="str">
        <f>IF(Table13[[#This Row],[Reiew_Rating]]&gt;=4.5,"Excellent",
IF(Table13[[#This Row],[Reiew_Rating]]&gt;=4,"Good","Average"))</f>
        <v>Good</v>
      </c>
      <c r="J39" s="1">
        <v>25</v>
      </c>
      <c r="K39" s="1" t="str">
        <f>IF(Table13[[#This Row],[Entrance_Fee_INR]]=0,"Free","Paid")</f>
        <v>Paid</v>
      </c>
      <c r="L39" s="2" t="s">
        <v>19</v>
      </c>
      <c r="M39" s="2" t="s">
        <v>720</v>
      </c>
      <c r="N39" s="2" t="s">
        <v>21</v>
      </c>
      <c r="O39" s="2" t="s">
        <v>19</v>
      </c>
      <c r="P39" s="3">
        <v>0.2</v>
      </c>
      <c r="Q39" s="2" t="s">
        <v>37</v>
      </c>
      <c r="R39" s="1" t="str">
        <f>IF(Table13[[#This Row],[Number_Review_Lakhs]]&gt;=1,"Highly Popular", IF(Table13[[#This Row],[Number_Review_Lakhs]]&gt;=0.5,"Popular","Less Popular"))</f>
        <v>Less Popular</v>
      </c>
      <c r="S39" s="1" t="str">
        <f>IF(Table13[[#This Row],[Visit_Time_Hrs]]&lt;=2,"Short Visit", IF(Table13[[#This Row],[Visit_Time_Hrs]]&lt;=5,"Medium Visit","Full Day"))</f>
        <v>Short Visit</v>
      </c>
      <c r="T39" s="1" t="str">
        <f>IF(Table13[[#This Row],[Airport_50km_Radius]]="Yes","Accessible","Remote")</f>
        <v>Accessible</v>
      </c>
      <c r="U39" s="1" t="str">
        <f>IF(Table13[[#This Row],[Reiew_Rating]]&gt;=4.7,"Yes","No")</f>
        <v>No</v>
      </c>
      <c r="V39" s="1" t="str">
        <f t="shared" si="0"/>
        <v>Heritage &amp; Culture</v>
      </c>
      <c r="W39" s="1" t="str">
        <f t="shared" si="1"/>
        <v>★★★★☆</v>
      </c>
      <c r="X39" s="1" t="str">
        <f t="shared" si="2"/>
        <v>4 / 5 Stars</v>
      </c>
      <c r="Y39" s="1" t="str">
        <f t="shared" si="3"/>
        <v>Low Traffic</v>
      </c>
    </row>
    <row r="40" spans="1:25" x14ac:dyDescent="0.3">
      <c r="A40" s="2" t="s">
        <v>87</v>
      </c>
      <c r="B40" s="2" t="s">
        <v>100</v>
      </c>
      <c r="C40" s="2" t="s">
        <v>101</v>
      </c>
      <c r="D40" s="2" t="s">
        <v>113</v>
      </c>
      <c r="E40" s="2" t="s">
        <v>27</v>
      </c>
      <c r="F40" s="1">
        <v>1976</v>
      </c>
      <c r="G40" s="1">
        <v>1</v>
      </c>
      <c r="H40" s="1">
        <v>4.7</v>
      </c>
      <c r="I40" s="1" t="str">
        <f>IF(Table13[[#This Row],[Reiew_Rating]]&gt;=4.5,"Excellent",
IF(Table13[[#This Row],[Reiew_Rating]]&gt;=4,"Good","Average"))</f>
        <v>Excellent</v>
      </c>
      <c r="J40" s="1">
        <v>0</v>
      </c>
      <c r="K40" s="1" t="str">
        <f>IF(Table13[[#This Row],[Entrance_Fee_INR]]=0,"Free","Paid")</f>
        <v>Free</v>
      </c>
      <c r="L40" s="2" t="s">
        <v>19</v>
      </c>
      <c r="M40" s="2" t="s">
        <v>721</v>
      </c>
      <c r="N40" s="2" t="s">
        <v>28</v>
      </c>
      <c r="O40" s="2" t="s">
        <v>29</v>
      </c>
      <c r="P40" s="3">
        <v>0.41</v>
      </c>
      <c r="Q40" s="2" t="s">
        <v>51</v>
      </c>
      <c r="R40" s="1" t="str">
        <f>IF(Table13[[#This Row],[Number_Review_Lakhs]]&gt;=1,"Highly Popular", IF(Table13[[#This Row],[Number_Review_Lakhs]]&gt;=0.5,"Popular","Less Popular"))</f>
        <v>Less Popular</v>
      </c>
      <c r="S40" s="1" t="str">
        <f>IF(Table13[[#This Row],[Visit_Time_Hrs]]&lt;=2,"Short Visit", IF(Table13[[#This Row],[Visit_Time_Hrs]]&lt;=5,"Medium Visit","Full Day"))</f>
        <v>Short Visit</v>
      </c>
      <c r="T40" s="1" t="str">
        <f>IF(Table13[[#This Row],[Airport_50km_Radius]]="Yes","Accessible","Remote")</f>
        <v>Accessible</v>
      </c>
      <c r="U40" s="1" t="str">
        <f>IF(Table13[[#This Row],[Reiew_Rating]]&gt;=4.7,"Yes","No")</f>
        <v>Yes</v>
      </c>
      <c r="V40" s="1" t="str">
        <f t="shared" si="0"/>
        <v>Heritage &amp; Culture</v>
      </c>
      <c r="W40" s="1" t="str">
        <f t="shared" si="1"/>
        <v>★★★★★</v>
      </c>
      <c r="X40" s="1" t="str">
        <f t="shared" si="2"/>
        <v>5 / 5 Stars</v>
      </c>
      <c r="Y40" s="1" t="str">
        <f t="shared" si="3"/>
        <v>Medium Traffic</v>
      </c>
    </row>
    <row r="41" spans="1:25" x14ac:dyDescent="0.3">
      <c r="A41" s="2" t="s">
        <v>87</v>
      </c>
      <c r="B41" s="2" t="s">
        <v>100</v>
      </c>
      <c r="C41" s="2" t="s">
        <v>101</v>
      </c>
      <c r="D41" s="2" t="s">
        <v>114</v>
      </c>
      <c r="E41" s="2" t="s">
        <v>91</v>
      </c>
      <c r="F41" s="1">
        <v>1800</v>
      </c>
      <c r="G41" s="1">
        <v>1.5</v>
      </c>
      <c r="H41" s="1">
        <v>4.4000000000000004</v>
      </c>
      <c r="I41" s="1" t="str">
        <f>IF(Table13[[#This Row],[Reiew_Rating]]&gt;=4.5,"Excellent",
IF(Table13[[#This Row],[Reiew_Rating]]&gt;=4,"Good","Average"))</f>
        <v>Good</v>
      </c>
      <c r="J41" s="1">
        <v>80</v>
      </c>
      <c r="K41" s="1" t="str">
        <f>IF(Table13[[#This Row],[Entrance_Fee_INR]]=0,"Free","Paid")</f>
        <v>Paid</v>
      </c>
      <c r="L41" s="2" t="s">
        <v>19</v>
      </c>
      <c r="M41" s="2" t="s">
        <v>722</v>
      </c>
      <c r="N41" s="2" t="s">
        <v>21</v>
      </c>
      <c r="O41" s="2" t="s">
        <v>19</v>
      </c>
      <c r="P41" s="3">
        <v>0.45</v>
      </c>
      <c r="Q41" s="2" t="s">
        <v>37</v>
      </c>
      <c r="R41" s="1" t="str">
        <f>IF(Table13[[#This Row],[Number_Review_Lakhs]]&gt;=1,"Highly Popular", IF(Table13[[#This Row],[Number_Review_Lakhs]]&gt;=0.5,"Popular","Less Popular"))</f>
        <v>Less Popular</v>
      </c>
      <c r="S41" s="1" t="str">
        <f>IF(Table13[[#This Row],[Visit_Time_Hrs]]&lt;=2,"Short Visit", IF(Table13[[#This Row],[Visit_Time_Hrs]]&lt;=5,"Medium Visit","Full Day"))</f>
        <v>Short Visit</v>
      </c>
      <c r="T41" s="1" t="str">
        <f>IF(Table13[[#This Row],[Airport_50km_Radius]]="Yes","Accessible","Remote")</f>
        <v>Accessible</v>
      </c>
      <c r="U41" s="1" t="str">
        <f>IF(Table13[[#This Row],[Reiew_Rating]]&gt;=4.7,"Yes","No")</f>
        <v>No</v>
      </c>
      <c r="V41" s="1" t="str">
        <f t="shared" si="0"/>
        <v>Heritage &amp; Culture</v>
      </c>
      <c r="W41" s="1" t="str">
        <f t="shared" si="1"/>
        <v>★★★★☆</v>
      </c>
      <c r="X41" s="1" t="str">
        <f t="shared" si="2"/>
        <v>4 / 5 Stars</v>
      </c>
      <c r="Y41" s="1" t="str">
        <f t="shared" si="3"/>
        <v>Medium Traffic</v>
      </c>
    </row>
    <row r="42" spans="1:25" x14ac:dyDescent="0.3">
      <c r="A42" s="2" t="s">
        <v>87</v>
      </c>
      <c r="B42" s="2" t="s">
        <v>100</v>
      </c>
      <c r="C42" s="2" t="s">
        <v>101</v>
      </c>
      <c r="D42" s="2" t="s">
        <v>115</v>
      </c>
      <c r="E42" s="2" t="s">
        <v>56</v>
      </c>
      <c r="F42" s="1">
        <v>1963</v>
      </c>
      <c r="G42" s="1">
        <v>3</v>
      </c>
      <c r="H42" s="1">
        <v>4.2</v>
      </c>
      <c r="I42" s="1" t="str">
        <f>IF(Table13[[#This Row],[Reiew_Rating]]&gt;=4.5,"Excellent",
IF(Table13[[#This Row],[Reiew_Rating]]&gt;=4,"Good","Average"))</f>
        <v>Good</v>
      </c>
      <c r="J42" s="1">
        <v>50</v>
      </c>
      <c r="K42" s="1" t="str">
        <f>IF(Table13[[#This Row],[Entrance_Fee_INR]]=0,"Free","Paid")</f>
        <v>Paid</v>
      </c>
      <c r="L42" s="2" t="s">
        <v>19</v>
      </c>
      <c r="M42" s="2" t="s">
        <v>57</v>
      </c>
      <c r="N42" s="2" t="s">
        <v>73</v>
      </c>
      <c r="O42" s="2" t="s">
        <v>19</v>
      </c>
      <c r="P42" s="3">
        <v>0.86</v>
      </c>
      <c r="Q42" s="2" t="s">
        <v>37</v>
      </c>
      <c r="R42" s="1" t="str">
        <f>IF(Table13[[#This Row],[Number_Review_Lakhs]]&gt;=1,"Highly Popular", IF(Table13[[#This Row],[Number_Review_Lakhs]]&gt;=0.5,"Popular","Less Popular"))</f>
        <v>Popular</v>
      </c>
      <c r="S42" s="1" t="str">
        <f>IF(Table13[[#This Row],[Visit_Time_Hrs]]&lt;=2,"Short Visit", IF(Table13[[#This Row],[Visit_Time_Hrs]]&lt;=5,"Medium Visit","Full Day"))</f>
        <v>Medium Visit</v>
      </c>
      <c r="T42" s="1" t="str">
        <f>IF(Table13[[#This Row],[Airport_50km_Radius]]="Yes","Accessible","Remote")</f>
        <v>Accessible</v>
      </c>
      <c r="U42" s="1" t="str">
        <f>IF(Table13[[#This Row],[Reiew_Rating]]&gt;=4.7,"Yes","No")</f>
        <v>No</v>
      </c>
      <c r="V42" s="1" t="str">
        <f t="shared" si="0"/>
        <v>Nature &amp; Wildlife</v>
      </c>
      <c r="W42" s="1" t="str">
        <f t="shared" si="1"/>
        <v>★★★★☆</v>
      </c>
      <c r="X42" s="1" t="str">
        <f t="shared" si="2"/>
        <v>4 / 5 Stars</v>
      </c>
      <c r="Y42" s="1" t="str">
        <f t="shared" si="3"/>
        <v>Medium Traffic</v>
      </c>
    </row>
    <row r="43" spans="1:25" x14ac:dyDescent="0.3">
      <c r="A43" s="2" t="s">
        <v>87</v>
      </c>
      <c r="B43" s="2" t="s">
        <v>100</v>
      </c>
      <c r="C43" s="2" t="s">
        <v>101</v>
      </c>
      <c r="D43" s="2" t="s">
        <v>116</v>
      </c>
      <c r="E43" s="2" t="s">
        <v>47</v>
      </c>
      <c r="F43" s="1">
        <v>1994</v>
      </c>
      <c r="G43" s="1">
        <v>1</v>
      </c>
      <c r="H43" s="1">
        <v>4.0999999999999996</v>
      </c>
      <c r="I43" s="1" t="str">
        <f>IF(Table13[[#This Row],[Reiew_Rating]]&gt;=4.5,"Excellent",
IF(Table13[[#This Row],[Reiew_Rating]]&gt;=4,"Good","Average"))</f>
        <v>Good</v>
      </c>
      <c r="J43" s="1">
        <v>20</v>
      </c>
      <c r="K43" s="1" t="str">
        <f>IF(Table13[[#This Row],[Entrance_Fee_INR]]=0,"Free","Paid")</f>
        <v>Paid</v>
      </c>
      <c r="L43" s="2" t="s">
        <v>19</v>
      </c>
      <c r="M43" s="2" t="s">
        <v>722</v>
      </c>
      <c r="N43" s="2" t="s">
        <v>80</v>
      </c>
      <c r="O43" s="2" t="s">
        <v>19</v>
      </c>
      <c r="P43" s="3">
        <v>0.73</v>
      </c>
      <c r="Q43" s="2" t="s">
        <v>22</v>
      </c>
      <c r="R43" s="1" t="str">
        <f>IF(Table13[[#This Row],[Number_Review_Lakhs]]&gt;=1,"Highly Popular", IF(Table13[[#This Row],[Number_Review_Lakhs]]&gt;=0.5,"Popular","Less Popular"))</f>
        <v>Popular</v>
      </c>
      <c r="S43" s="1" t="str">
        <f>IF(Table13[[#This Row],[Visit_Time_Hrs]]&lt;=2,"Short Visit", IF(Table13[[#This Row],[Visit_Time_Hrs]]&lt;=5,"Medium Visit","Full Day"))</f>
        <v>Short Visit</v>
      </c>
      <c r="T43" s="1" t="str">
        <f>IF(Table13[[#This Row],[Airport_50km_Radius]]="Yes","Accessible","Remote")</f>
        <v>Accessible</v>
      </c>
      <c r="U43" s="1" t="str">
        <f>IF(Table13[[#This Row],[Reiew_Rating]]&gt;=4.7,"Yes","No")</f>
        <v>No</v>
      </c>
      <c r="V43" s="1" t="str">
        <f t="shared" si="0"/>
        <v>Leisure &amp; Commerce</v>
      </c>
      <c r="W43" s="1" t="str">
        <f t="shared" si="1"/>
        <v>★★★★☆</v>
      </c>
      <c r="X43" s="1" t="str">
        <f t="shared" si="2"/>
        <v>4 / 5 Stars</v>
      </c>
      <c r="Y43" s="1" t="str">
        <f t="shared" si="3"/>
        <v>Medium Traffic</v>
      </c>
    </row>
    <row r="44" spans="1:25" x14ac:dyDescent="0.3">
      <c r="A44" s="2" t="s">
        <v>117</v>
      </c>
      <c r="B44" s="2" t="s">
        <v>118</v>
      </c>
      <c r="C44" s="2" t="s">
        <v>119</v>
      </c>
      <c r="D44" s="2" t="s">
        <v>120</v>
      </c>
      <c r="E44" s="2" t="s">
        <v>53</v>
      </c>
      <c r="F44" s="1">
        <v>1921</v>
      </c>
      <c r="G44" s="1">
        <v>1.5</v>
      </c>
      <c r="H44" s="1">
        <v>4.5999999999999996</v>
      </c>
      <c r="I44" s="1" t="str">
        <f>IF(Table13[[#This Row],[Reiew_Rating]]&gt;=4.5,"Excellent",
IF(Table13[[#This Row],[Reiew_Rating]]&gt;=4,"Good","Average"))</f>
        <v>Excellent</v>
      </c>
      <c r="J44" s="1">
        <v>30</v>
      </c>
      <c r="K44" s="1" t="str">
        <f>IF(Table13[[#This Row],[Entrance_Fee_INR]]=0,"Free","Paid")</f>
        <v>Paid</v>
      </c>
      <c r="L44" s="2" t="s">
        <v>19</v>
      </c>
      <c r="M44" s="2" t="s">
        <v>32</v>
      </c>
      <c r="N44" s="2" t="s">
        <v>21</v>
      </c>
      <c r="O44" s="2" t="s">
        <v>19</v>
      </c>
      <c r="P44" s="3">
        <v>0.73</v>
      </c>
      <c r="Q44" s="2" t="s">
        <v>37</v>
      </c>
      <c r="R44" s="1" t="str">
        <f>IF(Table13[[#This Row],[Number_Review_Lakhs]]&gt;=1,"Highly Popular", IF(Table13[[#This Row],[Number_Review_Lakhs]]&gt;=0.5,"Popular","Less Popular"))</f>
        <v>Popular</v>
      </c>
      <c r="S44" s="1" t="str">
        <f>IF(Table13[[#This Row],[Visit_Time_Hrs]]&lt;=2,"Short Visit", IF(Table13[[#This Row],[Visit_Time_Hrs]]&lt;=5,"Medium Visit","Full Day"))</f>
        <v>Short Visit</v>
      </c>
      <c r="T44" s="1" t="str">
        <f>IF(Table13[[#This Row],[Airport_50km_Radius]]="Yes","Accessible","Remote")</f>
        <v>Accessible</v>
      </c>
      <c r="U44" s="1" t="str">
        <f>IF(Table13[[#This Row],[Reiew_Rating]]&gt;=4.7,"Yes","No")</f>
        <v>No</v>
      </c>
      <c r="V44" s="1" t="str">
        <f t="shared" si="0"/>
        <v>Heritage &amp; Culture</v>
      </c>
      <c r="W44" s="1" t="str">
        <f t="shared" si="1"/>
        <v>★★★★★</v>
      </c>
      <c r="X44" s="1" t="str">
        <f t="shared" si="2"/>
        <v>5 / 5 Stars</v>
      </c>
      <c r="Y44" s="1" t="str">
        <f t="shared" si="3"/>
        <v>Medium Traffic</v>
      </c>
    </row>
    <row r="45" spans="1:25" x14ac:dyDescent="0.3">
      <c r="A45" s="2" t="s">
        <v>117</v>
      </c>
      <c r="B45" s="2" t="s">
        <v>118</v>
      </c>
      <c r="C45" s="2" t="s">
        <v>119</v>
      </c>
      <c r="D45" s="2" t="s">
        <v>121</v>
      </c>
      <c r="E45" s="2" t="s">
        <v>122</v>
      </c>
      <c r="F45" s="1">
        <v>1943</v>
      </c>
      <c r="G45" s="1">
        <v>0.5</v>
      </c>
      <c r="H45" s="1">
        <v>4.5999999999999996</v>
      </c>
      <c r="I45" s="1" t="str">
        <f>IF(Table13[[#This Row],[Reiew_Rating]]&gt;=4.5,"Excellent",
IF(Table13[[#This Row],[Reiew_Rating]]&gt;=4,"Good","Average"))</f>
        <v>Excellent</v>
      </c>
      <c r="J45" s="1">
        <v>0</v>
      </c>
      <c r="K45" s="1" t="str">
        <f>IF(Table13[[#This Row],[Entrance_Fee_INR]]=0,"Free","Paid")</f>
        <v>Free</v>
      </c>
      <c r="L45" s="2" t="s">
        <v>19</v>
      </c>
      <c r="M45" s="2" t="s">
        <v>57</v>
      </c>
      <c r="N45" s="2" t="s">
        <v>98</v>
      </c>
      <c r="O45" s="2" t="s">
        <v>29</v>
      </c>
      <c r="P45" s="3">
        <v>1.2</v>
      </c>
      <c r="Q45" s="2" t="s">
        <v>123</v>
      </c>
      <c r="R45" s="1" t="str">
        <f>IF(Table13[[#This Row],[Number_Review_Lakhs]]&gt;=1,"Highly Popular", IF(Table13[[#This Row],[Number_Review_Lakhs]]&gt;=0.5,"Popular","Less Popular"))</f>
        <v>Highly Popular</v>
      </c>
      <c r="S45" s="1" t="str">
        <f>IF(Table13[[#This Row],[Visit_Time_Hrs]]&lt;=2,"Short Visit", IF(Table13[[#This Row],[Visit_Time_Hrs]]&lt;=5,"Medium Visit","Full Day"))</f>
        <v>Short Visit</v>
      </c>
      <c r="T45" s="1" t="str">
        <f>IF(Table13[[#This Row],[Airport_50km_Radius]]="Yes","Accessible","Remote")</f>
        <v>Accessible</v>
      </c>
      <c r="U45" s="1" t="str">
        <f>IF(Table13[[#This Row],[Reiew_Rating]]&gt;=4.7,"Yes","No")</f>
        <v>No</v>
      </c>
      <c r="V45" s="1" t="str">
        <f t="shared" si="0"/>
        <v>Heritage &amp; Culture</v>
      </c>
      <c r="W45" s="1" t="str">
        <f t="shared" si="1"/>
        <v>★★★★★</v>
      </c>
      <c r="X45" s="1" t="str">
        <f t="shared" si="2"/>
        <v>5 / 5 Stars</v>
      </c>
      <c r="Y45" s="1" t="str">
        <f t="shared" si="3"/>
        <v>Medium Traffic</v>
      </c>
    </row>
    <row r="46" spans="1:25" x14ac:dyDescent="0.3">
      <c r="A46" s="2" t="s">
        <v>117</v>
      </c>
      <c r="B46" s="2" t="s">
        <v>118</v>
      </c>
      <c r="C46" s="2" t="s">
        <v>119</v>
      </c>
      <c r="D46" s="2" t="s">
        <v>124</v>
      </c>
      <c r="E46" s="2" t="s">
        <v>53</v>
      </c>
      <c r="F46" s="1">
        <v>1814</v>
      </c>
      <c r="G46" s="1">
        <v>2</v>
      </c>
      <c r="H46" s="1">
        <v>4.5999999999999996</v>
      </c>
      <c r="I46" s="1" t="str">
        <f>IF(Table13[[#This Row],[Reiew_Rating]]&gt;=4.5,"Excellent",
IF(Table13[[#This Row],[Reiew_Rating]]&gt;=4,"Good","Average"))</f>
        <v>Excellent</v>
      </c>
      <c r="J46" s="1">
        <v>50</v>
      </c>
      <c r="K46" s="1" t="str">
        <f>IF(Table13[[#This Row],[Entrance_Fee_INR]]=0,"Free","Paid")</f>
        <v>Paid</v>
      </c>
      <c r="L46" s="2" t="s">
        <v>19</v>
      </c>
      <c r="M46" s="2" t="s">
        <v>32</v>
      </c>
      <c r="N46" s="2" t="s">
        <v>21</v>
      </c>
      <c r="O46" s="2" t="s">
        <v>19</v>
      </c>
      <c r="P46" s="3">
        <v>0.18</v>
      </c>
      <c r="Q46" s="2" t="s">
        <v>37</v>
      </c>
      <c r="R46" s="1" t="str">
        <f>IF(Table13[[#This Row],[Number_Review_Lakhs]]&gt;=1,"Highly Popular", IF(Table13[[#This Row],[Number_Review_Lakhs]]&gt;=0.5,"Popular","Less Popular"))</f>
        <v>Less Popular</v>
      </c>
      <c r="S46" s="1" t="str">
        <f>IF(Table13[[#This Row],[Visit_Time_Hrs]]&lt;=2,"Short Visit", IF(Table13[[#This Row],[Visit_Time_Hrs]]&lt;=5,"Medium Visit","Full Day"))</f>
        <v>Short Visit</v>
      </c>
      <c r="T46" s="1" t="str">
        <f>IF(Table13[[#This Row],[Airport_50km_Radius]]="Yes","Accessible","Remote")</f>
        <v>Accessible</v>
      </c>
      <c r="U46" s="1" t="str">
        <f>IF(Table13[[#This Row],[Reiew_Rating]]&gt;=4.7,"Yes","No")</f>
        <v>No</v>
      </c>
      <c r="V46" s="1" t="str">
        <f t="shared" si="0"/>
        <v>Heritage &amp; Culture</v>
      </c>
      <c r="W46" s="1" t="str">
        <f t="shared" si="1"/>
        <v>★★★★★</v>
      </c>
      <c r="X46" s="1" t="str">
        <f t="shared" si="2"/>
        <v>5 / 5 Stars</v>
      </c>
      <c r="Y46" s="1" t="str">
        <f t="shared" si="3"/>
        <v>Low Traffic</v>
      </c>
    </row>
    <row r="47" spans="1:25" x14ac:dyDescent="0.3">
      <c r="A47" s="2" t="s">
        <v>117</v>
      </c>
      <c r="B47" s="2" t="s">
        <v>118</v>
      </c>
      <c r="C47" s="2" t="s">
        <v>119</v>
      </c>
      <c r="D47" s="2" t="s">
        <v>125</v>
      </c>
      <c r="E47" s="2" t="s">
        <v>27</v>
      </c>
      <c r="F47" s="1">
        <v>1855</v>
      </c>
      <c r="G47" s="1">
        <v>1</v>
      </c>
      <c r="H47" s="1">
        <v>4.7</v>
      </c>
      <c r="I47" s="1" t="str">
        <f>IF(Table13[[#This Row],[Reiew_Rating]]&gt;=4.5,"Excellent",
IF(Table13[[#This Row],[Reiew_Rating]]&gt;=4,"Good","Average"))</f>
        <v>Excellent</v>
      </c>
      <c r="J47" s="1">
        <v>0</v>
      </c>
      <c r="K47" s="1" t="str">
        <f>IF(Table13[[#This Row],[Entrance_Fee_INR]]=0,"Free","Paid")</f>
        <v>Free</v>
      </c>
      <c r="L47" s="2" t="s">
        <v>19</v>
      </c>
      <c r="M47" s="2" t="s">
        <v>57</v>
      </c>
      <c r="N47" s="2" t="s">
        <v>28</v>
      </c>
      <c r="O47" s="2" t="s">
        <v>19</v>
      </c>
      <c r="P47" s="3">
        <v>0.82</v>
      </c>
      <c r="Q47" s="2" t="s">
        <v>37</v>
      </c>
      <c r="R47" s="1" t="str">
        <f>IF(Table13[[#This Row],[Number_Review_Lakhs]]&gt;=1,"Highly Popular", IF(Table13[[#This Row],[Number_Review_Lakhs]]&gt;=0.5,"Popular","Less Popular"))</f>
        <v>Popular</v>
      </c>
      <c r="S47" s="1" t="str">
        <f>IF(Table13[[#This Row],[Visit_Time_Hrs]]&lt;=2,"Short Visit", IF(Table13[[#This Row],[Visit_Time_Hrs]]&lt;=5,"Medium Visit","Full Day"))</f>
        <v>Short Visit</v>
      </c>
      <c r="T47" s="1" t="str">
        <f>IF(Table13[[#This Row],[Airport_50km_Radius]]="Yes","Accessible","Remote")</f>
        <v>Accessible</v>
      </c>
      <c r="U47" s="1" t="str">
        <f>IF(Table13[[#This Row],[Reiew_Rating]]&gt;=4.7,"Yes","No")</f>
        <v>Yes</v>
      </c>
      <c r="V47" s="1" t="str">
        <f t="shared" si="0"/>
        <v>Heritage &amp; Culture</v>
      </c>
      <c r="W47" s="1" t="str">
        <f t="shared" si="1"/>
        <v>★★★★★</v>
      </c>
      <c r="X47" s="1" t="str">
        <f t="shared" si="2"/>
        <v>5 / 5 Stars</v>
      </c>
      <c r="Y47" s="1" t="str">
        <f t="shared" si="3"/>
        <v>Medium Traffic</v>
      </c>
    </row>
    <row r="48" spans="1:25" x14ac:dyDescent="0.3">
      <c r="A48" s="2" t="s">
        <v>117</v>
      </c>
      <c r="B48" s="2" t="s">
        <v>118</v>
      </c>
      <c r="C48" s="2" t="s">
        <v>119</v>
      </c>
      <c r="D48" s="2" t="s">
        <v>126</v>
      </c>
      <c r="E48" s="2" t="s">
        <v>27</v>
      </c>
      <c r="F48" s="1">
        <v>1809</v>
      </c>
      <c r="G48" s="1">
        <v>1</v>
      </c>
      <c r="H48" s="1">
        <v>4.4000000000000004</v>
      </c>
      <c r="I48" s="1" t="str">
        <f>IF(Table13[[#This Row],[Reiew_Rating]]&gt;=4.5,"Excellent",
IF(Table13[[#This Row],[Reiew_Rating]]&gt;=4,"Good","Average"))</f>
        <v>Good</v>
      </c>
      <c r="J48" s="1">
        <v>0</v>
      </c>
      <c r="K48" s="1" t="str">
        <f>IF(Table13[[#This Row],[Entrance_Fee_INR]]=0,"Free","Paid")</f>
        <v>Free</v>
      </c>
      <c r="L48" s="2" t="s">
        <v>19</v>
      </c>
      <c r="M48" s="2" t="s">
        <v>720</v>
      </c>
      <c r="N48" s="2" t="s">
        <v>28</v>
      </c>
      <c r="O48" s="2" t="s">
        <v>19</v>
      </c>
      <c r="P48" s="3">
        <v>0.5</v>
      </c>
      <c r="Q48" s="2" t="s">
        <v>37</v>
      </c>
      <c r="R48" s="1" t="str">
        <f>IF(Table13[[#This Row],[Number_Review_Lakhs]]&gt;=1,"Highly Popular", IF(Table13[[#This Row],[Number_Review_Lakhs]]&gt;=0.5,"Popular","Less Popular"))</f>
        <v>Popular</v>
      </c>
      <c r="S48" s="1" t="str">
        <f>IF(Table13[[#This Row],[Visit_Time_Hrs]]&lt;=2,"Short Visit", IF(Table13[[#This Row],[Visit_Time_Hrs]]&lt;=5,"Medium Visit","Full Day"))</f>
        <v>Short Visit</v>
      </c>
      <c r="T48" s="1" t="str">
        <f>IF(Table13[[#This Row],[Airport_50km_Radius]]="Yes","Accessible","Remote")</f>
        <v>Accessible</v>
      </c>
      <c r="U48" s="1" t="str">
        <f>IF(Table13[[#This Row],[Reiew_Rating]]&gt;=4.7,"Yes","No")</f>
        <v>No</v>
      </c>
      <c r="V48" s="1" t="str">
        <f t="shared" si="0"/>
        <v>Heritage &amp; Culture</v>
      </c>
      <c r="W48" s="1" t="str">
        <f t="shared" si="1"/>
        <v>★★★★☆</v>
      </c>
      <c r="X48" s="1" t="str">
        <f t="shared" si="2"/>
        <v>4 / 5 Stars</v>
      </c>
      <c r="Y48" s="1" t="str">
        <f t="shared" si="3"/>
        <v>Medium Traffic</v>
      </c>
    </row>
    <row r="49" spans="1:25" x14ac:dyDescent="0.3">
      <c r="A49" s="2" t="s">
        <v>117</v>
      </c>
      <c r="B49" s="2" t="s">
        <v>118</v>
      </c>
      <c r="C49" s="2" t="s">
        <v>119</v>
      </c>
      <c r="D49" s="2" t="s">
        <v>127</v>
      </c>
      <c r="E49" s="2" t="s">
        <v>128</v>
      </c>
      <c r="F49" s="1">
        <v>1864</v>
      </c>
      <c r="G49" s="1">
        <v>3</v>
      </c>
      <c r="H49" s="1">
        <v>4.0999999999999996</v>
      </c>
      <c r="I49" s="1" t="str">
        <f>IF(Table13[[#This Row],[Reiew_Rating]]&gt;=4.5,"Excellent",
IF(Table13[[#This Row],[Reiew_Rating]]&gt;=4,"Good","Average"))</f>
        <v>Good</v>
      </c>
      <c r="J49" s="1">
        <v>2500</v>
      </c>
      <c r="K49" s="1" t="str">
        <f>IF(Table13[[#This Row],[Entrance_Fee_INR]]=0,"Free","Paid")</f>
        <v>Paid</v>
      </c>
      <c r="L49" s="2" t="s">
        <v>19</v>
      </c>
      <c r="M49" s="2" t="s">
        <v>721</v>
      </c>
      <c r="N49" s="2" t="s">
        <v>129</v>
      </c>
      <c r="O49" s="2" t="s">
        <v>19</v>
      </c>
      <c r="P49" s="3">
        <v>0.1</v>
      </c>
      <c r="Q49" s="2" t="s">
        <v>51</v>
      </c>
      <c r="R49" s="1" t="str">
        <f>IF(Table13[[#This Row],[Number_Review_Lakhs]]&gt;=1,"Highly Popular", IF(Table13[[#This Row],[Number_Review_Lakhs]]&gt;=0.5,"Popular","Less Popular"))</f>
        <v>Less Popular</v>
      </c>
      <c r="S49" s="1" t="str">
        <f>IF(Table13[[#This Row],[Visit_Time_Hrs]]&lt;=2,"Short Visit", IF(Table13[[#This Row],[Visit_Time_Hrs]]&lt;=5,"Medium Visit","Full Day"))</f>
        <v>Medium Visit</v>
      </c>
      <c r="T49" s="1" t="str">
        <f>IF(Table13[[#This Row],[Airport_50km_Radius]]="Yes","Accessible","Remote")</f>
        <v>Accessible</v>
      </c>
      <c r="U49" s="1" t="str">
        <f>IF(Table13[[#This Row],[Reiew_Rating]]&gt;=4.7,"Yes","No")</f>
        <v>No</v>
      </c>
      <c r="V49" s="1" t="str">
        <f t="shared" si="0"/>
        <v>Other</v>
      </c>
      <c r="W49" s="1" t="str">
        <f t="shared" si="1"/>
        <v>★★★★☆</v>
      </c>
      <c r="X49" s="1" t="str">
        <f t="shared" si="2"/>
        <v>4 / 5 Stars</v>
      </c>
      <c r="Y49" s="1" t="str">
        <f t="shared" si="3"/>
        <v>Low Traffic</v>
      </c>
    </row>
    <row r="50" spans="1:25" x14ac:dyDescent="0.3">
      <c r="A50" s="2" t="s">
        <v>117</v>
      </c>
      <c r="B50" s="2" t="s">
        <v>118</v>
      </c>
      <c r="C50" s="2" t="s">
        <v>119</v>
      </c>
      <c r="D50" s="2" t="s">
        <v>130</v>
      </c>
      <c r="E50" s="2" t="s">
        <v>56</v>
      </c>
      <c r="F50" s="1">
        <v>1876</v>
      </c>
      <c r="G50" s="1">
        <v>2</v>
      </c>
      <c r="H50" s="1">
        <v>4.3</v>
      </c>
      <c r="I50" s="1" t="str">
        <f>IF(Table13[[#This Row],[Reiew_Rating]]&gt;=4.5,"Excellent",
IF(Table13[[#This Row],[Reiew_Rating]]&gt;=4,"Good","Average"))</f>
        <v>Good</v>
      </c>
      <c r="J50" s="1">
        <v>25</v>
      </c>
      <c r="K50" s="1" t="str">
        <f>IF(Table13[[#This Row],[Entrance_Fee_INR]]=0,"Free","Paid")</f>
        <v>Paid</v>
      </c>
      <c r="L50" s="2" t="s">
        <v>19</v>
      </c>
      <c r="M50" s="2" t="s">
        <v>57</v>
      </c>
      <c r="N50" s="2" t="s">
        <v>73</v>
      </c>
      <c r="O50" s="2" t="s">
        <v>19</v>
      </c>
      <c r="P50" s="3">
        <v>0.66</v>
      </c>
      <c r="Q50" s="2" t="s">
        <v>25</v>
      </c>
      <c r="R50" s="1" t="str">
        <f>IF(Table13[[#This Row],[Number_Review_Lakhs]]&gt;=1,"Highly Popular", IF(Table13[[#This Row],[Number_Review_Lakhs]]&gt;=0.5,"Popular","Less Popular"))</f>
        <v>Popular</v>
      </c>
      <c r="S50" s="1" t="str">
        <f>IF(Table13[[#This Row],[Visit_Time_Hrs]]&lt;=2,"Short Visit", IF(Table13[[#This Row],[Visit_Time_Hrs]]&lt;=5,"Medium Visit","Full Day"))</f>
        <v>Short Visit</v>
      </c>
      <c r="T50" s="1" t="str">
        <f>IF(Table13[[#This Row],[Airport_50km_Radius]]="Yes","Accessible","Remote")</f>
        <v>Accessible</v>
      </c>
      <c r="U50" s="1" t="str">
        <f>IF(Table13[[#This Row],[Reiew_Rating]]&gt;=4.7,"Yes","No")</f>
        <v>No</v>
      </c>
      <c r="V50" s="1" t="str">
        <f t="shared" si="0"/>
        <v>Nature &amp; Wildlife</v>
      </c>
      <c r="W50" s="1" t="str">
        <f t="shared" si="1"/>
        <v>★★★★☆</v>
      </c>
      <c r="X50" s="1" t="str">
        <f t="shared" si="2"/>
        <v>4 / 5 Stars</v>
      </c>
      <c r="Y50" s="1" t="str">
        <f t="shared" si="3"/>
        <v>Medium Traffic</v>
      </c>
    </row>
    <row r="51" spans="1:25" x14ac:dyDescent="0.3">
      <c r="A51" s="2" t="s">
        <v>117</v>
      </c>
      <c r="B51" s="2" t="s">
        <v>118</v>
      </c>
      <c r="C51" s="2" t="s">
        <v>119</v>
      </c>
      <c r="D51" s="2" t="s">
        <v>131</v>
      </c>
      <c r="E51" s="2" t="s">
        <v>61</v>
      </c>
      <c r="F51" s="1">
        <v>1997</v>
      </c>
      <c r="G51" s="1">
        <v>3</v>
      </c>
      <c r="H51" s="1">
        <v>4.4000000000000004</v>
      </c>
      <c r="I51" s="1" t="str">
        <f>IF(Table13[[#This Row],[Reiew_Rating]]&gt;=4.5,"Excellent",
IF(Table13[[#This Row],[Reiew_Rating]]&gt;=4,"Good","Average"))</f>
        <v>Good</v>
      </c>
      <c r="J51" s="1">
        <v>60</v>
      </c>
      <c r="K51" s="1" t="str">
        <f>IF(Table13[[#This Row],[Entrance_Fee_INR]]=0,"Free","Paid")</f>
        <v>Paid</v>
      </c>
      <c r="L51" s="2" t="s">
        <v>19</v>
      </c>
      <c r="M51" s="2" t="s">
        <v>722</v>
      </c>
      <c r="N51" s="2" t="s">
        <v>132</v>
      </c>
      <c r="O51" s="2" t="s">
        <v>19</v>
      </c>
      <c r="P51" s="3">
        <v>0.88</v>
      </c>
      <c r="Q51" s="2" t="s">
        <v>51</v>
      </c>
      <c r="R51" s="1" t="str">
        <f>IF(Table13[[#This Row],[Number_Review_Lakhs]]&gt;=1,"Highly Popular", IF(Table13[[#This Row],[Number_Review_Lakhs]]&gt;=0.5,"Popular","Less Popular"))</f>
        <v>Popular</v>
      </c>
      <c r="S51" s="1" t="str">
        <f>IF(Table13[[#This Row],[Visit_Time_Hrs]]&lt;=2,"Short Visit", IF(Table13[[#This Row],[Visit_Time_Hrs]]&lt;=5,"Medium Visit","Full Day"))</f>
        <v>Medium Visit</v>
      </c>
      <c r="T51" s="1" t="str">
        <f>IF(Table13[[#This Row],[Airport_50km_Radius]]="Yes","Accessible","Remote")</f>
        <v>Accessible</v>
      </c>
      <c r="U51" s="1" t="str">
        <f>IF(Table13[[#This Row],[Reiew_Rating]]&gt;=4.7,"Yes","No")</f>
        <v>No</v>
      </c>
      <c r="V51" s="1" t="str">
        <f t="shared" si="0"/>
        <v>Other</v>
      </c>
      <c r="W51" s="1" t="str">
        <f t="shared" si="1"/>
        <v>★★★★☆</v>
      </c>
      <c r="X51" s="1" t="str">
        <f t="shared" si="2"/>
        <v>4 / 5 Stars</v>
      </c>
      <c r="Y51" s="1" t="str">
        <f t="shared" si="3"/>
        <v>Medium Traffic</v>
      </c>
    </row>
    <row r="52" spans="1:25" x14ac:dyDescent="0.3">
      <c r="A52" s="2" t="s">
        <v>117</v>
      </c>
      <c r="B52" s="2" t="s">
        <v>118</v>
      </c>
      <c r="C52" s="2" t="s">
        <v>119</v>
      </c>
      <c r="D52" s="2" t="s">
        <v>133</v>
      </c>
      <c r="E52" s="2" t="s">
        <v>134</v>
      </c>
      <c r="F52" s="1">
        <v>1898</v>
      </c>
      <c r="G52" s="1">
        <v>1.5</v>
      </c>
      <c r="H52" s="1">
        <v>4.7</v>
      </c>
      <c r="I52" s="1" t="str">
        <f>IF(Table13[[#This Row],[Reiew_Rating]]&gt;=4.5,"Excellent",
IF(Table13[[#This Row],[Reiew_Rating]]&gt;=4,"Good","Average"))</f>
        <v>Excellent</v>
      </c>
      <c r="J52" s="1">
        <v>0</v>
      </c>
      <c r="K52" s="1" t="str">
        <f>IF(Table13[[#This Row],[Entrance_Fee_INR]]=0,"Free","Paid")</f>
        <v>Free</v>
      </c>
      <c r="L52" s="2" t="s">
        <v>19</v>
      </c>
      <c r="M52" s="2" t="s">
        <v>722</v>
      </c>
      <c r="N52" s="2" t="s">
        <v>28</v>
      </c>
      <c r="O52" s="2" t="s">
        <v>19</v>
      </c>
      <c r="P52" s="3">
        <v>0.47</v>
      </c>
      <c r="Q52" s="2" t="s">
        <v>37</v>
      </c>
      <c r="R52" s="1" t="str">
        <f>IF(Table13[[#This Row],[Number_Review_Lakhs]]&gt;=1,"Highly Popular", IF(Table13[[#This Row],[Number_Review_Lakhs]]&gt;=0.5,"Popular","Less Popular"))</f>
        <v>Less Popular</v>
      </c>
      <c r="S52" s="1" t="str">
        <f>IF(Table13[[#This Row],[Visit_Time_Hrs]]&lt;=2,"Short Visit", IF(Table13[[#This Row],[Visit_Time_Hrs]]&lt;=5,"Medium Visit","Full Day"))</f>
        <v>Short Visit</v>
      </c>
      <c r="T52" s="1" t="str">
        <f>IF(Table13[[#This Row],[Airport_50km_Radius]]="Yes","Accessible","Remote")</f>
        <v>Accessible</v>
      </c>
      <c r="U52" s="1" t="str">
        <f>IF(Table13[[#This Row],[Reiew_Rating]]&gt;=4.7,"Yes","No")</f>
        <v>Yes</v>
      </c>
      <c r="V52" s="1" t="str">
        <f t="shared" si="0"/>
        <v>Heritage &amp; Culture</v>
      </c>
      <c r="W52" s="1" t="str">
        <f t="shared" si="1"/>
        <v>★★★★★</v>
      </c>
      <c r="X52" s="1" t="str">
        <f t="shared" si="2"/>
        <v>5 / 5 Stars</v>
      </c>
      <c r="Y52" s="1" t="str">
        <f t="shared" si="3"/>
        <v>Medium Traffic</v>
      </c>
    </row>
    <row r="53" spans="1:25" x14ac:dyDescent="0.3">
      <c r="A53" s="2" t="s">
        <v>117</v>
      </c>
      <c r="B53" s="2" t="s">
        <v>118</v>
      </c>
      <c r="C53" s="2" t="s">
        <v>119</v>
      </c>
      <c r="D53" s="2" t="s">
        <v>135</v>
      </c>
      <c r="E53" s="2" t="s">
        <v>91</v>
      </c>
      <c r="F53" s="1">
        <v>1835</v>
      </c>
      <c r="G53" s="1">
        <v>1</v>
      </c>
      <c r="H53" s="1">
        <v>4.4000000000000004</v>
      </c>
      <c r="I53" s="1" t="str">
        <f>IF(Table13[[#This Row],[Reiew_Rating]]&gt;=4.5,"Excellent",
IF(Table13[[#This Row],[Reiew_Rating]]&gt;=4,"Good","Average"))</f>
        <v>Good</v>
      </c>
      <c r="J53" s="1">
        <v>0</v>
      </c>
      <c r="K53" s="1" t="str">
        <f>IF(Table13[[#This Row],[Entrance_Fee_INR]]=0,"Free","Paid")</f>
        <v>Free</v>
      </c>
      <c r="L53" s="2" t="s">
        <v>19</v>
      </c>
      <c r="M53" s="2" t="s">
        <v>305</v>
      </c>
      <c r="N53" s="2" t="s">
        <v>21</v>
      </c>
      <c r="O53" s="2" t="s">
        <v>19</v>
      </c>
      <c r="P53" s="3">
        <v>0.1</v>
      </c>
      <c r="Q53" s="2" t="s">
        <v>25</v>
      </c>
      <c r="R53" s="1" t="str">
        <f>IF(Table13[[#This Row],[Number_Review_Lakhs]]&gt;=1,"Highly Popular", IF(Table13[[#This Row],[Number_Review_Lakhs]]&gt;=0.5,"Popular","Less Popular"))</f>
        <v>Less Popular</v>
      </c>
      <c r="S53" s="1" t="str">
        <f>IF(Table13[[#This Row],[Visit_Time_Hrs]]&lt;=2,"Short Visit", IF(Table13[[#This Row],[Visit_Time_Hrs]]&lt;=5,"Medium Visit","Full Day"))</f>
        <v>Short Visit</v>
      </c>
      <c r="T53" s="1" t="str">
        <f>IF(Table13[[#This Row],[Airport_50km_Radius]]="Yes","Accessible","Remote")</f>
        <v>Accessible</v>
      </c>
      <c r="U53" s="1" t="str">
        <f>IF(Table13[[#This Row],[Reiew_Rating]]&gt;=4.7,"Yes","No")</f>
        <v>No</v>
      </c>
      <c r="V53" s="1" t="str">
        <f t="shared" si="0"/>
        <v>Heritage &amp; Culture</v>
      </c>
      <c r="W53" s="1" t="str">
        <f t="shared" si="1"/>
        <v>★★★★☆</v>
      </c>
      <c r="X53" s="1" t="str">
        <f t="shared" si="2"/>
        <v>4 / 5 Stars</v>
      </c>
      <c r="Y53" s="1" t="str">
        <f t="shared" si="3"/>
        <v>Low Traffic</v>
      </c>
    </row>
    <row r="54" spans="1:25" x14ac:dyDescent="0.3">
      <c r="A54" s="2" t="s">
        <v>87</v>
      </c>
      <c r="B54" s="2" t="s">
        <v>136</v>
      </c>
      <c r="C54" s="2" t="s">
        <v>136</v>
      </c>
      <c r="D54" s="2" t="s">
        <v>137</v>
      </c>
      <c r="E54" s="2" t="s">
        <v>79</v>
      </c>
      <c r="F54" s="1">
        <v>1613</v>
      </c>
      <c r="G54" s="1">
        <v>2</v>
      </c>
      <c r="H54" s="1">
        <v>4.4000000000000004</v>
      </c>
      <c r="I54" s="1" t="str">
        <f>IF(Table13[[#This Row],[Reiew_Rating]]&gt;=4.5,"Excellent",
IF(Table13[[#This Row],[Reiew_Rating]]&gt;=4,"Good","Average"))</f>
        <v>Good</v>
      </c>
      <c r="J54" s="1">
        <v>0</v>
      </c>
      <c r="K54" s="1" t="str">
        <f>IF(Table13[[#This Row],[Entrance_Fee_INR]]=0,"Free","Paid")</f>
        <v>Free</v>
      </c>
      <c r="L54" s="2" t="s">
        <v>19</v>
      </c>
      <c r="M54" s="2" t="s">
        <v>40</v>
      </c>
      <c r="N54" s="2" t="s">
        <v>68</v>
      </c>
      <c r="O54" s="2" t="s">
        <v>19</v>
      </c>
      <c r="P54" s="3">
        <v>0.26</v>
      </c>
      <c r="Q54" s="2" t="s">
        <v>22</v>
      </c>
      <c r="R54" s="1" t="str">
        <f>IF(Table13[[#This Row],[Number_Review_Lakhs]]&gt;=1,"Highly Popular", IF(Table13[[#This Row],[Number_Review_Lakhs]]&gt;=0.5,"Popular","Less Popular"))</f>
        <v>Less Popular</v>
      </c>
      <c r="S54" s="1" t="str">
        <f>IF(Table13[[#This Row],[Visit_Time_Hrs]]&lt;=2,"Short Visit", IF(Table13[[#This Row],[Visit_Time_Hrs]]&lt;=5,"Medium Visit","Full Day"))</f>
        <v>Short Visit</v>
      </c>
      <c r="T54" s="1" t="str">
        <f>IF(Table13[[#This Row],[Airport_50km_Radius]]="Yes","Accessible","Remote")</f>
        <v>Accessible</v>
      </c>
      <c r="U54" s="1" t="str">
        <f>IF(Table13[[#This Row],[Reiew_Rating]]&gt;=4.7,"Yes","No")</f>
        <v>No</v>
      </c>
      <c r="V54" s="1" t="str">
        <f t="shared" si="0"/>
        <v>Nature &amp; Wildlife</v>
      </c>
      <c r="W54" s="1" t="str">
        <f t="shared" si="1"/>
        <v>★★★★☆</v>
      </c>
      <c r="X54" s="1" t="str">
        <f t="shared" si="2"/>
        <v>4 / 5 Stars</v>
      </c>
      <c r="Y54" s="1" t="str">
        <f t="shared" si="3"/>
        <v>Low Traffic</v>
      </c>
    </row>
    <row r="55" spans="1:25" x14ac:dyDescent="0.3">
      <c r="A55" s="2" t="s">
        <v>87</v>
      </c>
      <c r="B55" s="2" t="s">
        <v>136</v>
      </c>
      <c r="C55" s="2" t="s">
        <v>136</v>
      </c>
      <c r="D55" s="2" t="s">
        <v>138</v>
      </c>
      <c r="E55" s="2" t="s">
        <v>139</v>
      </c>
      <c r="F55" s="1">
        <v>1605</v>
      </c>
      <c r="G55" s="1">
        <v>1</v>
      </c>
      <c r="H55" s="1">
        <v>4.5</v>
      </c>
      <c r="I55" s="1" t="str">
        <f>IF(Table13[[#This Row],[Reiew_Rating]]&gt;=4.5,"Excellent",
IF(Table13[[#This Row],[Reiew_Rating]]&gt;=4,"Good","Average"))</f>
        <v>Excellent</v>
      </c>
      <c r="J55" s="1">
        <v>0</v>
      </c>
      <c r="K55" s="1" t="str">
        <f>IF(Table13[[#This Row],[Entrance_Fee_INR]]=0,"Free","Paid")</f>
        <v>Free</v>
      </c>
      <c r="L55" s="2" t="s">
        <v>19</v>
      </c>
      <c r="M55" s="2" t="s">
        <v>57</v>
      </c>
      <c r="N55" s="2" t="s">
        <v>21</v>
      </c>
      <c r="O55" s="2" t="s">
        <v>19</v>
      </c>
      <c r="P55" s="3">
        <v>0.59</v>
      </c>
      <c r="Q55" s="2" t="s">
        <v>25</v>
      </c>
      <c r="R55" s="1" t="str">
        <f>IF(Table13[[#This Row],[Number_Review_Lakhs]]&gt;=1,"Highly Popular", IF(Table13[[#This Row],[Number_Review_Lakhs]]&gt;=0.5,"Popular","Less Popular"))</f>
        <v>Popular</v>
      </c>
      <c r="S55" s="1" t="str">
        <f>IF(Table13[[#This Row],[Visit_Time_Hrs]]&lt;=2,"Short Visit", IF(Table13[[#This Row],[Visit_Time_Hrs]]&lt;=5,"Medium Visit","Full Day"))</f>
        <v>Short Visit</v>
      </c>
      <c r="T55" s="1" t="str">
        <f>IF(Table13[[#This Row],[Airport_50km_Radius]]="Yes","Accessible","Remote")</f>
        <v>Accessible</v>
      </c>
      <c r="U55" s="1" t="str">
        <f>IF(Table13[[#This Row],[Reiew_Rating]]&gt;=4.7,"Yes","No")</f>
        <v>No</v>
      </c>
      <c r="V55" s="1" t="str">
        <f t="shared" si="0"/>
        <v>Heritage &amp; Culture</v>
      </c>
      <c r="W55" s="1" t="str">
        <f t="shared" si="1"/>
        <v>★★★★★</v>
      </c>
      <c r="X55" s="1" t="str">
        <f t="shared" si="2"/>
        <v>5 / 5 Stars</v>
      </c>
      <c r="Y55" s="1" t="str">
        <f t="shared" si="3"/>
        <v>Medium Traffic</v>
      </c>
    </row>
    <row r="56" spans="1:25" x14ac:dyDescent="0.3">
      <c r="A56" s="2" t="s">
        <v>87</v>
      </c>
      <c r="B56" s="2" t="s">
        <v>136</v>
      </c>
      <c r="C56" s="2" t="s">
        <v>136</v>
      </c>
      <c r="D56" s="2" t="s">
        <v>140</v>
      </c>
      <c r="E56" s="2" t="s">
        <v>43</v>
      </c>
      <c r="F56" s="1">
        <v>1612</v>
      </c>
      <c r="G56" s="1">
        <v>1.5</v>
      </c>
      <c r="H56" s="1">
        <v>4.2</v>
      </c>
      <c r="I56" s="1" t="str">
        <f>IF(Table13[[#This Row],[Reiew_Rating]]&gt;=4.5,"Excellent",
IF(Table13[[#This Row],[Reiew_Rating]]&gt;=4,"Good","Average"))</f>
        <v>Good</v>
      </c>
      <c r="J56" s="1">
        <v>0</v>
      </c>
      <c r="K56" s="1" t="str">
        <f>IF(Table13[[#This Row],[Entrance_Fee_INR]]=0,"Free","Paid")</f>
        <v>Free</v>
      </c>
      <c r="L56" s="2" t="s">
        <v>19</v>
      </c>
      <c r="M56" s="2" t="s">
        <v>721</v>
      </c>
      <c r="N56" s="2" t="s">
        <v>21</v>
      </c>
      <c r="O56" s="2" t="s">
        <v>19</v>
      </c>
      <c r="P56" s="3">
        <v>0.95</v>
      </c>
      <c r="Q56" s="2" t="s">
        <v>37</v>
      </c>
      <c r="R56" s="1" t="str">
        <f>IF(Table13[[#This Row],[Number_Review_Lakhs]]&gt;=1,"Highly Popular", IF(Table13[[#This Row],[Number_Review_Lakhs]]&gt;=0.5,"Popular","Less Popular"))</f>
        <v>Popular</v>
      </c>
      <c r="S56" s="1" t="str">
        <f>IF(Table13[[#This Row],[Visit_Time_Hrs]]&lt;=2,"Short Visit", IF(Table13[[#This Row],[Visit_Time_Hrs]]&lt;=5,"Medium Visit","Full Day"))</f>
        <v>Short Visit</v>
      </c>
      <c r="T56" s="1" t="str">
        <f>IF(Table13[[#This Row],[Airport_50km_Radius]]="Yes","Accessible","Remote")</f>
        <v>Accessible</v>
      </c>
      <c r="U56" s="1" t="str">
        <f>IF(Table13[[#This Row],[Reiew_Rating]]&gt;=4.7,"Yes","No")</f>
        <v>No</v>
      </c>
      <c r="V56" s="1" t="str">
        <f t="shared" si="0"/>
        <v>Heritage &amp; Culture</v>
      </c>
      <c r="W56" s="1" t="str">
        <f t="shared" si="1"/>
        <v>★★★★☆</v>
      </c>
      <c r="X56" s="1" t="str">
        <f t="shared" si="2"/>
        <v>4 / 5 Stars</v>
      </c>
      <c r="Y56" s="1" t="str">
        <f t="shared" si="3"/>
        <v>Medium Traffic</v>
      </c>
    </row>
    <row r="57" spans="1:25" x14ac:dyDescent="0.3">
      <c r="A57" s="2" t="s">
        <v>87</v>
      </c>
      <c r="B57" s="2" t="s">
        <v>136</v>
      </c>
      <c r="C57" s="2" t="s">
        <v>136</v>
      </c>
      <c r="D57" s="2" t="s">
        <v>141</v>
      </c>
      <c r="E57" s="2" t="s">
        <v>142</v>
      </c>
      <c r="F57" s="1">
        <v>1780</v>
      </c>
      <c r="G57" s="1">
        <v>3</v>
      </c>
      <c r="H57" s="1">
        <v>4.5999999999999996</v>
      </c>
      <c r="I57" s="1" t="str">
        <f>IF(Table13[[#This Row],[Reiew_Rating]]&gt;=4.5,"Excellent",
IF(Table13[[#This Row],[Reiew_Rating]]&gt;=4,"Good","Average"))</f>
        <v>Excellent</v>
      </c>
      <c r="J57" s="1">
        <v>500</v>
      </c>
      <c r="K57" s="1" t="str">
        <f>IF(Table13[[#This Row],[Entrance_Fee_INR]]=0,"Free","Paid")</f>
        <v>Paid</v>
      </c>
      <c r="L57" s="2" t="s">
        <v>19</v>
      </c>
      <c r="M57" s="2" t="s">
        <v>722</v>
      </c>
      <c r="N57" s="2" t="s">
        <v>94</v>
      </c>
      <c r="O57" s="2" t="s">
        <v>19</v>
      </c>
      <c r="P57" s="3">
        <v>0.3</v>
      </c>
      <c r="Q57" s="2" t="s">
        <v>25</v>
      </c>
      <c r="R57" s="1" t="str">
        <f>IF(Table13[[#This Row],[Number_Review_Lakhs]]&gt;=1,"Highly Popular", IF(Table13[[#This Row],[Number_Review_Lakhs]]&gt;=0.5,"Popular","Less Popular"))</f>
        <v>Less Popular</v>
      </c>
      <c r="S57" s="1" t="str">
        <f>IF(Table13[[#This Row],[Visit_Time_Hrs]]&lt;=2,"Short Visit", IF(Table13[[#This Row],[Visit_Time_Hrs]]&lt;=5,"Medium Visit","Full Day"))</f>
        <v>Medium Visit</v>
      </c>
      <c r="T57" s="1" t="str">
        <f>IF(Table13[[#This Row],[Airport_50km_Radius]]="Yes","Accessible","Remote")</f>
        <v>Accessible</v>
      </c>
      <c r="U57" s="1" t="str">
        <f>IF(Table13[[#This Row],[Reiew_Rating]]&gt;=4.7,"Yes","No")</f>
        <v>No</v>
      </c>
      <c r="V57" s="1" t="str">
        <f t="shared" si="0"/>
        <v>Nature &amp; Wildlife</v>
      </c>
      <c r="W57" s="1" t="str">
        <f t="shared" si="1"/>
        <v>★★★★★</v>
      </c>
      <c r="X57" s="1" t="str">
        <f t="shared" si="2"/>
        <v>5 / 5 Stars</v>
      </c>
      <c r="Y57" s="1" t="str">
        <f t="shared" si="3"/>
        <v>Low Traffic</v>
      </c>
    </row>
    <row r="58" spans="1:25" x14ac:dyDescent="0.3">
      <c r="A58" s="2" t="s">
        <v>87</v>
      </c>
      <c r="B58" s="2" t="s">
        <v>136</v>
      </c>
      <c r="C58" s="2" t="s">
        <v>136</v>
      </c>
      <c r="D58" s="2" t="s">
        <v>143</v>
      </c>
      <c r="E58" s="2" t="s">
        <v>79</v>
      </c>
      <c r="F58" s="1">
        <v>1890</v>
      </c>
      <c r="G58" s="1">
        <v>2</v>
      </c>
      <c r="H58" s="1">
        <v>4.4000000000000004</v>
      </c>
      <c r="I58" s="1" t="str">
        <f>IF(Table13[[#This Row],[Reiew_Rating]]&gt;=4.5,"Excellent",
IF(Table13[[#This Row],[Reiew_Rating]]&gt;=4,"Good","Average"))</f>
        <v>Good</v>
      </c>
      <c r="J58" s="1">
        <v>0</v>
      </c>
      <c r="K58" s="1" t="str">
        <f>IF(Table13[[#This Row],[Entrance_Fee_INR]]=0,"Free","Paid")</f>
        <v>Free</v>
      </c>
      <c r="L58" s="2" t="s">
        <v>19</v>
      </c>
      <c r="M58" s="2" t="s">
        <v>32</v>
      </c>
      <c r="N58" s="2" t="s">
        <v>68</v>
      </c>
      <c r="O58" s="2" t="s">
        <v>19</v>
      </c>
      <c r="P58" s="3">
        <v>0.18</v>
      </c>
      <c r="Q58" s="2" t="s">
        <v>22</v>
      </c>
      <c r="R58" s="1" t="str">
        <f>IF(Table13[[#This Row],[Number_Review_Lakhs]]&gt;=1,"Highly Popular", IF(Table13[[#This Row],[Number_Review_Lakhs]]&gt;=0.5,"Popular","Less Popular"))</f>
        <v>Less Popular</v>
      </c>
      <c r="S58" s="1" t="str">
        <f>IF(Table13[[#This Row],[Visit_Time_Hrs]]&lt;=2,"Short Visit", IF(Table13[[#This Row],[Visit_Time_Hrs]]&lt;=5,"Medium Visit","Full Day"))</f>
        <v>Short Visit</v>
      </c>
      <c r="T58" s="1" t="str">
        <f>IF(Table13[[#This Row],[Airport_50km_Radius]]="Yes","Accessible","Remote")</f>
        <v>Accessible</v>
      </c>
      <c r="U58" s="1" t="str">
        <f>IF(Table13[[#This Row],[Reiew_Rating]]&gt;=4.7,"Yes","No")</f>
        <v>No</v>
      </c>
      <c r="V58" s="1" t="str">
        <f t="shared" si="0"/>
        <v>Nature &amp; Wildlife</v>
      </c>
      <c r="W58" s="1" t="str">
        <f t="shared" si="1"/>
        <v>★★★★☆</v>
      </c>
      <c r="X58" s="1" t="str">
        <f t="shared" si="2"/>
        <v>4 / 5 Stars</v>
      </c>
      <c r="Y58" s="1" t="str">
        <f t="shared" si="3"/>
        <v>Low Traffic</v>
      </c>
    </row>
    <row r="59" spans="1:25" x14ac:dyDescent="0.3">
      <c r="A59" s="2" t="s">
        <v>87</v>
      </c>
      <c r="B59" s="2" t="s">
        <v>136</v>
      </c>
      <c r="C59" s="2" t="s">
        <v>136</v>
      </c>
      <c r="D59" s="2" t="s">
        <v>144</v>
      </c>
      <c r="E59" s="2" t="s">
        <v>43</v>
      </c>
      <c r="F59" s="1">
        <v>1617</v>
      </c>
      <c r="G59" s="1">
        <v>1</v>
      </c>
      <c r="H59" s="1">
        <v>4.2</v>
      </c>
      <c r="I59" s="1" t="str">
        <f>IF(Table13[[#This Row],[Reiew_Rating]]&gt;=4.5,"Excellent",
IF(Table13[[#This Row],[Reiew_Rating]]&gt;=4,"Good","Average"))</f>
        <v>Good</v>
      </c>
      <c r="J59" s="1">
        <v>0</v>
      </c>
      <c r="K59" s="1" t="str">
        <f>IF(Table13[[#This Row],[Entrance_Fee_INR]]=0,"Free","Paid")</f>
        <v>Free</v>
      </c>
      <c r="L59" s="2" t="s">
        <v>19</v>
      </c>
      <c r="M59" s="2" t="s">
        <v>720</v>
      </c>
      <c r="N59" s="2" t="s">
        <v>21</v>
      </c>
      <c r="O59" s="2" t="s">
        <v>19</v>
      </c>
      <c r="P59" s="3">
        <v>0.19</v>
      </c>
      <c r="Q59" s="2" t="s">
        <v>22</v>
      </c>
      <c r="R59" s="1" t="str">
        <f>IF(Table13[[#This Row],[Number_Review_Lakhs]]&gt;=1,"Highly Popular", IF(Table13[[#This Row],[Number_Review_Lakhs]]&gt;=0.5,"Popular","Less Popular"))</f>
        <v>Less Popular</v>
      </c>
      <c r="S59" s="1" t="str">
        <f>IF(Table13[[#This Row],[Visit_Time_Hrs]]&lt;=2,"Short Visit", IF(Table13[[#This Row],[Visit_Time_Hrs]]&lt;=5,"Medium Visit","Full Day"))</f>
        <v>Short Visit</v>
      </c>
      <c r="T59" s="1" t="str">
        <f>IF(Table13[[#This Row],[Airport_50km_Radius]]="Yes","Accessible","Remote")</f>
        <v>Accessible</v>
      </c>
      <c r="U59" s="1" t="str">
        <f>IF(Table13[[#This Row],[Reiew_Rating]]&gt;=4.7,"Yes","No")</f>
        <v>No</v>
      </c>
      <c r="V59" s="1" t="str">
        <f t="shared" si="0"/>
        <v>Heritage &amp; Culture</v>
      </c>
      <c r="W59" s="1" t="str">
        <f t="shared" si="1"/>
        <v>★★★★☆</v>
      </c>
      <c r="X59" s="1" t="str">
        <f t="shared" si="2"/>
        <v>4 / 5 Stars</v>
      </c>
      <c r="Y59" s="1" t="str">
        <f t="shared" si="3"/>
        <v>Low Traffic</v>
      </c>
    </row>
    <row r="60" spans="1:25" x14ac:dyDescent="0.3">
      <c r="A60" s="2" t="s">
        <v>87</v>
      </c>
      <c r="B60" s="2" t="s">
        <v>136</v>
      </c>
      <c r="C60" s="2" t="s">
        <v>136</v>
      </c>
      <c r="D60" s="2" t="s">
        <v>145</v>
      </c>
      <c r="E60" s="2" t="s">
        <v>139</v>
      </c>
      <c r="F60" s="1">
        <v>1640</v>
      </c>
      <c r="G60" s="1">
        <v>1</v>
      </c>
      <c r="H60" s="1">
        <v>4.5</v>
      </c>
      <c r="I60" s="1" t="str">
        <f>IF(Table13[[#This Row],[Reiew_Rating]]&gt;=4.5,"Excellent",
IF(Table13[[#This Row],[Reiew_Rating]]&gt;=4,"Good","Average"))</f>
        <v>Excellent</v>
      </c>
      <c r="J60" s="1">
        <v>0</v>
      </c>
      <c r="K60" s="1" t="str">
        <f>IF(Table13[[#This Row],[Entrance_Fee_INR]]=0,"Free","Paid")</f>
        <v>Free</v>
      </c>
      <c r="L60" s="2" t="s">
        <v>19</v>
      </c>
      <c r="M60" s="2" t="s">
        <v>32</v>
      </c>
      <c r="N60" s="2" t="s">
        <v>21</v>
      </c>
      <c r="O60" s="2" t="s">
        <v>19</v>
      </c>
      <c r="P60" s="3">
        <v>0.05</v>
      </c>
      <c r="Q60" s="2" t="s">
        <v>25</v>
      </c>
      <c r="R60" s="1" t="str">
        <f>IF(Table13[[#This Row],[Number_Review_Lakhs]]&gt;=1,"Highly Popular", IF(Table13[[#This Row],[Number_Review_Lakhs]]&gt;=0.5,"Popular","Less Popular"))</f>
        <v>Less Popular</v>
      </c>
      <c r="S60" s="1" t="str">
        <f>IF(Table13[[#This Row],[Visit_Time_Hrs]]&lt;=2,"Short Visit", IF(Table13[[#This Row],[Visit_Time_Hrs]]&lt;=5,"Medium Visit","Full Day"))</f>
        <v>Short Visit</v>
      </c>
      <c r="T60" s="1" t="str">
        <f>IF(Table13[[#This Row],[Airport_50km_Radius]]="Yes","Accessible","Remote")</f>
        <v>Accessible</v>
      </c>
      <c r="U60" s="1" t="str">
        <f>IF(Table13[[#This Row],[Reiew_Rating]]&gt;=4.7,"Yes","No")</f>
        <v>No</v>
      </c>
      <c r="V60" s="1" t="str">
        <f t="shared" si="0"/>
        <v>Heritage &amp; Culture</v>
      </c>
      <c r="W60" s="1" t="str">
        <f t="shared" si="1"/>
        <v>★★★★★</v>
      </c>
      <c r="X60" s="1" t="str">
        <f t="shared" si="2"/>
        <v>5 / 5 Stars</v>
      </c>
      <c r="Y60" s="1" t="str">
        <f t="shared" si="3"/>
        <v>Low Traffic</v>
      </c>
    </row>
    <row r="61" spans="1:25" x14ac:dyDescent="0.3">
      <c r="A61" s="2" t="s">
        <v>87</v>
      </c>
      <c r="B61" s="2" t="s">
        <v>136</v>
      </c>
      <c r="C61" s="2" t="s">
        <v>136</v>
      </c>
      <c r="D61" s="2" t="s">
        <v>146</v>
      </c>
      <c r="E61" s="2" t="s">
        <v>79</v>
      </c>
      <c r="F61" s="1">
        <v>1534</v>
      </c>
      <c r="G61" s="1">
        <v>2</v>
      </c>
      <c r="H61" s="1">
        <v>4.5</v>
      </c>
      <c r="I61" s="1" t="str">
        <f>IF(Table13[[#This Row],[Reiew_Rating]]&gt;=4.5,"Excellent",
IF(Table13[[#This Row],[Reiew_Rating]]&gt;=4,"Good","Average"))</f>
        <v>Excellent</v>
      </c>
      <c r="J61" s="1">
        <v>0</v>
      </c>
      <c r="K61" s="1" t="str">
        <f>IF(Table13[[#This Row],[Entrance_Fee_INR]]=0,"Free","Paid")</f>
        <v>Free</v>
      </c>
      <c r="L61" s="2" t="s">
        <v>19</v>
      </c>
      <c r="M61" s="2" t="s">
        <v>721</v>
      </c>
      <c r="N61" s="2" t="s">
        <v>68</v>
      </c>
      <c r="O61" s="2" t="s">
        <v>19</v>
      </c>
      <c r="P61" s="3">
        <v>0.35</v>
      </c>
      <c r="Q61" s="2" t="s">
        <v>22</v>
      </c>
      <c r="R61" s="1" t="str">
        <f>IF(Table13[[#This Row],[Number_Review_Lakhs]]&gt;=1,"Highly Popular", IF(Table13[[#This Row],[Number_Review_Lakhs]]&gt;=0.5,"Popular","Less Popular"))</f>
        <v>Less Popular</v>
      </c>
      <c r="S61" s="1" t="str">
        <f>IF(Table13[[#This Row],[Visit_Time_Hrs]]&lt;=2,"Short Visit", IF(Table13[[#This Row],[Visit_Time_Hrs]]&lt;=5,"Medium Visit","Full Day"))</f>
        <v>Short Visit</v>
      </c>
      <c r="T61" s="1" t="str">
        <f>IF(Table13[[#This Row],[Airport_50km_Radius]]="Yes","Accessible","Remote")</f>
        <v>Accessible</v>
      </c>
      <c r="U61" s="1" t="str">
        <f>IF(Table13[[#This Row],[Reiew_Rating]]&gt;=4.7,"Yes","No")</f>
        <v>No</v>
      </c>
      <c r="V61" s="1" t="str">
        <f t="shared" si="0"/>
        <v>Nature &amp; Wildlife</v>
      </c>
      <c r="W61" s="1" t="str">
        <f t="shared" si="1"/>
        <v>★★★★★</v>
      </c>
      <c r="X61" s="1" t="str">
        <f t="shared" si="2"/>
        <v>5 / 5 Stars</v>
      </c>
      <c r="Y61" s="1" t="str">
        <f t="shared" si="3"/>
        <v>Low Traffic</v>
      </c>
    </row>
    <row r="62" spans="1:25" x14ac:dyDescent="0.3">
      <c r="A62" s="2" t="s">
        <v>87</v>
      </c>
      <c r="B62" s="2" t="s">
        <v>136</v>
      </c>
      <c r="C62" s="2" t="s">
        <v>136</v>
      </c>
      <c r="D62" s="2" t="s">
        <v>147</v>
      </c>
      <c r="E62" s="2" t="s">
        <v>79</v>
      </c>
      <c r="F62" s="1">
        <v>1545</v>
      </c>
      <c r="G62" s="1">
        <v>2</v>
      </c>
      <c r="H62" s="1">
        <v>4.5999999999999996</v>
      </c>
      <c r="I62" s="1" t="str">
        <f>IF(Table13[[#This Row],[Reiew_Rating]]&gt;=4.5,"Excellent",
IF(Table13[[#This Row],[Reiew_Rating]]&gt;=4,"Good","Average"))</f>
        <v>Excellent</v>
      </c>
      <c r="J62" s="1">
        <v>0</v>
      </c>
      <c r="K62" s="1" t="str">
        <f>IF(Table13[[#This Row],[Entrance_Fee_INR]]=0,"Free","Paid")</f>
        <v>Free</v>
      </c>
      <c r="L62" s="2" t="s">
        <v>19</v>
      </c>
      <c r="M62" s="2" t="s">
        <v>40</v>
      </c>
      <c r="N62" s="2" t="s">
        <v>68</v>
      </c>
      <c r="O62" s="2" t="s">
        <v>19</v>
      </c>
      <c r="P62" s="3">
        <v>0.1</v>
      </c>
      <c r="Q62" s="2" t="s">
        <v>22</v>
      </c>
      <c r="R62" s="1" t="str">
        <f>IF(Table13[[#This Row],[Number_Review_Lakhs]]&gt;=1,"Highly Popular", IF(Table13[[#This Row],[Number_Review_Lakhs]]&gt;=0.5,"Popular","Less Popular"))</f>
        <v>Less Popular</v>
      </c>
      <c r="S62" s="1" t="str">
        <f>IF(Table13[[#This Row],[Visit_Time_Hrs]]&lt;=2,"Short Visit", IF(Table13[[#This Row],[Visit_Time_Hrs]]&lt;=5,"Medium Visit","Full Day"))</f>
        <v>Short Visit</v>
      </c>
      <c r="T62" s="1" t="str">
        <f>IF(Table13[[#This Row],[Airport_50km_Radius]]="Yes","Accessible","Remote")</f>
        <v>Accessible</v>
      </c>
      <c r="U62" s="1" t="str">
        <f>IF(Table13[[#This Row],[Reiew_Rating]]&gt;=4.7,"Yes","No")</f>
        <v>No</v>
      </c>
      <c r="V62" s="1" t="str">
        <f t="shared" si="0"/>
        <v>Nature &amp; Wildlife</v>
      </c>
      <c r="W62" s="1" t="str">
        <f t="shared" si="1"/>
        <v>★★★★★</v>
      </c>
      <c r="X62" s="1" t="str">
        <f t="shared" si="2"/>
        <v>5 / 5 Stars</v>
      </c>
      <c r="Y62" s="1" t="str">
        <f t="shared" si="3"/>
        <v>Low Traffic</v>
      </c>
    </row>
    <row r="63" spans="1:25" x14ac:dyDescent="0.3">
      <c r="A63" s="2" t="s">
        <v>87</v>
      </c>
      <c r="B63" s="2" t="s">
        <v>136</v>
      </c>
      <c r="C63" s="2" t="s">
        <v>136</v>
      </c>
      <c r="D63" s="2" t="s">
        <v>148</v>
      </c>
      <c r="E63" s="2" t="s">
        <v>79</v>
      </c>
      <c r="F63" s="1">
        <v>1730</v>
      </c>
      <c r="G63" s="1">
        <v>2</v>
      </c>
      <c r="H63" s="1">
        <v>4.5999999999999996</v>
      </c>
      <c r="I63" s="1" t="str">
        <f>IF(Table13[[#This Row],[Reiew_Rating]]&gt;=4.5,"Excellent",
IF(Table13[[#This Row],[Reiew_Rating]]&gt;=4,"Good","Average"))</f>
        <v>Excellent</v>
      </c>
      <c r="J63" s="1">
        <v>0</v>
      </c>
      <c r="K63" s="1" t="str">
        <f>IF(Table13[[#This Row],[Entrance_Fee_INR]]=0,"Free","Paid")</f>
        <v>Free</v>
      </c>
      <c r="L63" s="2" t="s">
        <v>19</v>
      </c>
      <c r="M63" s="2" t="s">
        <v>32</v>
      </c>
      <c r="N63" s="2" t="s">
        <v>68</v>
      </c>
      <c r="O63" s="2" t="s">
        <v>19</v>
      </c>
      <c r="P63" s="3">
        <v>0.27</v>
      </c>
      <c r="Q63" s="2" t="s">
        <v>22</v>
      </c>
      <c r="R63" s="1" t="str">
        <f>IF(Table13[[#This Row],[Number_Review_Lakhs]]&gt;=1,"Highly Popular", IF(Table13[[#This Row],[Number_Review_Lakhs]]&gt;=0.5,"Popular","Less Popular"))</f>
        <v>Less Popular</v>
      </c>
      <c r="S63" s="1" t="str">
        <f>IF(Table13[[#This Row],[Visit_Time_Hrs]]&lt;=2,"Short Visit", IF(Table13[[#This Row],[Visit_Time_Hrs]]&lt;=5,"Medium Visit","Full Day"))</f>
        <v>Short Visit</v>
      </c>
      <c r="T63" s="1" t="str">
        <f>IF(Table13[[#This Row],[Airport_50km_Radius]]="Yes","Accessible","Remote")</f>
        <v>Accessible</v>
      </c>
      <c r="U63" s="1" t="str">
        <f>IF(Table13[[#This Row],[Reiew_Rating]]&gt;=4.7,"Yes","No")</f>
        <v>No</v>
      </c>
      <c r="V63" s="1" t="str">
        <f t="shared" si="0"/>
        <v>Nature &amp; Wildlife</v>
      </c>
      <c r="W63" s="1" t="str">
        <f t="shared" si="1"/>
        <v>★★★★★</v>
      </c>
      <c r="X63" s="1" t="str">
        <f t="shared" si="2"/>
        <v>5 / 5 Stars</v>
      </c>
      <c r="Y63" s="1" t="str">
        <f t="shared" si="3"/>
        <v>Low Traffic</v>
      </c>
    </row>
    <row r="64" spans="1:25" x14ac:dyDescent="0.3">
      <c r="A64" s="2" t="s">
        <v>87</v>
      </c>
      <c r="B64" s="2" t="s">
        <v>136</v>
      </c>
      <c r="C64" s="2" t="s">
        <v>136</v>
      </c>
      <c r="D64" s="2" t="s">
        <v>149</v>
      </c>
      <c r="E64" s="2" t="s">
        <v>79</v>
      </c>
      <c r="F64" s="1">
        <v>1812</v>
      </c>
      <c r="G64" s="1">
        <v>2</v>
      </c>
      <c r="H64" s="1">
        <v>4.3</v>
      </c>
      <c r="I64" s="1" t="str">
        <f>IF(Table13[[#This Row],[Reiew_Rating]]&gt;=4.5,"Excellent",
IF(Table13[[#This Row],[Reiew_Rating]]&gt;=4,"Good","Average"))</f>
        <v>Good</v>
      </c>
      <c r="J64" s="1">
        <v>0</v>
      </c>
      <c r="K64" s="1" t="str">
        <f>IF(Table13[[#This Row],[Entrance_Fee_INR]]=0,"Free","Paid")</f>
        <v>Free</v>
      </c>
      <c r="L64" s="2" t="s">
        <v>19</v>
      </c>
      <c r="M64" s="2" t="s">
        <v>720</v>
      </c>
      <c r="N64" s="2" t="s">
        <v>68</v>
      </c>
      <c r="O64" s="2" t="s">
        <v>19</v>
      </c>
      <c r="P64" s="3">
        <v>0.1</v>
      </c>
      <c r="Q64" s="2" t="s">
        <v>22</v>
      </c>
      <c r="R64" s="1" t="str">
        <f>IF(Table13[[#This Row],[Number_Review_Lakhs]]&gt;=1,"Highly Popular", IF(Table13[[#This Row],[Number_Review_Lakhs]]&gt;=0.5,"Popular","Less Popular"))</f>
        <v>Less Popular</v>
      </c>
      <c r="S64" s="1" t="str">
        <f>IF(Table13[[#This Row],[Visit_Time_Hrs]]&lt;=2,"Short Visit", IF(Table13[[#This Row],[Visit_Time_Hrs]]&lt;=5,"Medium Visit","Full Day"))</f>
        <v>Short Visit</v>
      </c>
      <c r="T64" s="1" t="str">
        <f>IF(Table13[[#This Row],[Airport_50km_Radius]]="Yes","Accessible","Remote")</f>
        <v>Accessible</v>
      </c>
      <c r="U64" s="1" t="str">
        <f>IF(Table13[[#This Row],[Reiew_Rating]]&gt;=4.7,"Yes","No")</f>
        <v>No</v>
      </c>
      <c r="V64" s="1" t="str">
        <f t="shared" si="0"/>
        <v>Nature &amp; Wildlife</v>
      </c>
      <c r="W64" s="1" t="str">
        <f t="shared" si="1"/>
        <v>★★★★☆</v>
      </c>
      <c r="X64" s="1" t="str">
        <f t="shared" si="2"/>
        <v>4 / 5 Stars</v>
      </c>
      <c r="Y64" s="1" t="str">
        <f t="shared" si="3"/>
        <v>Low Traffic</v>
      </c>
    </row>
    <row r="65" spans="1:25" x14ac:dyDescent="0.3">
      <c r="A65" s="2" t="s">
        <v>87</v>
      </c>
      <c r="B65" s="2" t="s">
        <v>136</v>
      </c>
      <c r="C65" s="2" t="s">
        <v>136</v>
      </c>
      <c r="D65" s="2" t="s">
        <v>150</v>
      </c>
      <c r="E65" s="2" t="s">
        <v>79</v>
      </c>
      <c r="F65" s="1">
        <v>1627</v>
      </c>
      <c r="G65" s="1">
        <v>1.5</v>
      </c>
      <c r="H65" s="1">
        <v>4.2</v>
      </c>
      <c r="I65" s="1" t="str">
        <f>IF(Table13[[#This Row],[Reiew_Rating]]&gt;=4.5,"Excellent",
IF(Table13[[#This Row],[Reiew_Rating]]&gt;=4,"Good","Average"))</f>
        <v>Good</v>
      </c>
      <c r="J65" s="1">
        <v>0</v>
      </c>
      <c r="K65" s="1" t="str">
        <f>IF(Table13[[#This Row],[Entrance_Fee_INR]]=0,"Free","Paid")</f>
        <v>Free</v>
      </c>
      <c r="L65" s="2" t="s">
        <v>19</v>
      </c>
      <c r="M65" s="2" t="s">
        <v>305</v>
      </c>
      <c r="N65" s="2" t="s">
        <v>68</v>
      </c>
      <c r="O65" s="2" t="s">
        <v>19</v>
      </c>
      <c r="P65" s="3">
        <v>0.3</v>
      </c>
      <c r="Q65" s="2" t="s">
        <v>22</v>
      </c>
      <c r="R65" s="1" t="str">
        <f>IF(Table13[[#This Row],[Number_Review_Lakhs]]&gt;=1,"Highly Popular", IF(Table13[[#This Row],[Number_Review_Lakhs]]&gt;=0.5,"Popular","Less Popular"))</f>
        <v>Less Popular</v>
      </c>
      <c r="S65" s="1" t="str">
        <f>IF(Table13[[#This Row],[Visit_Time_Hrs]]&lt;=2,"Short Visit", IF(Table13[[#This Row],[Visit_Time_Hrs]]&lt;=5,"Medium Visit","Full Day"))</f>
        <v>Short Visit</v>
      </c>
      <c r="T65" s="1" t="str">
        <f>IF(Table13[[#This Row],[Airport_50km_Radius]]="Yes","Accessible","Remote")</f>
        <v>Accessible</v>
      </c>
      <c r="U65" s="1" t="str">
        <f>IF(Table13[[#This Row],[Reiew_Rating]]&gt;=4.7,"Yes","No")</f>
        <v>No</v>
      </c>
      <c r="V65" s="1" t="str">
        <f t="shared" si="0"/>
        <v>Nature &amp; Wildlife</v>
      </c>
      <c r="W65" s="1" t="str">
        <f t="shared" si="1"/>
        <v>★★★★☆</v>
      </c>
      <c r="X65" s="1" t="str">
        <f t="shared" si="2"/>
        <v>4 / 5 Stars</v>
      </c>
      <c r="Y65" s="1" t="str">
        <f t="shared" si="3"/>
        <v>Low Traffic</v>
      </c>
    </row>
    <row r="66" spans="1:25" x14ac:dyDescent="0.3">
      <c r="A66" s="2" t="s">
        <v>87</v>
      </c>
      <c r="B66" s="2" t="s">
        <v>136</v>
      </c>
      <c r="C66" s="2" t="s">
        <v>136</v>
      </c>
      <c r="D66" s="2" t="s">
        <v>151</v>
      </c>
      <c r="E66" s="2" t="s">
        <v>79</v>
      </c>
      <c r="F66" s="1">
        <v>1604</v>
      </c>
      <c r="G66" s="1">
        <v>2</v>
      </c>
      <c r="H66" s="1">
        <v>4.5</v>
      </c>
      <c r="I66" s="1" t="str">
        <f>IF(Table13[[#This Row],[Reiew_Rating]]&gt;=4.5,"Excellent",
IF(Table13[[#This Row],[Reiew_Rating]]&gt;=4,"Good","Average"))</f>
        <v>Excellent</v>
      </c>
      <c r="J66" s="1">
        <v>0</v>
      </c>
      <c r="K66" s="1" t="str">
        <f>IF(Table13[[#This Row],[Entrance_Fee_INR]]=0,"Free","Paid")</f>
        <v>Free</v>
      </c>
      <c r="L66" s="2" t="s">
        <v>19</v>
      </c>
      <c r="M66" s="2" t="s">
        <v>40</v>
      </c>
      <c r="N66" s="2" t="s">
        <v>68</v>
      </c>
      <c r="O66" s="2" t="s">
        <v>19</v>
      </c>
      <c r="P66" s="3">
        <v>0.01</v>
      </c>
      <c r="Q66" s="2" t="s">
        <v>22</v>
      </c>
      <c r="R66" s="1" t="str">
        <f>IF(Table13[[#This Row],[Number_Review_Lakhs]]&gt;=1,"Highly Popular", IF(Table13[[#This Row],[Number_Review_Lakhs]]&gt;=0.5,"Popular","Less Popular"))</f>
        <v>Less Popular</v>
      </c>
      <c r="S66" s="1" t="str">
        <f>IF(Table13[[#This Row],[Visit_Time_Hrs]]&lt;=2,"Short Visit", IF(Table13[[#This Row],[Visit_Time_Hrs]]&lt;=5,"Medium Visit","Full Day"))</f>
        <v>Short Visit</v>
      </c>
      <c r="T66" s="1" t="str">
        <f>IF(Table13[[#This Row],[Airport_50km_Radius]]="Yes","Accessible","Remote")</f>
        <v>Accessible</v>
      </c>
      <c r="U66" s="1" t="str">
        <f>IF(Table13[[#This Row],[Reiew_Rating]]&gt;=4.7,"Yes","No")</f>
        <v>No</v>
      </c>
      <c r="V66" s="1" t="str">
        <f t="shared" ref="V66:V129" si="4">IF(OR(N66="Historical",N66="Artistic",N66="Religious",N66="Architectural"), "Heritage &amp; Culture",
IF(OR(N66="Environmental",N66="Botanical",N66="Scenic",N66="Wildlife",N66="Nature"), "Nature &amp; Wildlife",
IF(OR(N66="Recreational",N66="Market",N66="Entertainment"), "Leisure &amp; Commerce",
IF(N66="Scientific", "Science &amp; Education", "Other"))))</f>
        <v>Nature &amp; Wildlife</v>
      </c>
      <c r="W66" s="1" t="str">
        <f t="shared" ref="W66:W129" si="5">REPT("★", ROUND(H66, 0)) &amp; REPT("☆", 5 - ROUND(H66, 0))</f>
        <v>★★★★★</v>
      </c>
      <c r="X66" s="1" t="str">
        <f t="shared" ref="X66:X129" si="6">ROUND(H66, 0) &amp; " / 5 Stars"</f>
        <v>5 / 5 Stars</v>
      </c>
      <c r="Y66" s="1" t="str">
        <f t="shared" ref="Y66:Y129" si="7">IF(P66&gt;=1.5, "High Traffic", IF(P66&gt;=0.4, "Medium Traffic", "Low Traffic"))</f>
        <v>Low Traffic</v>
      </c>
    </row>
    <row r="67" spans="1:25" x14ac:dyDescent="0.3">
      <c r="A67" s="2" t="s">
        <v>87</v>
      </c>
      <c r="B67" s="2" t="s">
        <v>136</v>
      </c>
      <c r="C67" s="2" t="s">
        <v>136</v>
      </c>
      <c r="D67" s="2" t="s">
        <v>152</v>
      </c>
      <c r="E67" s="2" t="s">
        <v>153</v>
      </c>
      <c r="F67" s="1">
        <v>1988</v>
      </c>
      <c r="G67" s="1">
        <v>2</v>
      </c>
      <c r="H67" s="1">
        <v>3.9</v>
      </c>
      <c r="I67" s="1" t="str">
        <f>IF(Table13[[#This Row],[Reiew_Rating]]&gt;=4.5,"Excellent",
IF(Table13[[#This Row],[Reiew_Rating]]&gt;=4,"Good","Average"))</f>
        <v>Average</v>
      </c>
      <c r="J67" s="1">
        <v>10</v>
      </c>
      <c r="K67" s="1" t="str">
        <f>IF(Table13[[#This Row],[Entrance_Fee_INR]]=0,"Free","Paid")</f>
        <v>Paid</v>
      </c>
      <c r="L67" s="2" t="s">
        <v>19</v>
      </c>
      <c r="M67" s="2" t="s">
        <v>57</v>
      </c>
      <c r="N67" s="2" t="s">
        <v>73</v>
      </c>
      <c r="O67" s="2" t="s">
        <v>19</v>
      </c>
      <c r="P67" s="3">
        <v>0.03</v>
      </c>
      <c r="Q67" s="2" t="s">
        <v>25</v>
      </c>
      <c r="R67" s="1" t="str">
        <f>IF(Table13[[#This Row],[Number_Review_Lakhs]]&gt;=1,"Highly Popular", IF(Table13[[#This Row],[Number_Review_Lakhs]]&gt;=0.5,"Popular","Less Popular"))</f>
        <v>Less Popular</v>
      </c>
      <c r="S67" s="1" t="str">
        <f>IF(Table13[[#This Row],[Visit_Time_Hrs]]&lt;=2,"Short Visit", IF(Table13[[#This Row],[Visit_Time_Hrs]]&lt;=5,"Medium Visit","Full Day"))</f>
        <v>Short Visit</v>
      </c>
      <c r="T67" s="1" t="str">
        <f>IF(Table13[[#This Row],[Airport_50km_Radius]]="Yes","Accessible","Remote")</f>
        <v>Accessible</v>
      </c>
      <c r="U67" s="1" t="str">
        <f>IF(Table13[[#This Row],[Reiew_Rating]]&gt;=4.7,"Yes","No")</f>
        <v>No</v>
      </c>
      <c r="V67" s="1" t="str">
        <f t="shared" si="4"/>
        <v>Nature &amp; Wildlife</v>
      </c>
      <c r="W67" s="1" t="str">
        <f t="shared" si="5"/>
        <v>★★★★☆</v>
      </c>
      <c r="X67" s="1" t="str">
        <f t="shared" si="6"/>
        <v>4 / 5 Stars</v>
      </c>
      <c r="Y67" s="1" t="str">
        <f t="shared" si="7"/>
        <v>Low Traffic</v>
      </c>
    </row>
    <row r="68" spans="1:25" x14ac:dyDescent="0.3">
      <c r="A68" s="2" t="s">
        <v>62</v>
      </c>
      <c r="B68" s="2" t="s">
        <v>154</v>
      </c>
      <c r="C68" s="2" t="s">
        <v>155</v>
      </c>
      <c r="D68" s="2" t="s">
        <v>156</v>
      </c>
      <c r="E68" s="2" t="s">
        <v>21</v>
      </c>
      <c r="F68" s="1">
        <v>1915</v>
      </c>
      <c r="G68" s="1">
        <v>1.5</v>
      </c>
      <c r="H68" s="1">
        <v>4.5999999999999996</v>
      </c>
      <c r="I68" s="1" t="str">
        <f>IF(Table13[[#This Row],[Reiew_Rating]]&gt;=4.5,"Excellent",
IF(Table13[[#This Row],[Reiew_Rating]]&gt;=4,"Good","Average"))</f>
        <v>Excellent</v>
      </c>
      <c r="J68" s="1">
        <v>0</v>
      </c>
      <c r="K68" s="1" t="str">
        <f>IF(Table13[[#This Row],[Entrance_Fee_INR]]=0,"Free","Paid")</f>
        <v>Free</v>
      </c>
      <c r="L68" s="2" t="s">
        <v>19</v>
      </c>
      <c r="M68" s="2" t="s">
        <v>40</v>
      </c>
      <c r="N68" s="2" t="s">
        <v>21</v>
      </c>
      <c r="O68" s="2" t="s">
        <v>19</v>
      </c>
      <c r="P68" s="3">
        <v>0.35</v>
      </c>
      <c r="Q68" s="2" t="s">
        <v>37</v>
      </c>
      <c r="R68" s="1" t="str">
        <f>IF(Table13[[#This Row],[Number_Review_Lakhs]]&gt;=1,"Highly Popular", IF(Table13[[#This Row],[Number_Review_Lakhs]]&gt;=0.5,"Popular","Less Popular"))</f>
        <v>Less Popular</v>
      </c>
      <c r="S68" s="1" t="str">
        <f>IF(Table13[[#This Row],[Visit_Time_Hrs]]&lt;=2,"Short Visit", IF(Table13[[#This Row],[Visit_Time_Hrs]]&lt;=5,"Medium Visit","Full Day"))</f>
        <v>Short Visit</v>
      </c>
      <c r="T68" s="1" t="str">
        <f>IF(Table13[[#This Row],[Airport_50km_Radius]]="Yes","Accessible","Remote")</f>
        <v>Accessible</v>
      </c>
      <c r="U68" s="1" t="str">
        <f>IF(Table13[[#This Row],[Reiew_Rating]]&gt;=4.7,"Yes","No")</f>
        <v>No</v>
      </c>
      <c r="V68" s="1" t="str">
        <f t="shared" si="4"/>
        <v>Heritage &amp; Culture</v>
      </c>
      <c r="W68" s="1" t="str">
        <f t="shared" si="5"/>
        <v>★★★★★</v>
      </c>
      <c r="X68" s="1" t="str">
        <f t="shared" si="6"/>
        <v>5 / 5 Stars</v>
      </c>
      <c r="Y68" s="1" t="str">
        <f t="shared" si="7"/>
        <v>Low Traffic</v>
      </c>
    </row>
    <row r="69" spans="1:25" x14ac:dyDescent="0.3">
      <c r="A69" s="2" t="s">
        <v>62</v>
      </c>
      <c r="B69" s="2" t="s">
        <v>154</v>
      </c>
      <c r="C69" s="2" t="s">
        <v>157</v>
      </c>
      <c r="D69" s="2" t="s">
        <v>158</v>
      </c>
      <c r="E69" s="2" t="s">
        <v>27</v>
      </c>
      <c r="F69" s="1">
        <v>-400</v>
      </c>
      <c r="G69" s="1">
        <v>2</v>
      </c>
      <c r="H69" s="1">
        <v>4.7</v>
      </c>
      <c r="I69" s="1" t="str">
        <f>IF(Table13[[#This Row],[Reiew_Rating]]&gt;=4.5,"Excellent",
IF(Table13[[#This Row],[Reiew_Rating]]&gt;=4,"Good","Average"))</f>
        <v>Excellent</v>
      </c>
      <c r="J69" s="1">
        <v>0</v>
      </c>
      <c r="K69" s="1" t="str">
        <f>IF(Table13[[#This Row],[Entrance_Fee_INR]]=0,"Free","Paid")</f>
        <v>Free</v>
      </c>
      <c r="L69" s="2" t="s">
        <v>29</v>
      </c>
      <c r="M69" s="2" t="s">
        <v>305</v>
      </c>
      <c r="N69" s="2" t="s">
        <v>28</v>
      </c>
      <c r="O69" s="2" t="s">
        <v>29</v>
      </c>
      <c r="P69" s="3">
        <v>0.59</v>
      </c>
      <c r="Q69" s="2" t="s">
        <v>22</v>
      </c>
      <c r="R69" s="1" t="str">
        <f>IF(Table13[[#This Row],[Number_Review_Lakhs]]&gt;=1,"Highly Popular", IF(Table13[[#This Row],[Number_Review_Lakhs]]&gt;=0.5,"Popular","Less Popular"))</f>
        <v>Popular</v>
      </c>
      <c r="S69" s="1" t="str">
        <f>IF(Table13[[#This Row],[Visit_Time_Hrs]]&lt;=2,"Short Visit", IF(Table13[[#This Row],[Visit_Time_Hrs]]&lt;=5,"Medium Visit","Full Day"))</f>
        <v>Short Visit</v>
      </c>
      <c r="T69" s="1" t="str">
        <f>IF(Table13[[#This Row],[Airport_50km_Radius]]="Yes","Accessible","Remote")</f>
        <v>Remote</v>
      </c>
      <c r="U69" s="1" t="str">
        <f>IF(Table13[[#This Row],[Reiew_Rating]]&gt;=4.7,"Yes","No")</f>
        <v>Yes</v>
      </c>
      <c r="V69" s="1" t="str">
        <f t="shared" si="4"/>
        <v>Heritage &amp; Culture</v>
      </c>
      <c r="W69" s="1" t="str">
        <f t="shared" si="5"/>
        <v>★★★★★</v>
      </c>
      <c r="X69" s="1" t="str">
        <f t="shared" si="6"/>
        <v>5 / 5 Stars</v>
      </c>
      <c r="Y69" s="1" t="str">
        <f t="shared" si="7"/>
        <v>Medium Traffic</v>
      </c>
    </row>
    <row r="70" spans="1:25" x14ac:dyDescent="0.3">
      <c r="A70" s="2" t="s">
        <v>62</v>
      </c>
      <c r="B70" s="2" t="s">
        <v>154</v>
      </c>
      <c r="C70" s="2" t="s">
        <v>159</v>
      </c>
      <c r="D70" s="2" t="s">
        <v>160</v>
      </c>
      <c r="E70" s="2" t="s">
        <v>72</v>
      </c>
      <c r="F70" s="1">
        <v>1965</v>
      </c>
      <c r="G70" s="1">
        <v>3</v>
      </c>
      <c r="H70" s="1">
        <v>4.5</v>
      </c>
      <c r="I70" s="1" t="str">
        <f>IF(Table13[[#This Row],[Reiew_Rating]]&gt;=4.5,"Excellent",
IF(Table13[[#This Row],[Reiew_Rating]]&gt;=4,"Good","Average"))</f>
        <v>Excellent</v>
      </c>
      <c r="J70" s="1">
        <v>3500</v>
      </c>
      <c r="K70" s="1" t="str">
        <f>IF(Table13[[#This Row],[Entrance_Fee_INR]]=0,"Free","Paid")</f>
        <v>Paid</v>
      </c>
      <c r="L70" s="2" t="s">
        <v>29</v>
      </c>
      <c r="M70" s="2" t="s">
        <v>721</v>
      </c>
      <c r="N70" s="2" t="s">
        <v>73</v>
      </c>
      <c r="O70" s="2" t="s">
        <v>19</v>
      </c>
      <c r="P70" s="3">
        <v>0.08</v>
      </c>
      <c r="Q70" s="2" t="s">
        <v>37</v>
      </c>
      <c r="R70" s="1" t="str">
        <f>IF(Table13[[#This Row],[Number_Review_Lakhs]]&gt;=1,"Highly Popular", IF(Table13[[#This Row],[Number_Review_Lakhs]]&gt;=0.5,"Popular","Less Popular"))</f>
        <v>Less Popular</v>
      </c>
      <c r="S70" s="1" t="str">
        <f>IF(Table13[[#This Row],[Visit_Time_Hrs]]&lt;=2,"Short Visit", IF(Table13[[#This Row],[Visit_Time_Hrs]]&lt;=5,"Medium Visit","Full Day"))</f>
        <v>Medium Visit</v>
      </c>
      <c r="T70" s="1" t="str">
        <f>IF(Table13[[#This Row],[Airport_50km_Radius]]="Yes","Accessible","Remote")</f>
        <v>Remote</v>
      </c>
      <c r="U70" s="1" t="str">
        <f>IF(Table13[[#This Row],[Reiew_Rating]]&gt;=4.7,"Yes","No")</f>
        <v>No</v>
      </c>
      <c r="V70" s="1" t="str">
        <f t="shared" si="4"/>
        <v>Nature &amp; Wildlife</v>
      </c>
      <c r="W70" s="1" t="str">
        <f t="shared" si="5"/>
        <v>★★★★★</v>
      </c>
      <c r="X70" s="1" t="str">
        <f t="shared" si="6"/>
        <v>5 / 5 Stars</v>
      </c>
      <c r="Y70" s="1" t="str">
        <f t="shared" si="7"/>
        <v>Low Traffic</v>
      </c>
    </row>
    <row r="71" spans="1:25" x14ac:dyDescent="0.3">
      <c r="A71" s="2" t="s">
        <v>62</v>
      </c>
      <c r="B71" s="2" t="s">
        <v>154</v>
      </c>
      <c r="C71" s="2" t="s">
        <v>161</v>
      </c>
      <c r="D71" s="2" t="s">
        <v>162</v>
      </c>
      <c r="E71" s="2" t="s">
        <v>134</v>
      </c>
      <c r="F71" s="1">
        <v>1950</v>
      </c>
      <c r="G71" s="1">
        <v>2.5</v>
      </c>
      <c r="H71" s="1">
        <v>4.5999999999999996</v>
      </c>
      <c r="I71" s="1" t="str">
        <f>IF(Table13[[#This Row],[Reiew_Rating]]&gt;=4.5,"Excellent",
IF(Table13[[#This Row],[Reiew_Rating]]&gt;=4,"Good","Average"))</f>
        <v>Excellent</v>
      </c>
      <c r="J71" s="1">
        <v>0</v>
      </c>
      <c r="K71" s="1" t="str">
        <f>IF(Table13[[#This Row],[Entrance_Fee_INR]]=0,"Free","Paid")</f>
        <v>Free</v>
      </c>
      <c r="L71" s="2" t="s">
        <v>19</v>
      </c>
      <c r="M71" s="2" t="s">
        <v>40</v>
      </c>
      <c r="N71" s="2" t="s">
        <v>94</v>
      </c>
      <c r="O71" s="2" t="s">
        <v>19</v>
      </c>
      <c r="P71" s="3">
        <v>0.12</v>
      </c>
      <c r="Q71" s="2" t="s">
        <v>22</v>
      </c>
      <c r="R71" s="1" t="str">
        <f>IF(Table13[[#This Row],[Number_Review_Lakhs]]&gt;=1,"Highly Popular", IF(Table13[[#This Row],[Number_Review_Lakhs]]&gt;=0.5,"Popular","Less Popular"))</f>
        <v>Less Popular</v>
      </c>
      <c r="S71" s="1" t="str">
        <f>IF(Table13[[#This Row],[Visit_Time_Hrs]]&lt;=2,"Short Visit", IF(Table13[[#This Row],[Visit_Time_Hrs]]&lt;=5,"Medium Visit","Full Day"))</f>
        <v>Medium Visit</v>
      </c>
      <c r="T71" s="1" t="str">
        <f>IF(Table13[[#This Row],[Airport_50km_Radius]]="Yes","Accessible","Remote")</f>
        <v>Accessible</v>
      </c>
      <c r="U71" s="1" t="str">
        <f>IF(Table13[[#This Row],[Reiew_Rating]]&gt;=4.7,"Yes","No")</f>
        <v>No</v>
      </c>
      <c r="V71" s="1" t="str">
        <f t="shared" si="4"/>
        <v>Nature &amp; Wildlife</v>
      </c>
      <c r="W71" s="1" t="str">
        <f t="shared" si="5"/>
        <v>★★★★★</v>
      </c>
      <c r="X71" s="1" t="str">
        <f t="shared" si="6"/>
        <v>5 / 5 Stars</v>
      </c>
      <c r="Y71" s="1" t="str">
        <f t="shared" si="7"/>
        <v>Low Traffic</v>
      </c>
    </row>
    <row r="72" spans="1:25" x14ac:dyDescent="0.3">
      <c r="A72" s="2" t="s">
        <v>62</v>
      </c>
      <c r="B72" s="2" t="s">
        <v>154</v>
      </c>
      <c r="C72" s="2" t="s">
        <v>163</v>
      </c>
      <c r="D72" s="2" t="s">
        <v>164</v>
      </c>
      <c r="E72" s="2" t="s">
        <v>91</v>
      </c>
      <c r="F72" s="1">
        <v>1890</v>
      </c>
      <c r="G72" s="1">
        <v>2</v>
      </c>
      <c r="H72" s="1">
        <v>4.4000000000000004</v>
      </c>
      <c r="I72" s="1" t="str">
        <f>IF(Table13[[#This Row],[Reiew_Rating]]&gt;=4.5,"Excellent",
IF(Table13[[#This Row],[Reiew_Rating]]&gt;=4,"Good","Average"))</f>
        <v>Good</v>
      </c>
      <c r="J72" s="1">
        <v>200</v>
      </c>
      <c r="K72" s="1" t="str">
        <f>IF(Table13[[#This Row],[Entrance_Fee_INR]]=0,"Free","Paid")</f>
        <v>Paid</v>
      </c>
      <c r="L72" s="2" t="s">
        <v>19</v>
      </c>
      <c r="M72" s="2" t="s">
        <v>32</v>
      </c>
      <c r="N72" s="2" t="s">
        <v>21</v>
      </c>
      <c r="O72" s="2" t="s">
        <v>19</v>
      </c>
      <c r="P72" s="3">
        <v>0.17</v>
      </c>
      <c r="Q72" s="2" t="s">
        <v>25</v>
      </c>
      <c r="R72" s="1" t="str">
        <f>IF(Table13[[#This Row],[Number_Review_Lakhs]]&gt;=1,"Highly Popular", IF(Table13[[#This Row],[Number_Review_Lakhs]]&gt;=0.5,"Popular","Less Popular"))</f>
        <v>Less Popular</v>
      </c>
      <c r="S72" s="1" t="str">
        <f>IF(Table13[[#This Row],[Visit_Time_Hrs]]&lt;=2,"Short Visit", IF(Table13[[#This Row],[Visit_Time_Hrs]]&lt;=5,"Medium Visit","Full Day"))</f>
        <v>Short Visit</v>
      </c>
      <c r="T72" s="1" t="str">
        <f>IF(Table13[[#This Row],[Airport_50km_Radius]]="Yes","Accessible","Remote")</f>
        <v>Accessible</v>
      </c>
      <c r="U72" s="1" t="str">
        <f>IF(Table13[[#This Row],[Reiew_Rating]]&gt;=4.7,"Yes","No")</f>
        <v>No</v>
      </c>
      <c r="V72" s="1" t="str">
        <f t="shared" si="4"/>
        <v>Heritage &amp; Culture</v>
      </c>
      <c r="W72" s="1" t="str">
        <f t="shared" si="5"/>
        <v>★★★★☆</v>
      </c>
      <c r="X72" s="1" t="str">
        <f t="shared" si="6"/>
        <v>4 / 5 Stars</v>
      </c>
      <c r="Y72" s="1" t="str">
        <f t="shared" si="7"/>
        <v>Low Traffic</v>
      </c>
    </row>
    <row r="73" spans="1:25" x14ac:dyDescent="0.3">
      <c r="A73" s="2" t="s">
        <v>62</v>
      </c>
      <c r="B73" s="2" t="s">
        <v>154</v>
      </c>
      <c r="C73" s="2" t="s">
        <v>165</v>
      </c>
      <c r="D73" s="2" t="s">
        <v>166</v>
      </c>
      <c r="E73" s="2" t="s">
        <v>27</v>
      </c>
      <c r="F73" s="1">
        <v>1951</v>
      </c>
      <c r="G73" s="1">
        <v>2</v>
      </c>
      <c r="H73" s="1">
        <v>4.8</v>
      </c>
      <c r="I73" s="1" t="str">
        <f>IF(Table13[[#This Row],[Reiew_Rating]]&gt;=4.5,"Excellent",
IF(Table13[[#This Row],[Reiew_Rating]]&gt;=4,"Good","Average"))</f>
        <v>Excellent</v>
      </c>
      <c r="J73" s="1">
        <v>0</v>
      </c>
      <c r="K73" s="1" t="str">
        <f>IF(Table13[[#This Row],[Entrance_Fee_INR]]=0,"Free","Paid")</f>
        <v>Free</v>
      </c>
      <c r="L73" s="2" t="s">
        <v>29</v>
      </c>
      <c r="M73" s="2" t="s">
        <v>57</v>
      </c>
      <c r="N73" s="2" t="s">
        <v>28</v>
      </c>
      <c r="O73" s="2" t="s">
        <v>29</v>
      </c>
      <c r="P73" s="3">
        <v>0.39</v>
      </c>
      <c r="Q73" s="2" t="s">
        <v>37</v>
      </c>
      <c r="R73" s="1" t="str">
        <f>IF(Table13[[#This Row],[Number_Review_Lakhs]]&gt;=1,"Highly Popular", IF(Table13[[#This Row],[Number_Review_Lakhs]]&gt;=0.5,"Popular","Less Popular"))</f>
        <v>Less Popular</v>
      </c>
      <c r="S73" s="1" t="str">
        <f>IF(Table13[[#This Row],[Visit_Time_Hrs]]&lt;=2,"Short Visit", IF(Table13[[#This Row],[Visit_Time_Hrs]]&lt;=5,"Medium Visit","Full Day"))</f>
        <v>Short Visit</v>
      </c>
      <c r="T73" s="1" t="str">
        <f>IF(Table13[[#This Row],[Airport_50km_Radius]]="Yes","Accessible","Remote")</f>
        <v>Remote</v>
      </c>
      <c r="U73" s="1" t="str">
        <f>IF(Table13[[#This Row],[Reiew_Rating]]&gt;=4.7,"Yes","No")</f>
        <v>Yes</v>
      </c>
      <c r="V73" s="1" t="str">
        <f t="shared" si="4"/>
        <v>Heritage &amp; Culture</v>
      </c>
      <c r="W73" s="1" t="str">
        <f t="shared" si="5"/>
        <v>★★★★★</v>
      </c>
      <c r="X73" s="1" t="str">
        <f t="shared" si="6"/>
        <v>5 / 5 Stars</v>
      </c>
      <c r="Y73" s="1" t="str">
        <f t="shared" si="7"/>
        <v>Low Traffic</v>
      </c>
    </row>
    <row r="74" spans="1:25" x14ac:dyDescent="0.3">
      <c r="A74" s="2" t="s">
        <v>62</v>
      </c>
      <c r="B74" s="2" t="s">
        <v>154</v>
      </c>
      <c r="C74" s="2" t="s">
        <v>167</v>
      </c>
      <c r="D74" s="2" t="s">
        <v>168</v>
      </c>
      <c r="E74" s="2" t="s">
        <v>169</v>
      </c>
      <c r="F74" s="1">
        <v>1752</v>
      </c>
      <c r="G74" s="1">
        <v>3</v>
      </c>
      <c r="H74" s="1">
        <v>4.9000000000000004</v>
      </c>
      <c r="I74" s="1" t="str">
        <f>IF(Table13[[#This Row],[Reiew_Rating]]&gt;=4.5,"Excellent",
IF(Table13[[#This Row],[Reiew_Rating]]&gt;=4,"Good","Average"))</f>
        <v>Excellent</v>
      </c>
      <c r="J74" s="1">
        <v>7500</v>
      </c>
      <c r="K74" s="1" t="str">
        <f>IF(Table13[[#This Row],[Entrance_Fee_INR]]=0,"Free","Paid")</f>
        <v>Paid</v>
      </c>
      <c r="L74" s="2" t="s">
        <v>19</v>
      </c>
      <c r="M74" s="2" t="s">
        <v>721</v>
      </c>
      <c r="N74" s="2" t="s">
        <v>169</v>
      </c>
      <c r="O74" s="2" t="s">
        <v>19</v>
      </c>
      <c r="P74" s="3">
        <v>0.1</v>
      </c>
      <c r="Q74" s="2" t="s">
        <v>22</v>
      </c>
      <c r="R74" s="1" t="str">
        <f>IF(Table13[[#This Row],[Number_Review_Lakhs]]&gt;=1,"Highly Popular", IF(Table13[[#This Row],[Number_Review_Lakhs]]&gt;=0.5,"Popular","Less Popular"))</f>
        <v>Less Popular</v>
      </c>
      <c r="S74" s="1" t="str">
        <f>IF(Table13[[#This Row],[Visit_Time_Hrs]]&lt;=2,"Short Visit", IF(Table13[[#This Row],[Visit_Time_Hrs]]&lt;=5,"Medium Visit","Full Day"))</f>
        <v>Medium Visit</v>
      </c>
      <c r="T74" s="1" t="str">
        <f>IF(Table13[[#This Row],[Airport_50km_Radius]]="Yes","Accessible","Remote")</f>
        <v>Accessible</v>
      </c>
      <c r="U74" s="1" t="str">
        <f>IF(Table13[[#This Row],[Reiew_Rating]]&gt;=4.7,"Yes","No")</f>
        <v>Yes</v>
      </c>
      <c r="V74" s="1" t="str">
        <f t="shared" si="4"/>
        <v>Other</v>
      </c>
      <c r="W74" s="1" t="str">
        <f t="shared" si="5"/>
        <v>★★★★★</v>
      </c>
      <c r="X74" s="1" t="str">
        <f t="shared" si="6"/>
        <v>5 / 5 Stars</v>
      </c>
      <c r="Y74" s="1" t="str">
        <f t="shared" si="7"/>
        <v>Low Traffic</v>
      </c>
    </row>
    <row r="75" spans="1:25" x14ac:dyDescent="0.3">
      <c r="A75" s="2" t="s">
        <v>62</v>
      </c>
      <c r="B75" s="2" t="s">
        <v>154</v>
      </c>
      <c r="C75" s="2" t="s">
        <v>170</v>
      </c>
      <c r="D75" s="2" t="s">
        <v>171</v>
      </c>
      <c r="E75" s="2" t="s">
        <v>59</v>
      </c>
      <c r="F75" s="1">
        <v>2018</v>
      </c>
      <c r="G75" s="1">
        <v>3</v>
      </c>
      <c r="H75" s="1">
        <v>4.5999999999999996</v>
      </c>
      <c r="I75" s="1" t="str">
        <f>IF(Table13[[#This Row],[Reiew_Rating]]&gt;=4.5,"Excellent",
IF(Table13[[#This Row],[Reiew_Rating]]&gt;=4,"Good","Average"))</f>
        <v>Excellent</v>
      </c>
      <c r="J75" s="1">
        <v>350</v>
      </c>
      <c r="K75" s="1" t="str">
        <f>IF(Table13[[#This Row],[Entrance_Fee_INR]]=0,"Free","Paid")</f>
        <v>Paid</v>
      </c>
      <c r="L75" s="2" t="s">
        <v>29</v>
      </c>
      <c r="M75" s="2" t="s">
        <v>32</v>
      </c>
      <c r="N75" s="2" t="s">
        <v>21</v>
      </c>
      <c r="O75" s="2" t="s">
        <v>19</v>
      </c>
      <c r="P75" s="3">
        <v>0.67</v>
      </c>
      <c r="Q75" s="2" t="s">
        <v>51</v>
      </c>
      <c r="R75" s="1" t="str">
        <f>IF(Table13[[#This Row],[Number_Review_Lakhs]]&gt;=1,"Highly Popular", IF(Table13[[#This Row],[Number_Review_Lakhs]]&gt;=0.5,"Popular","Less Popular"))</f>
        <v>Popular</v>
      </c>
      <c r="S75" s="1" t="str">
        <f>IF(Table13[[#This Row],[Visit_Time_Hrs]]&lt;=2,"Short Visit", IF(Table13[[#This Row],[Visit_Time_Hrs]]&lt;=5,"Medium Visit","Full Day"))</f>
        <v>Medium Visit</v>
      </c>
      <c r="T75" s="1" t="str">
        <f>IF(Table13[[#This Row],[Airport_50km_Radius]]="Yes","Accessible","Remote")</f>
        <v>Remote</v>
      </c>
      <c r="U75" s="1" t="str">
        <f>IF(Table13[[#This Row],[Reiew_Rating]]&gt;=4.7,"Yes","No")</f>
        <v>No</v>
      </c>
      <c r="V75" s="1" t="str">
        <f t="shared" si="4"/>
        <v>Heritage &amp; Culture</v>
      </c>
      <c r="W75" s="1" t="str">
        <f t="shared" si="5"/>
        <v>★★★★★</v>
      </c>
      <c r="X75" s="1" t="str">
        <f t="shared" si="6"/>
        <v>5 / 5 Stars</v>
      </c>
      <c r="Y75" s="1" t="str">
        <f t="shared" si="7"/>
        <v>Medium Traffic</v>
      </c>
    </row>
    <row r="76" spans="1:25" x14ac:dyDescent="0.3">
      <c r="A76" s="2" t="s">
        <v>62</v>
      </c>
      <c r="B76" s="2" t="s">
        <v>154</v>
      </c>
      <c r="C76" s="2" t="s">
        <v>172</v>
      </c>
      <c r="D76" s="2" t="s">
        <v>173</v>
      </c>
      <c r="E76" s="2" t="s">
        <v>53</v>
      </c>
      <c r="F76" s="1">
        <v>2013</v>
      </c>
      <c r="G76" s="1">
        <v>1.5</v>
      </c>
      <c r="H76" s="1">
        <v>4.5</v>
      </c>
      <c r="I76" s="1" t="str">
        <f>IF(Table13[[#This Row],[Reiew_Rating]]&gt;=4.5,"Excellent",
IF(Table13[[#This Row],[Reiew_Rating]]&gt;=4,"Good","Average"))</f>
        <v>Excellent</v>
      </c>
      <c r="J76" s="1">
        <v>0</v>
      </c>
      <c r="K76" s="1" t="str">
        <f>IF(Table13[[#This Row],[Entrance_Fee_INR]]=0,"Free","Paid")</f>
        <v>Free</v>
      </c>
      <c r="L76" s="2" t="s">
        <v>29</v>
      </c>
      <c r="M76" s="2" t="s">
        <v>720</v>
      </c>
      <c r="N76" s="2" t="s">
        <v>21</v>
      </c>
      <c r="O76" s="2" t="s">
        <v>19</v>
      </c>
      <c r="P76" s="3">
        <v>0.05</v>
      </c>
      <c r="Q76" s="2" t="s">
        <v>51</v>
      </c>
      <c r="R76" s="1" t="str">
        <f>IF(Table13[[#This Row],[Number_Review_Lakhs]]&gt;=1,"Highly Popular", IF(Table13[[#This Row],[Number_Review_Lakhs]]&gt;=0.5,"Popular","Less Popular"))</f>
        <v>Less Popular</v>
      </c>
      <c r="S76" s="1" t="str">
        <f>IF(Table13[[#This Row],[Visit_Time_Hrs]]&lt;=2,"Short Visit", IF(Table13[[#This Row],[Visit_Time_Hrs]]&lt;=5,"Medium Visit","Full Day"))</f>
        <v>Short Visit</v>
      </c>
      <c r="T76" s="1" t="str">
        <f>IF(Table13[[#This Row],[Airport_50km_Radius]]="Yes","Accessible","Remote")</f>
        <v>Remote</v>
      </c>
      <c r="U76" s="1" t="str">
        <f>IF(Table13[[#This Row],[Reiew_Rating]]&gt;=4.7,"Yes","No")</f>
        <v>No</v>
      </c>
      <c r="V76" s="1" t="str">
        <f t="shared" si="4"/>
        <v>Heritage &amp; Culture</v>
      </c>
      <c r="W76" s="1" t="str">
        <f t="shared" si="5"/>
        <v>★★★★★</v>
      </c>
      <c r="X76" s="1" t="str">
        <f t="shared" si="6"/>
        <v>5 / 5 Stars</v>
      </c>
      <c r="Y76" s="1" t="str">
        <f t="shared" si="7"/>
        <v>Low Traffic</v>
      </c>
    </row>
    <row r="77" spans="1:25" x14ac:dyDescent="0.3">
      <c r="A77" s="2" t="s">
        <v>62</v>
      </c>
      <c r="B77" s="2" t="s">
        <v>154</v>
      </c>
      <c r="C77" s="2" t="s">
        <v>155</v>
      </c>
      <c r="D77" s="2" t="s">
        <v>174</v>
      </c>
      <c r="E77" s="2" t="s">
        <v>175</v>
      </c>
      <c r="F77" s="1">
        <v>2012</v>
      </c>
      <c r="G77" s="1">
        <v>1</v>
      </c>
      <c r="H77" s="1">
        <v>4.5999999999999996</v>
      </c>
      <c r="I77" s="1" t="str">
        <f>IF(Table13[[#This Row],[Reiew_Rating]]&gt;=4.5,"Excellent",
IF(Table13[[#This Row],[Reiew_Rating]]&gt;=4,"Good","Average"))</f>
        <v>Excellent</v>
      </c>
      <c r="J77" s="1">
        <v>0</v>
      </c>
      <c r="K77" s="1" t="str">
        <f>IF(Table13[[#This Row],[Entrance_Fee_INR]]=0,"Free","Paid")</f>
        <v>Free</v>
      </c>
      <c r="L77" s="2" t="s">
        <v>19</v>
      </c>
      <c r="M77" s="2" t="s">
        <v>722</v>
      </c>
      <c r="N77" s="2" t="s">
        <v>80</v>
      </c>
      <c r="O77" s="2" t="s">
        <v>19</v>
      </c>
      <c r="P77" s="3">
        <v>0.1</v>
      </c>
      <c r="Q77" s="2" t="s">
        <v>22</v>
      </c>
      <c r="R77" s="1" t="str">
        <f>IF(Table13[[#This Row],[Number_Review_Lakhs]]&gt;=1,"Highly Popular", IF(Table13[[#This Row],[Number_Review_Lakhs]]&gt;=0.5,"Popular","Less Popular"))</f>
        <v>Less Popular</v>
      </c>
      <c r="S77" s="1" t="str">
        <f>IF(Table13[[#This Row],[Visit_Time_Hrs]]&lt;=2,"Short Visit", IF(Table13[[#This Row],[Visit_Time_Hrs]]&lt;=5,"Medium Visit","Full Day"))</f>
        <v>Short Visit</v>
      </c>
      <c r="T77" s="1" t="str">
        <f>IF(Table13[[#This Row],[Airport_50km_Radius]]="Yes","Accessible","Remote")</f>
        <v>Accessible</v>
      </c>
      <c r="U77" s="1" t="str">
        <f>IF(Table13[[#This Row],[Reiew_Rating]]&gt;=4.7,"Yes","No")</f>
        <v>No</v>
      </c>
      <c r="V77" s="1" t="str">
        <f t="shared" si="4"/>
        <v>Leisure &amp; Commerce</v>
      </c>
      <c r="W77" s="1" t="str">
        <f t="shared" si="5"/>
        <v>★★★★★</v>
      </c>
      <c r="X77" s="1" t="str">
        <f t="shared" si="6"/>
        <v>5 / 5 Stars</v>
      </c>
      <c r="Y77" s="1" t="str">
        <f t="shared" si="7"/>
        <v>Low Traffic</v>
      </c>
    </row>
    <row r="78" spans="1:25" x14ac:dyDescent="0.3">
      <c r="A78" s="2" t="s">
        <v>62</v>
      </c>
      <c r="B78" s="2" t="s">
        <v>154</v>
      </c>
      <c r="C78" s="2" t="s">
        <v>155</v>
      </c>
      <c r="D78" s="2" t="s">
        <v>176</v>
      </c>
      <c r="E78" s="2" t="s">
        <v>39</v>
      </c>
      <c r="F78" s="1">
        <v>1467</v>
      </c>
      <c r="G78" s="1">
        <v>2</v>
      </c>
      <c r="H78" s="1">
        <v>4.4000000000000004</v>
      </c>
      <c r="I78" s="1" t="str">
        <f>IF(Table13[[#This Row],[Reiew_Rating]]&gt;=4.5,"Excellent",
IF(Table13[[#This Row],[Reiew_Rating]]&gt;=4,"Good","Average"))</f>
        <v>Good</v>
      </c>
      <c r="J78" s="1">
        <v>0</v>
      </c>
      <c r="K78" s="1" t="str">
        <f>IF(Table13[[#This Row],[Entrance_Fee_INR]]=0,"Free","Paid")</f>
        <v>Free</v>
      </c>
      <c r="L78" s="2" t="s">
        <v>19</v>
      </c>
      <c r="M78" s="2" t="s">
        <v>722</v>
      </c>
      <c r="N78" s="2" t="s">
        <v>177</v>
      </c>
      <c r="O78" s="2" t="s">
        <v>19</v>
      </c>
      <c r="P78" s="3">
        <v>0.49</v>
      </c>
      <c r="Q78" s="2" t="s">
        <v>178</v>
      </c>
      <c r="R78" s="1" t="str">
        <f>IF(Table13[[#This Row],[Number_Review_Lakhs]]&gt;=1,"Highly Popular", IF(Table13[[#This Row],[Number_Review_Lakhs]]&gt;=0.5,"Popular","Less Popular"))</f>
        <v>Less Popular</v>
      </c>
      <c r="S78" s="1" t="str">
        <f>IF(Table13[[#This Row],[Visit_Time_Hrs]]&lt;=2,"Short Visit", IF(Table13[[#This Row],[Visit_Time_Hrs]]&lt;=5,"Medium Visit","Full Day"))</f>
        <v>Short Visit</v>
      </c>
      <c r="T78" s="1" t="str">
        <f>IF(Table13[[#This Row],[Airport_50km_Radius]]="Yes","Accessible","Remote")</f>
        <v>Accessible</v>
      </c>
      <c r="U78" s="1" t="str">
        <f>IF(Table13[[#This Row],[Reiew_Rating]]&gt;=4.7,"Yes","No")</f>
        <v>No</v>
      </c>
      <c r="V78" s="1" t="str">
        <f t="shared" si="4"/>
        <v>Other</v>
      </c>
      <c r="W78" s="1" t="str">
        <f t="shared" si="5"/>
        <v>★★★★☆</v>
      </c>
      <c r="X78" s="1" t="str">
        <f t="shared" si="6"/>
        <v>4 / 5 Stars</v>
      </c>
      <c r="Y78" s="1" t="str">
        <f t="shared" si="7"/>
        <v>Medium Traffic</v>
      </c>
    </row>
    <row r="79" spans="1:25" x14ac:dyDescent="0.3">
      <c r="A79" s="2" t="s">
        <v>62</v>
      </c>
      <c r="B79" s="2" t="s">
        <v>154</v>
      </c>
      <c r="C79" s="2" t="s">
        <v>155</v>
      </c>
      <c r="D79" s="2" t="s">
        <v>179</v>
      </c>
      <c r="E79" s="2" t="s">
        <v>106</v>
      </c>
      <c r="F79" s="1">
        <v>1451</v>
      </c>
      <c r="G79" s="1">
        <v>3</v>
      </c>
      <c r="H79" s="1">
        <v>4.5</v>
      </c>
      <c r="I79" s="1" t="str">
        <f>IF(Table13[[#This Row],[Reiew_Rating]]&gt;=4.5,"Excellent",
IF(Table13[[#This Row],[Reiew_Rating]]&gt;=4,"Good","Average"))</f>
        <v>Excellent</v>
      </c>
      <c r="J79" s="1">
        <v>10</v>
      </c>
      <c r="K79" s="1" t="str">
        <f>IF(Table13[[#This Row],[Entrance_Fee_INR]]=0,"Free","Paid")</f>
        <v>Paid</v>
      </c>
      <c r="L79" s="2" t="s">
        <v>19</v>
      </c>
      <c r="M79" s="2" t="s">
        <v>40</v>
      </c>
      <c r="N79" s="2" t="s">
        <v>80</v>
      </c>
      <c r="O79" s="2" t="s">
        <v>19</v>
      </c>
      <c r="P79" s="3">
        <v>0.3</v>
      </c>
      <c r="Q79" s="2" t="s">
        <v>25</v>
      </c>
      <c r="R79" s="1" t="str">
        <f>IF(Table13[[#This Row],[Number_Review_Lakhs]]&gt;=1,"Highly Popular", IF(Table13[[#This Row],[Number_Review_Lakhs]]&gt;=0.5,"Popular","Less Popular"))</f>
        <v>Less Popular</v>
      </c>
      <c r="S79" s="1" t="str">
        <f>IF(Table13[[#This Row],[Visit_Time_Hrs]]&lt;=2,"Short Visit", IF(Table13[[#This Row],[Visit_Time_Hrs]]&lt;=5,"Medium Visit","Full Day"))</f>
        <v>Medium Visit</v>
      </c>
      <c r="T79" s="1" t="str">
        <f>IF(Table13[[#This Row],[Airport_50km_Radius]]="Yes","Accessible","Remote")</f>
        <v>Accessible</v>
      </c>
      <c r="U79" s="1" t="str">
        <f>IF(Table13[[#This Row],[Reiew_Rating]]&gt;=4.7,"Yes","No")</f>
        <v>No</v>
      </c>
      <c r="V79" s="1" t="str">
        <f t="shared" si="4"/>
        <v>Leisure &amp; Commerce</v>
      </c>
      <c r="W79" s="1" t="str">
        <f t="shared" si="5"/>
        <v>★★★★★</v>
      </c>
      <c r="X79" s="1" t="str">
        <f t="shared" si="6"/>
        <v>5 / 5 Stars</v>
      </c>
      <c r="Y79" s="1" t="str">
        <f t="shared" si="7"/>
        <v>Low Traffic</v>
      </c>
    </row>
    <row r="80" spans="1:25" x14ac:dyDescent="0.3">
      <c r="A80" s="2" t="s">
        <v>62</v>
      </c>
      <c r="B80" s="2" t="s">
        <v>154</v>
      </c>
      <c r="C80" s="2" t="s">
        <v>155</v>
      </c>
      <c r="D80" s="2" t="s">
        <v>180</v>
      </c>
      <c r="E80" s="2" t="s">
        <v>61</v>
      </c>
      <c r="F80" s="1">
        <v>2002</v>
      </c>
      <c r="G80" s="1">
        <v>7</v>
      </c>
      <c r="H80" s="1">
        <v>4.4000000000000004</v>
      </c>
      <c r="I80" s="1" t="str">
        <f>IF(Table13[[#This Row],[Reiew_Rating]]&gt;=4.5,"Excellent",
IF(Table13[[#This Row],[Reiew_Rating]]&gt;=4,"Good","Average"))</f>
        <v>Good</v>
      </c>
      <c r="J80" s="1">
        <v>500</v>
      </c>
      <c r="K80" s="1" t="str">
        <f>IF(Table13[[#This Row],[Entrance_Fee_INR]]=0,"Free","Paid")</f>
        <v>Paid</v>
      </c>
      <c r="L80" s="2" t="s">
        <v>19</v>
      </c>
      <c r="M80" s="2" t="s">
        <v>32</v>
      </c>
      <c r="N80" s="2" t="s">
        <v>132</v>
      </c>
      <c r="O80" s="2" t="s">
        <v>19</v>
      </c>
      <c r="P80" s="3">
        <v>0.11</v>
      </c>
      <c r="Q80" s="2" t="s">
        <v>51</v>
      </c>
      <c r="R80" s="1" t="str">
        <f>IF(Table13[[#This Row],[Number_Review_Lakhs]]&gt;=1,"Highly Popular", IF(Table13[[#This Row],[Number_Review_Lakhs]]&gt;=0.5,"Popular","Less Popular"))</f>
        <v>Less Popular</v>
      </c>
      <c r="S80" s="1" t="str">
        <f>IF(Table13[[#This Row],[Visit_Time_Hrs]]&lt;=2,"Short Visit", IF(Table13[[#This Row],[Visit_Time_Hrs]]&lt;=5,"Medium Visit","Full Day"))</f>
        <v>Full Day</v>
      </c>
      <c r="T80" s="1" t="str">
        <f>IF(Table13[[#This Row],[Airport_50km_Radius]]="Yes","Accessible","Remote")</f>
        <v>Accessible</v>
      </c>
      <c r="U80" s="1" t="str">
        <f>IF(Table13[[#This Row],[Reiew_Rating]]&gt;=4.7,"Yes","No")</f>
        <v>No</v>
      </c>
      <c r="V80" s="1" t="str">
        <f t="shared" si="4"/>
        <v>Other</v>
      </c>
      <c r="W80" s="1" t="str">
        <f t="shared" si="5"/>
        <v>★★★★☆</v>
      </c>
      <c r="X80" s="1" t="str">
        <f t="shared" si="6"/>
        <v>4 / 5 Stars</v>
      </c>
      <c r="Y80" s="1" t="str">
        <f t="shared" si="7"/>
        <v>Low Traffic</v>
      </c>
    </row>
    <row r="81" spans="1:25" x14ac:dyDescent="0.3">
      <c r="A81" s="2" t="s">
        <v>15</v>
      </c>
      <c r="B81" s="2" t="s">
        <v>181</v>
      </c>
      <c r="C81" s="2" t="s">
        <v>182</v>
      </c>
      <c r="D81" s="2" t="s">
        <v>183</v>
      </c>
      <c r="E81" s="2" t="s">
        <v>91</v>
      </c>
      <c r="F81" s="1">
        <v>1799</v>
      </c>
      <c r="G81" s="1">
        <v>1</v>
      </c>
      <c r="H81" s="1">
        <v>4.4000000000000004</v>
      </c>
      <c r="I81" s="1" t="str">
        <f>IF(Table13[[#This Row],[Reiew_Rating]]&gt;=4.5,"Excellent",
IF(Table13[[#This Row],[Reiew_Rating]]&gt;=4,"Good","Average"))</f>
        <v>Good</v>
      </c>
      <c r="J81" s="1">
        <v>50</v>
      </c>
      <c r="K81" s="1" t="str">
        <f>IF(Table13[[#This Row],[Entrance_Fee_INR]]=0,"Free","Paid")</f>
        <v>Paid</v>
      </c>
      <c r="L81" s="2" t="s">
        <v>19</v>
      </c>
      <c r="M81" s="2" t="s">
        <v>721</v>
      </c>
      <c r="N81" s="2" t="s">
        <v>98</v>
      </c>
      <c r="O81" s="2" t="s">
        <v>19</v>
      </c>
      <c r="P81" s="3">
        <v>1.3</v>
      </c>
      <c r="Q81" s="2" t="s">
        <v>37</v>
      </c>
      <c r="R81" s="1" t="str">
        <f>IF(Table13[[#This Row],[Number_Review_Lakhs]]&gt;=1,"Highly Popular", IF(Table13[[#This Row],[Number_Review_Lakhs]]&gt;=0.5,"Popular","Less Popular"))</f>
        <v>Highly Popular</v>
      </c>
      <c r="S81" s="1" t="str">
        <f>IF(Table13[[#This Row],[Visit_Time_Hrs]]&lt;=2,"Short Visit", IF(Table13[[#This Row],[Visit_Time_Hrs]]&lt;=5,"Medium Visit","Full Day"))</f>
        <v>Short Visit</v>
      </c>
      <c r="T81" s="1" t="str">
        <f>IF(Table13[[#This Row],[Airport_50km_Radius]]="Yes","Accessible","Remote")</f>
        <v>Accessible</v>
      </c>
      <c r="U81" s="1" t="str">
        <f>IF(Table13[[#This Row],[Reiew_Rating]]&gt;=4.7,"Yes","No")</f>
        <v>No</v>
      </c>
      <c r="V81" s="1" t="str">
        <f t="shared" si="4"/>
        <v>Heritage &amp; Culture</v>
      </c>
      <c r="W81" s="1" t="str">
        <f t="shared" si="5"/>
        <v>★★★★☆</v>
      </c>
      <c r="X81" s="1" t="str">
        <f t="shared" si="6"/>
        <v>4 / 5 Stars</v>
      </c>
      <c r="Y81" s="1" t="str">
        <f t="shared" si="7"/>
        <v>Medium Traffic</v>
      </c>
    </row>
    <row r="82" spans="1:25" x14ac:dyDescent="0.3">
      <c r="A82" s="2" t="s">
        <v>15</v>
      </c>
      <c r="B82" s="2" t="s">
        <v>181</v>
      </c>
      <c r="C82" s="2" t="s">
        <v>184</v>
      </c>
      <c r="D82" s="2" t="s">
        <v>185</v>
      </c>
      <c r="E82" s="2" t="s">
        <v>91</v>
      </c>
      <c r="F82" s="1">
        <v>1559</v>
      </c>
      <c r="G82" s="1">
        <v>2</v>
      </c>
      <c r="H82" s="1">
        <v>4.4000000000000004</v>
      </c>
      <c r="I82" s="1" t="str">
        <f>IF(Table13[[#This Row],[Reiew_Rating]]&gt;=4.5,"Excellent",
IF(Table13[[#This Row],[Reiew_Rating]]&gt;=4,"Good","Average"))</f>
        <v>Good</v>
      </c>
      <c r="J82" s="1">
        <v>300</v>
      </c>
      <c r="K82" s="1" t="str">
        <f>IF(Table13[[#This Row],[Entrance_Fee_INR]]=0,"Free","Paid")</f>
        <v>Paid</v>
      </c>
      <c r="L82" s="2" t="s">
        <v>19</v>
      </c>
      <c r="M82" s="2" t="s">
        <v>722</v>
      </c>
      <c r="N82" s="2" t="s">
        <v>21</v>
      </c>
      <c r="O82" s="2" t="s">
        <v>19</v>
      </c>
      <c r="P82" s="3">
        <v>0.51</v>
      </c>
      <c r="Q82" s="2" t="s">
        <v>51</v>
      </c>
      <c r="R82" s="1" t="str">
        <f>IF(Table13[[#This Row],[Number_Review_Lakhs]]&gt;=1,"Highly Popular", IF(Table13[[#This Row],[Number_Review_Lakhs]]&gt;=0.5,"Popular","Less Popular"))</f>
        <v>Popular</v>
      </c>
      <c r="S82" s="1" t="str">
        <f>IF(Table13[[#This Row],[Visit_Time_Hrs]]&lt;=2,"Short Visit", IF(Table13[[#This Row],[Visit_Time_Hrs]]&lt;=5,"Medium Visit","Full Day"))</f>
        <v>Short Visit</v>
      </c>
      <c r="T82" s="1" t="str">
        <f>IF(Table13[[#This Row],[Airport_50km_Radius]]="Yes","Accessible","Remote")</f>
        <v>Accessible</v>
      </c>
      <c r="U82" s="1" t="str">
        <f>IF(Table13[[#This Row],[Reiew_Rating]]&gt;=4.7,"Yes","No")</f>
        <v>No</v>
      </c>
      <c r="V82" s="1" t="str">
        <f t="shared" si="4"/>
        <v>Heritage &amp; Culture</v>
      </c>
      <c r="W82" s="1" t="str">
        <f t="shared" si="5"/>
        <v>★★★★☆</v>
      </c>
      <c r="X82" s="1" t="str">
        <f t="shared" si="6"/>
        <v>4 / 5 Stars</v>
      </c>
      <c r="Y82" s="1" t="str">
        <f t="shared" si="7"/>
        <v>Medium Traffic</v>
      </c>
    </row>
    <row r="83" spans="1:25" x14ac:dyDescent="0.3">
      <c r="A83" s="2" t="s">
        <v>15</v>
      </c>
      <c r="B83" s="2" t="s">
        <v>181</v>
      </c>
      <c r="C83" s="2" t="s">
        <v>186</v>
      </c>
      <c r="D83" s="2" t="s">
        <v>187</v>
      </c>
      <c r="E83" s="2" t="s">
        <v>43</v>
      </c>
      <c r="F83" s="1">
        <v>1156</v>
      </c>
      <c r="G83" s="1">
        <v>2.5</v>
      </c>
      <c r="H83" s="1">
        <v>4.4000000000000004</v>
      </c>
      <c r="I83" s="1" t="str">
        <f>IF(Table13[[#This Row],[Reiew_Rating]]&gt;=4.5,"Excellent",
IF(Table13[[#This Row],[Reiew_Rating]]&gt;=4,"Good","Average"))</f>
        <v>Good</v>
      </c>
      <c r="J83" s="1">
        <v>50</v>
      </c>
      <c r="K83" s="1" t="str">
        <f>IF(Table13[[#This Row],[Entrance_Fee_INR]]=0,"Free","Paid")</f>
        <v>Paid</v>
      </c>
      <c r="L83" s="2" t="s">
        <v>29</v>
      </c>
      <c r="M83" s="2" t="s">
        <v>720</v>
      </c>
      <c r="N83" s="2" t="s">
        <v>21</v>
      </c>
      <c r="O83" s="2" t="s">
        <v>19</v>
      </c>
      <c r="P83" s="3">
        <v>0.56000000000000005</v>
      </c>
      <c r="Q83" s="2" t="s">
        <v>51</v>
      </c>
      <c r="R83" s="1" t="str">
        <f>IF(Table13[[#This Row],[Number_Review_Lakhs]]&gt;=1,"Highly Popular", IF(Table13[[#This Row],[Number_Review_Lakhs]]&gt;=0.5,"Popular","Less Popular"))</f>
        <v>Popular</v>
      </c>
      <c r="S83" s="1" t="str">
        <f>IF(Table13[[#This Row],[Visit_Time_Hrs]]&lt;=2,"Short Visit", IF(Table13[[#This Row],[Visit_Time_Hrs]]&lt;=5,"Medium Visit","Full Day"))</f>
        <v>Medium Visit</v>
      </c>
      <c r="T83" s="1" t="str">
        <f>IF(Table13[[#This Row],[Airport_50km_Radius]]="Yes","Accessible","Remote")</f>
        <v>Remote</v>
      </c>
      <c r="U83" s="1" t="str">
        <f>IF(Table13[[#This Row],[Reiew_Rating]]&gt;=4.7,"Yes","No")</f>
        <v>No</v>
      </c>
      <c r="V83" s="1" t="str">
        <f t="shared" si="4"/>
        <v>Heritage &amp; Culture</v>
      </c>
      <c r="W83" s="1" t="str">
        <f t="shared" si="5"/>
        <v>★★★★☆</v>
      </c>
      <c r="X83" s="1" t="str">
        <f t="shared" si="6"/>
        <v>4 / 5 Stars</v>
      </c>
      <c r="Y83" s="1" t="str">
        <f t="shared" si="7"/>
        <v>Medium Traffic</v>
      </c>
    </row>
    <row r="84" spans="1:25" x14ac:dyDescent="0.3">
      <c r="A84" s="2" t="s">
        <v>15</v>
      </c>
      <c r="B84" s="2" t="s">
        <v>181</v>
      </c>
      <c r="C84" s="2" t="s">
        <v>188</v>
      </c>
      <c r="D84" s="2" t="s">
        <v>189</v>
      </c>
      <c r="E84" s="2" t="s">
        <v>190</v>
      </c>
      <c r="F84" s="1">
        <v>1980</v>
      </c>
      <c r="G84" s="1">
        <v>3</v>
      </c>
      <c r="H84" s="1">
        <v>4.5999999999999996</v>
      </c>
      <c r="I84" s="1" t="str">
        <f>IF(Table13[[#This Row],[Reiew_Rating]]&gt;=4.5,"Excellent",
IF(Table13[[#This Row],[Reiew_Rating]]&gt;=4,"Good","Average"))</f>
        <v>Excellent</v>
      </c>
      <c r="J84" s="1">
        <v>500</v>
      </c>
      <c r="K84" s="1" t="str">
        <f>IF(Table13[[#This Row],[Entrance_Fee_INR]]=0,"Free","Paid")</f>
        <v>Paid</v>
      </c>
      <c r="L84" s="2" t="s">
        <v>29</v>
      </c>
      <c r="M84" s="2" t="s">
        <v>305</v>
      </c>
      <c r="N84" s="2" t="s">
        <v>73</v>
      </c>
      <c r="O84" s="2" t="s">
        <v>19</v>
      </c>
      <c r="P84" s="3">
        <v>0.09</v>
      </c>
      <c r="Q84" s="2" t="s">
        <v>51</v>
      </c>
      <c r="R84" s="1" t="str">
        <f>IF(Table13[[#This Row],[Number_Review_Lakhs]]&gt;=1,"Highly Popular", IF(Table13[[#This Row],[Number_Review_Lakhs]]&gt;=0.5,"Popular","Less Popular"))</f>
        <v>Less Popular</v>
      </c>
      <c r="S84" s="1" t="str">
        <f>IF(Table13[[#This Row],[Visit_Time_Hrs]]&lt;=2,"Short Visit", IF(Table13[[#This Row],[Visit_Time_Hrs]]&lt;=5,"Medium Visit","Full Day"))</f>
        <v>Medium Visit</v>
      </c>
      <c r="T84" s="1" t="str">
        <f>IF(Table13[[#This Row],[Airport_50km_Radius]]="Yes","Accessible","Remote")</f>
        <v>Remote</v>
      </c>
      <c r="U84" s="1" t="str">
        <f>IF(Table13[[#This Row],[Reiew_Rating]]&gt;=4.7,"Yes","No")</f>
        <v>No</v>
      </c>
      <c r="V84" s="1" t="str">
        <f t="shared" si="4"/>
        <v>Nature &amp; Wildlife</v>
      </c>
      <c r="W84" s="1" t="str">
        <f t="shared" si="5"/>
        <v>★★★★★</v>
      </c>
      <c r="X84" s="1" t="str">
        <f t="shared" si="6"/>
        <v>5 / 5 Stars</v>
      </c>
      <c r="Y84" s="1" t="str">
        <f t="shared" si="7"/>
        <v>Low Traffic</v>
      </c>
    </row>
    <row r="85" spans="1:25" x14ac:dyDescent="0.3">
      <c r="A85" s="2" t="s">
        <v>15</v>
      </c>
      <c r="B85" s="2" t="s">
        <v>181</v>
      </c>
      <c r="C85" s="2" t="s">
        <v>191</v>
      </c>
      <c r="D85" s="2" t="s">
        <v>192</v>
      </c>
      <c r="E85" s="2" t="s">
        <v>27</v>
      </c>
      <c r="F85" s="1">
        <v>1400</v>
      </c>
      <c r="G85" s="1">
        <v>1.5</v>
      </c>
      <c r="H85" s="1">
        <v>4.4000000000000004</v>
      </c>
      <c r="I85" s="1" t="str">
        <f>IF(Table13[[#This Row],[Reiew_Rating]]&gt;=4.5,"Excellent",
IF(Table13[[#This Row],[Reiew_Rating]]&gt;=4,"Good","Average"))</f>
        <v>Good</v>
      </c>
      <c r="J85" s="1">
        <v>0</v>
      </c>
      <c r="K85" s="1" t="str">
        <f>IF(Table13[[#This Row],[Entrance_Fee_INR]]=0,"Free","Paid")</f>
        <v>Free</v>
      </c>
      <c r="L85" s="2" t="s">
        <v>29</v>
      </c>
      <c r="M85" s="2" t="s">
        <v>305</v>
      </c>
      <c r="N85" s="2" t="s">
        <v>28</v>
      </c>
      <c r="O85" s="2" t="s">
        <v>19</v>
      </c>
      <c r="P85" s="3">
        <v>1.6</v>
      </c>
      <c r="Q85" s="2" t="s">
        <v>51</v>
      </c>
      <c r="R85" s="1" t="str">
        <f>IF(Table13[[#This Row],[Number_Review_Lakhs]]&gt;=1,"Highly Popular", IF(Table13[[#This Row],[Number_Review_Lakhs]]&gt;=0.5,"Popular","Less Popular"))</f>
        <v>Highly Popular</v>
      </c>
      <c r="S85" s="1" t="str">
        <f>IF(Table13[[#This Row],[Visit_Time_Hrs]]&lt;=2,"Short Visit", IF(Table13[[#This Row],[Visit_Time_Hrs]]&lt;=5,"Medium Visit","Full Day"))</f>
        <v>Short Visit</v>
      </c>
      <c r="T85" s="1" t="str">
        <f>IF(Table13[[#This Row],[Airport_50km_Radius]]="Yes","Accessible","Remote")</f>
        <v>Remote</v>
      </c>
      <c r="U85" s="1" t="str">
        <f>IF(Table13[[#This Row],[Reiew_Rating]]&gt;=4.7,"Yes","No")</f>
        <v>No</v>
      </c>
      <c r="V85" s="1" t="str">
        <f t="shared" si="4"/>
        <v>Heritage &amp; Culture</v>
      </c>
      <c r="W85" s="1" t="str">
        <f t="shared" si="5"/>
        <v>★★★★☆</v>
      </c>
      <c r="X85" s="1" t="str">
        <f t="shared" si="6"/>
        <v>4 / 5 Stars</v>
      </c>
      <c r="Y85" s="1" t="str">
        <f t="shared" si="7"/>
        <v>High Traffic</v>
      </c>
    </row>
    <row r="86" spans="1:25" x14ac:dyDescent="0.3">
      <c r="A86" s="2" t="s">
        <v>15</v>
      </c>
      <c r="B86" s="2" t="s">
        <v>181</v>
      </c>
      <c r="C86" s="2" t="s">
        <v>193</v>
      </c>
      <c r="D86" s="2" t="s">
        <v>194</v>
      </c>
      <c r="E86" s="2" t="s">
        <v>195</v>
      </c>
      <c r="F86" s="1">
        <v>1236</v>
      </c>
      <c r="G86" s="1">
        <v>1</v>
      </c>
      <c r="H86" s="1">
        <v>4.5999999999999996</v>
      </c>
      <c r="I86" s="1" t="str">
        <f>IF(Table13[[#This Row],[Reiew_Rating]]&gt;=4.5,"Excellent",
IF(Table13[[#This Row],[Reiew_Rating]]&gt;=4,"Good","Average"))</f>
        <v>Excellent</v>
      </c>
      <c r="J86" s="1">
        <v>0</v>
      </c>
      <c r="K86" s="1" t="str">
        <f>IF(Table13[[#This Row],[Entrance_Fee_INR]]=0,"Free","Paid")</f>
        <v>Free</v>
      </c>
      <c r="L86" s="2" t="s">
        <v>19</v>
      </c>
      <c r="M86" s="2" t="s">
        <v>57</v>
      </c>
      <c r="N86" s="2" t="s">
        <v>28</v>
      </c>
      <c r="O86" s="2" t="s">
        <v>29</v>
      </c>
      <c r="P86" s="3">
        <v>0.35</v>
      </c>
      <c r="Q86" s="2" t="s">
        <v>51</v>
      </c>
      <c r="R86" s="1" t="str">
        <f>IF(Table13[[#This Row],[Number_Review_Lakhs]]&gt;=1,"Highly Popular", IF(Table13[[#This Row],[Number_Review_Lakhs]]&gt;=0.5,"Popular","Less Popular"))</f>
        <v>Less Popular</v>
      </c>
      <c r="S86" s="1" t="str">
        <f>IF(Table13[[#This Row],[Visit_Time_Hrs]]&lt;=2,"Short Visit", IF(Table13[[#This Row],[Visit_Time_Hrs]]&lt;=5,"Medium Visit","Full Day"))</f>
        <v>Short Visit</v>
      </c>
      <c r="T86" s="1" t="str">
        <f>IF(Table13[[#This Row],[Airport_50km_Radius]]="Yes","Accessible","Remote")</f>
        <v>Accessible</v>
      </c>
      <c r="U86" s="1" t="str">
        <f>IF(Table13[[#This Row],[Reiew_Rating]]&gt;=4.7,"Yes","No")</f>
        <v>No</v>
      </c>
      <c r="V86" s="1" t="str">
        <f t="shared" si="4"/>
        <v>Heritage &amp; Culture</v>
      </c>
      <c r="W86" s="1" t="str">
        <f t="shared" si="5"/>
        <v>★★★★★</v>
      </c>
      <c r="X86" s="1" t="str">
        <f t="shared" si="6"/>
        <v>5 / 5 Stars</v>
      </c>
      <c r="Y86" s="1" t="str">
        <f t="shared" si="7"/>
        <v>Low Traffic</v>
      </c>
    </row>
    <row r="87" spans="1:25" x14ac:dyDescent="0.3">
      <c r="A87" s="2" t="s">
        <v>15</v>
      </c>
      <c r="B87" s="2" t="s">
        <v>181</v>
      </c>
      <c r="C87" s="2" t="s">
        <v>196</v>
      </c>
      <c r="D87" s="2" t="s">
        <v>197</v>
      </c>
      <c r="E87" s="2" t="s">
        <v>43</v>
      </c>
      <c r="F87" s="1">
        <v>1459</v>
      </c>
      <c r="G87" s="1">
        <v>2</v>
      </c>
      <c r="H87" s="1">
        <v>4.5999999999999996</v>
      </c>
      <c r="I87" s="1" t="str">
        <f>IF(Table13[[#This Row],[Reiew_Rating]]&gt;=4.5,"Excellent",
IF(Table13[[#This Row],[Reiew_Rating]]&gt;=4,"Good","Average"))</f>
        <v>Excellent</v>
      </c>
      <c r="J87" s="1">
        <v>100</v>
      </c>
      <c r="K87" s="1" t="str">
        <f>IF(Table13[[#This Row],[Entrance_Fee_INR]]=0,"Free","Paid")</f>
        <v>Paid</v>
      </c>
      <c r="L87" s="2" t="s">
        <v>19</v>
      </c>
      <c r="M87" s="2" t="s">
        <v>32</v>
      </c>
      <c r="N87" s="2" t="s">
        <v>21</v>
      </c>
      <c r="O87" s="2" t="s">
        <v>19</v>
      </c>
      <c r="P87" s="3">
        <v>0.64</v>
      </c>
      <c r="Q87" s="2" t="s">
        <v>51</v>
      </c>
      <c r="R87" s="1" t="str">
        <f>IF(Table13[[#This Row],[Number_Review_Lakhs]]&gt;=1,"Highly Popular", IF(Table13[[#This Row],[Number_Review_Lakhs]]&gt;=0.5,"Popular","Less Popular"))</f>
        <v>Popular</v>
      </c>
      <c r="S87" s="1" t="str">
        <f>IF(Table13[[#This Row],[Visit_Time_Hrs]]&lt;=2,"Short Visit", IF(Table13[[#This Row],[Visit_Time_Hrs]]&lt;=5,"Medium Visit","Full Day"))</f>
        <v>Short Visit</v>
      </c>
      <c r="T87" s="1" t="str">
        <f>IF(Table13[[#This Row],[Airport_50km_Radius]]="Yes","Accessible","Remote")</f>
        <v>Accessible</v>
      </c>
      <c r="U87" s="1" t="str">
        <f>IF(Table13[[#This Row],[Reiew_Rating]]&gt;=4.7,"Yes","No")</f>
        <v>No</v>
      </c>
      <c r="V87" s="1" t="str">
        <f t="shared" si="4"/>
        <v>Heritage &amp; Culture</v>
      </c>
      <c r="W87" s="1" t="str">
        <f t="shared" si="5"/>
        <v>★★★★★</v>
      </c>
      <c r="X87" s="1" t="str">
        <f t="shared" si="6"/>
        <v>5 / 5 Stars</v>
      </c>
      <c r="Y87" s="1" t="str">
        <f t="shared" si="7"/>
        <v>Medium Traffic</v>
      </c>
    </row>
    <row r="88" spans="1:25" x14ac:dyDescent="0.3">
      <c r="A88" s="2" t="s">
        <v>15</v>
      </c>
      <c r="B88" s="2" t="s">
        <v>181</v>
      </c>
      <c r="C88" s="2" t="s">
        <v>198</v>
      </c>
      <c r="D88" s="2" t="s">
        <v>199</v>
      </c>
      <c r="E88" s="2" t="s">
        <v>43</v>
      </c>
      <c r="F88" s="1">
        <v>700</v>
      </c>
      <c r="G88" s="1">
        <v>2</v>
      </c>
      <c r="H88" s="1">
        <v>4.5999999999999996</v>
      </c>
      <c r="I88" s="1" t="str">
        <f>IF(Table13[[#This Row],[Reiew_Rating]]&gt;=4.5,"Excellent",
IF(Table13[[#This Row],[Reiew_Rating]]&gt;=4,"Good","Average"))</f>
        <v>Excellent</v>
      </c>
      <c r="J88" s="1">
        <v>40</v>
      </c>
      <c r="K88" s="1" t="str">
        <f>IF(Table13[[#This Row],[Entrance_Fee_INR]]=0,"Free","Paid")</f>
        <v>Paid</v>
      </c>
      <c r="L88" s="2" t="s">
        <v>29</v>
      </c>
      <c r="M88" s="2" t="s">
        <v>305</v>
      </c>
      <c r="N88" s="2" t="s">
        <v>21</v>
      </c>
      <c r="O88" s="2" t="s">
        <v>19</v>
      </c>
      <c r="P88" s="3">
        <v>1.9</v>
      </c>
      <c r="Q88" s="2" t="s">
        <v>51</v>
      </c>
      <c r="R88" s="1" t="str">
        <f>IF(Table13[[#This Row],[Number_Review_Lakhs]]&gt;=1,"Highly Popular", IF(Table13[[#This Row],[Number_Review_Lakhs]]&gt;=0.5,"Popular","Less Popular"))</f>
        <v>Highly Popular</v>
      </c>
      <c r="S88" s="1" t="str">
        <f>IF(Table13[[#This Row],[Visit_Time_Hrs]]&lt;=2,"Short Visit", IF(Table13[[#This Row],[Visit_Time_Hrs]]&lt;=5,"Medium Visit","Full Day"))</f>
        <v>Short Visit</v>
      </c>
      <c r="T88" s="1" t="str">
        <f>IF(Table13[[#This Row],[Airport_50km_Radius]]="Yes","Accessible","Remote")</f>
        <v>Remote</v>
      </c>
      <c r="U88" s="1" t="str">
        <f>IF(Table13[[#This Row],[Reiew_Rating]]&gt;=4.7,"Yes","No")</f>
        <v>No</v>
      </c>
      <c r="V88" s="1" t="str">
        <f t="shared" si="4"/>
        <v>Heritage &amp; Culture</v>
      </c>
      <c r="W88" s="1" t="str">
        <f t="shared" si="5"/>
        <v>★★★★★</v>
      </c>
      <c r="X88" s="1" t="str">
        <f t="shared" si="6"/>
        <v>5 / 5 Stars</v>
      </c>
      <c r="Y88" s="1" t="str">
        <f t="shared" si="7"/>
        <v>High Traffic</v>
      </c>
    </row>
    <row r="89" spans="1:25" x14ac:dyDescent="0.3">
      <c r="A89" s="2" t="s">
        <v>15</v>
      </c>
      <c r="B89" s="2" t="s">
        <v>181</v>
      </c>
      <c r="C89" s="2" t="s">
        <v>200</v>
      </c>
      <c r="D89" s="2" t="s">
        <v>201</v>
      </c>
      <c r="E89" s="2" t="s">
        <v>27</v>
      </c>
      <c r="F89" s="1">
        <v>1100</v>
      </c>
      <c r="G89" s="1">
        <v>1</v>
      </c>
      <c r="H89" s="1">
        <v>4.5999999999999996</v>
      </c>
      <c r="I89" s="1" t="str">
        <f>IF(Table13[[#This Row],[Reiew_Rating]]&gt;=4.5,"Excellent",
IF(Table13[[#This Row],[Reiew_Rating]]&gt;=4,"Good","Average"))</f>
        <v>Excellent</v>
      </c>
      <c r="J89" s="1">
        <v>0</v>
      </c>
      <c r="K89" s="1" t="str">
        <f>IF(Table13[[#This Row],[Entrance_Fee_INR]]=0,"Free","Paid")</f>
        <v>Free</v>
      </c>
      <c r="L89" s="2" t="s">
        <v>29</v>
      </c>
      <c r="M89" s="2" t="s">
        <v>720</v>
      </c>
      <c r="N89" s="2" t="s">
        <v>28</v>
      </c>
      <c r="O89" s="2" t="s">
        <v>29</v>
      </c>
      <c r="P89" s="3">
        <v>0.05</v>
      </c>
      <c r="Q89" s="2" t="s">
        <v>51</v>
      </c>
      <c r="R89" s="1" t="str">
        <f>IF(Table13[[#This Row],[Number_Review_Lakhs]]&gt;=1,"Highly Popular", IF(Table13[[#This Row],[Number_Review_Lakhs]]&gt;=0.5,"Popular","Less Popular"))</f>
        <v>Less Popular</v>
      </c>
      <c r="S89" s="1" t="str">
        <f>IF(Table13[[#This Row],[Visit_Time_Hrs]]&lt;=2,"Short Visit", IF(Table13[[#This Row],[Visit_Time_Hrs]]&lt;=5,"Medium Visit","Full Day"))</f>
        <v>Short Visit</v>
      </c>
      <c r="T89" s="1" t="str">
        <f>IF(Table13[[#This Row],[Airport_50km_Radius]]="Yes","Accessible","Remote")</f>
        <v>Remote</v>
      </c>
      <c r="U89" s="1" t="str">
        <f>IF(Table13[[#This Row],[Reiew_Rating]]&gt;=4.7,"Yes","No")</f>
        <v>No</v>
      </c>
      <c r="V89" s="1" t="str">
        <f t="shared" si="4"/>
        <v>Heritage &amp; Culture</v>
      </c>
      <c r="W89" s="1" t="str">
        <f t="shared" si="5"/>
        <v>★★★★★</v>
      </c>
      <c r="X89" s="1" t="str">
        <f t="shared" si="6"/>
        <v>5 / 5 Stars</v>
      </c>
      <c r="Y89" s="1" t="str">
        <f t="shared" si="7"/>
        <v>Low Traffic</v>
      </c>
    </row>
    <row r="90" spans="1:25" x14ac:dyDescent="0.3">
      <c r="A90" s="2" t="s">
        <v>15</v>
      </c>
      <c r="B90" s="2" t="s">
        <v>181</v>
      </c>
      <c r="C90" s="2" t="s">
        <v>202</v>
      </c>
      <c r="D90" s="2" t="s">
        <v>203</v>
      </c>
      <c r="E90" s="2" t="s">
        <v>43</v>
      </c>
      <c r="F90" s="1">
        <v>1589</v>
      </c>
      <c r="G90" s="1">
        <v>2</v>
      </c>
      <c r="H90" s="1">
        <v>4.5</v>
      </c>
      <c r="I90" s="1" t="str">
        <f>IF(Table13[[#This Row],[Reiew_Rating]]&gt;=4.5,"Excellent",
IF(Table13[[#This Row],[Reiew_Rating]]&gt;=4,"Good","Average"))</f>
        <v>Excellent</v>
      </c>
      <c r="J90" s="1">
        <v>50</v>
      </c>
      <c r="K90" s="1" t="str">
        <f>IF(Table13[[#This Row],[Entrance_Fee_INR]]=0,"Free","Paid")</f>
        <v>Paid</v>
      </c>
      <c r="L90" s="2" t="s">
        <v>19</v>
      </c>
      <c r="M90" s="2" t="s">
        <v>57</v>
      </c>
      <c r="N90" s="2" t="s">
        <v>21</v>
      </c>
      <c r="O90" s="2" t="s">
        <v>19</v>
      </c>
      <c r="P90" s="3">
        <v>0.32</v>
      </c>
      <c r="Q90" s="2" t="s">
        <v>51</v>
      </c>
      <c r="R90" s="1" t="str">
        <f>IF(Table13[[#This Row],[Number_Review_Lakhs]]&gt;=1,"Highly Popular", IF(Table13[[#This Row],[Number_Review_Lakhs]]&gt;=0.5,"Popular","Less Popular"))</f>
        <v>Less Popular</v>
      </c>
      <c r="S90" s="1" t="str">
        <f>IF(Table13[[#This Row],[Visit_Time_Hrs]]&lt;=2,"Short Visit", IF(Table13[[#This Row],[Visit_Time_Hrs]]&lt;=5,"Medium Visit","Full Day"))</f>
        <v>Short Visit</v>
      </c>
      <c r="T90" s="1" t="str">
        <f>IF(Table13[[#This Row],[Airport_50km_Radius]]="Yes","Accessible","Remote")</f>
        <v>Accessible</v>
      </c>
      <c r="U90" s="1" t="str">
        <f>IF(Table13[[#This Row],[Reiew_Rating]]&gt;=4.7,"Yes","No")</f>
        <v>No</v>
      </c>
      <c r="V90" s="1" t="str">
        <f t="shared" si="4"/>
        <v>Heritage &amp; Culture</v>
      </c>
      <c r="W90" s="1" t="str">
        <f t="shared" si="5"/>
        <v>★★★★★</v>
      </c>
      <c r="X90" s="1" t="str">
        <f t="shared" si="6"/>
        <v>5 / 5 Stars</v>
      </c>
      <c r="Y90" s="1" t="str">
        <f t="shared" si="7"/>
        <v>Low Traffic</v>
      </c>
    </row>
    <row r="91" spans="1:25" x14ac:dyDescent="0.3">
      <c r="A91" s="2" t="s">
        <v>15</v>
      </c>
      <c r="B91" s="2" t="s">
        <v>181</v>
      </c>
      <c r="C91" s="2" t="s">
        <v>182</v>
      </c>
      <c r="D91" s="2" t="s">
        <v>204</v>
      </c>
      <c r="E91" s="2" t="s">
        <v>43</v>
      </c>
      <c r="F91" s="1">
        <v>1592</v>
      </c>
      <c r="G91" s="1">
        <v>2</v>
      </c>
      <c r="H91" s="1">
        <v>4.5999999999999996</v>
      </c>
      <c r="I91" s="1" t="str">
        <f>IF(Table13[[#This Row],[Reiew_Rating]]&gt;=4.5,"Excellent",
IF(Table13[[#This Row],[Reiew_Rating]]&gt;=4,"Good","Average"))</f>
        <v>Excellent</v>
      </c>
      <c r="J91" s="1">
        <v>100</v>
      </c>
      <c r="K91" s="1" t="str">
        <f>IF(Table13[[#This Row],[Entrance_Fee_INR]]=0,"Free","Paid")</f>
        <v>Paid</v>
      </c>
      <c r="L91" s="2" t="s">
        <v>19</v>
      </c>
      <c r="M91" s="2" t="s">
        <v>722</v>
      </c>
      <c r="N91" s="2" t="s">
        <v>21</v>
      </c>
      <c r="O91" s="2" t="s">
        <v>19</v>
      </c>
      <c r="P91" s="3">
        <v>1.5</v>
      </c>
      <c r="Q91" s="2" t="s">
        <v>51</v>
      </c>
      <c r="R91" s="1" t="str">
        <f>IF(Table13[[#This Row],[Number_Review_Lakhs]]&gt;=1,"Highly Popular", IF(Table13[[#This Row],[Number_Review_Lakhs]]&gt;=0.5,"Popular","Less Popular"))</f>
        <v>Highly Popular</v>
      </c>
      <c r="S91" s="1" t="str">
        <f>IF(Table13[[#This Row],[Visit_Time_Hrs]]&lt;=2,"Short Visit", IF(Table13[[#This Row],[Visit_Time_Hrs]]&lt;=5,"Medium Visit","Full Day"))</f>
        <v>Short Visit</v>
      </c>
      <c r="T91" s="1" t="str">
        <f>IF(Table13[[#This Row],[Airport_50km_Radius]]="Yes","Accessible","Remote")</f>
        <v>Accessible</v>
      </c>
      <c r="U91" s="1" t="str">
        <f>IF(Table13[[#This Row],[Reiew_Rating]]&gt;=4.7,"Yes","No")</f>
        <v>No</v>
      </c>
      <c r="V91" s="1" t="str">
        <f t="shared" si="4"/>
        <v>Heritage &amp; Culture</v>
      </c>
      <c r="W91" s="1" t="str">
        <f t="shared" si="5"/>
        <v>★★★★★</v>
      </c>
      <c r="X91" s="1" t="str">
        <f t="shared" si="6"/>
        <v>5 / 5 Stars</v>
      </c>
      <c r="Y91" s="1" t="str">
        <f t="shared" si="7"/>
        <v>High Traffic</v>
      </c>
    </row>
    <row r="92" spans="1:25" x14ac:dyDescent="0.3">
      <c r="A92" s="2" t="s">
        <v>15</v>
      </c>
      <c r="B92" s="2" t="s">
        <v>181</v>
      </c>
      <c r="C92" s="2" t="s">
        <v>182</v>
      </c>
      <c r="D92" s="2" t="s">
        <v>205</v>
      </c>
      <c r="E92" s="2" t="s">
        <v>43</v>
      </c>
      <c r="F92" s="1">
        <v>1726</v>
      </c>
      <c r="G92" s="1">
        <v>1.5</v>
      </c>
      <c r="H92" s="1">
        <v>4.5</v>
      </c>
      <c r="I92" s="1" t="str">
        <f>IF(Table13[[#This Row],[Reiew_Rating]]&gt;=4.5,"Excellent",
IF(Table13[[#This Row],[Reiew_Rating]]&gt;=4,"Good","Average"))</f>
        <v>Excellent</v>
      </c>
      <c r="J92" s="1">
        <v>35</v>
      </c>
      <c r="K92" s="1" t="str">
        <f>IF(Table13[[#This Row],[Entrance_Fee_INR]]=0,"Free","Paid")</f>
        <v>Paid</v>
      </c>
      <c r="L92" s="2" t="s">
        <v>19</v>
      </c>
      <c r="M92" s="2" t="s">
        <v>40</v>
      </c>
      <c r="N92" s="2" t="s">
        <v>21</v>
      </c>
      <c r="O92" s="2" t="s">
        <v>19</v>
      </c>
      <c r="P92" s="3">
        <v>0.3</v>
      </c>
      <c r="Q92" s="2" t="s">
        <v>51</v>
      </c>
      <c r="R92" s="1" t="str">
        <f>IF(Table13[[#This Row],[Number_Review_Lakhs]]&gt;=1,"Highly Popular", IF(Table13[[#This Row],[Number_Review_Lakhs]]&gt;=0.5,"Popular","Less Popular"))</f>
        <v>Less Popular</v>
      </c>
      <c r="S92" s="1" t="str">
        <f>IF(Table13[[#This Row],[Visit_Time_Hrs]]&lt;=2,"Short Visit", IF(Table13[[#This Row],[Visit_Time_Hrs]]&lt;=5,"Medium Visit","Full Day"))</f>
        <v>Short Visit</v>
      </c>
      <c r="T92" s="1" t="str">
        <f>IF(Table13[[#This Row],[Airport_50km_Radius]]="Yes","Accessible","Remote")</f>
        <v>Accessible</v>
      </c>
      <c r="U92" s="1" t="str">
        <f>IF(Table13[[#This Row],[Reiew_Rating]]&gt;=4.7,"Yes","No")</f>
        <v>No</v>
      </c>
      <c r="V92" s="1" t="str">
        <f t="shared" si="4"/>
        <v>Heritage &amp; Culture</v>
      </c>
      <c r="W92" s="1" t="str">
        <f t="shared" si="5"/>
        <v>★★★★★</v>
      </c>
      <c r="X92" s="1" t="str">
        <f t="shared" si="6"/>
        <v>5 / 5 Stars</v>
      </c>
      <c r="Y92" s="1" t="str">
        <f t="shared" si="7"/>
        <v>Low Traffic</v>
      </c>
    </row>
    <row r="93" spans="1:25" x14ac:dyDescent="0.3">
      <c r="A93" s="2" t="s">
        <v>15</v>
      </c>
      <c r="B93" s="2" t="s">
        <v>181</v>
      </c>
      <c r="C93" s="2" t="s">
        <v>184</v>
      </c>
      <c r="D93" s="2" t="s">
        <v>206</v>
      </c>
      <c r="E93" s="2" t="s">
        <v>106</v>
      </c>
      <c r="F93" s="1">
        <v>1362</v>
      </c>
      <c r="G93" s="1">
        <v>1</v>
      </c>
      <c r="H93" s="1">
        <v>4.5999999999999996</v>
      </c>
      <c r="I93" s="1" t="str">
        <f>IF(Table13[[#This Row],[Reiew_Rating]]&gt;=4.5,"Excellent",
IF(Table13[[#This Row],[Reiew_Rating]]&gt;=4,"Good","Average"))</f>
        <v>Excellent</v>
      </c>
      <c r="J93" s="1">
        <v>0</v>
      </c>
      <c r="K93" s="1" t="str">
        <f>IF(Table13[[#This Row],[Entrance_Fee_INR]]=0,"Free","Paid")</f>
        <v>Free</v>
      </c>
      <c r="L93" s="2" t="s">
        <v>19</v>
      </c>
      <c r="M93" s="2" t="s">
        <v>305</v>
      </c>
      <c r="N93" s="2" t="s">
        <v>94</v>
      </c>
      <c r="O93" s="2" t="s">
        <v>19</v>
      </c>
      <c r="P93" s="3">
        <v>0.5</v>
      </c>
      <c r="Q93" s="2" t="s">
        <v>51</v>
      </c>
      <c r="R93" s="1" t="str">
        <f>IF(Table13[[#This Row],[Number_Review_Lakhs]]&gt;=1,"Highly Popular", IF(Table13[[#This Row],[Number_Review_Lakhs]]&gt;=0.5,"Popular","Less Popular"))</f>
        <v>Popular</v>
      </c>
      <c r="S93" s="1" t="str">
        <f>IF(Table13[[#This Row],[Visit_Time_Hrs]]&lt;=2,"Short Visit", IF(Table13[[#This Row],[Visit_Time_Hrs]]&lt;=5,"Medium Visit","Full Day"))</f>
        <v>Short Visit</v>
      </c>
      <c r="T93" s="1" t="str">
        <f>IF(Table13[[#This Row],[Airport_50km_Radius]]="Yes","Accessible","Remote")</f>
        <v>Accessible</v>
      </c>
      <c r="U93" s="1" t="str">
        <f>IF(Table13[[#This Row],[Reiew_Rating]]&gt;=4.7,"Yes","No")</f>
        <v>No</v>
      </c>
      <c r="V93" s="1" t="str">
        <f t="shared" si="4"/>
        <v>Nature &amp; Wildlife</v>
      </c>
      <c r="W93" s="1" t="str">
        <f t="shared" si="5"/>
        <v>★★★★★</v>
      </c>
      <c r="X93" s="1" t="str">
        <f t="shared" si="6"/>
        <v>5 / 5 Stars</v>
      </c>
      <c r="Y93" s="1" t="str">
        <f t="shared" si="7"/>
        <v>Medium Traffic</v>
      </c>
    </row>
    <row r="94" spans="1:25" x14ac:dyDescent="0.3">
      <c r="A94" s="2" t="s">
        <v>15</v>
      </c>
      <c r="B94" s="2" t="s">
        <v>207</v>
      </c>
      <c r="C94" s="2" t="s">
        <v>208</v>
      </c>
      <c r="D94" s="2" t="s">
        <v>209</v>
      </c>
      <c r="E94" s="2" t="s">
        <v>210</v>
      </c>
      <c r="F94" s="1">
        <v>1604</v>
      </c>
      <c r="G94" s="1">
        <v>1.5</v>
      </c>
      <c r="H94" s="1">
        <v>4.9000000000000004</v>
      </c>
      <c r="I94" s="1" t="str">
        <f>IF(Table13[[#This Row],[Reiew_Rating]]&gt;=4.5,"Excellent",
IF(Table13[[#This Row],[Reiew_Rating]]&gt;=4,"Good","Average"))</f>
        <v>Excellent</v>
      </c>
      <c r="J94" s="1">
        <v>0</v>
      </c>
      <c r="K94" s="1" t="str">
        <f>IF(Table13[[#This Row],[Entrance_Fee_INR]]=0,"Free","Paid")</f>
        <v>Free</v>
      </c>
      <c r="L94" s="2" t="s">
        <v>19</v>
      </c>
      <c r="M94" s="2" t="s">
        <v>40</v>
      </c>
      <c r="N94" s="2" t="s">
        <v>211</v>
      </c>
      <c r="O94" s="2" t="s">
        <v>19</v>
      </c>
      <c r="P94" s="3">
        <v>1.9</v>
      </c>
      <c r="Q94" s="2" t="s">
        <v>51</v>
      </c>
      <c r="R94" s="1" t="str">
        <f>IF(Table13[[#This Row],[Number_Review_Lakhs]]&gt;=1,"Highly Popular", IF(Table13[[#This Row],[Number_Review_Lakhs]]&gt;=0.5,"Popular","Less Popular"))</f>
        <v>Highly Popular</v>
      </c>
      <c r="S94" s="1" t="str">
        <f>IF(Table13[[#This Row],[Visit_Time_Hrs]]&lt;=2,"Short Visit", IF(Table13[[#This Row],[Visit_Time_Hrs]]&lt;=5,"Medium Visit","Full Day"))</f>
        <v>Short Visit</v>
      </c>
      <c r="T94" s="1" t="str">
        <f>IF(Table13[[#This Row],[Airport_50km_Radius]]="Yes","Accessible","Remote")</f>
        <v>Accessible</v>
      </c>
      <c r="U94" s="1" t="str">
        <f>IF(Table13[[#This Row],[Reiew_Rating]]&gt;=4.7,"Yes","No")</f>
        <v>Yes</v>
      </c>
      <c r="V94" s="1" t="str">
        <f t="shared" si="4"/>
        <v>Other</v>
      </c>
      <c r="W94" s="1" t="str">
        <f t="shared" si="5"/>
        <v>★★★★★</v>
      </c>
      <c r="X94" s="1" t="str">
        <f t="shared" si="6"/>
        <v>5 / 5 Stars</v>
      </c>
      <c r="Y94" s="1" t="str">
        <f t="shared" si="7"/>
        <v>High Traffic</v>
      </c>
    </row>
    <row r="95" spans="1:25" x14ac:dyDescent="0.3">
      <c r="A95" s="2" t="s">
        <v>15</v>
      </c>
      <c r="B95" s="2" t="s">
        <v>207</v>
      </c>
      <c r="C95" s="2" t="s">
        <v>208</v>
      </c>
      <c r="D95" s="2" t="s">
        <v>212</v>
      </c>
      <c r="E95" s="2" t="s">
        <v>213</v>
      </c>
      <c r="F95" s="1">
        <v>1951</v>
      </c>
      <c r="G95" s="1">
        <v>1</v>
      </c>
      <c r="H95" s="1">
        <v>4.8</v>
      </c>
      <c r="I95" s="1" t="str">
        <f>IF(Table13[[#This Row],[Reiew_Rating]]&gt;=4.5,"Excellent",
IF(Table13[[#This Row],[Reiew_Rating]]&gt;=4,"Good","Average"))</f>
        <v>Excellent</v>
      </c>
      <c r="J95" s="1">
        <v>0</v>
      </c>
      <c r="K95" s="1" t="str">
        <f>IF(Table13[[#This Row],[Entrance_Fee_INR]]=0,"Free","Paid")</f>
        <v>Free</v>
      </c>
      <c r="L95" s="2" t="s">
        <v>19</v>
      </c>
      <c r="M95" s="2" t="s">
        <v>305</v>
      </c>
      <c r="N95" s="2" t="s">
        <v>21</v>
      </c>
      <c r="O95" s="2" t="s">
        <v>19</v>
      </c>
      <c r="P95" s="3">
        <v>0.3</v>
      </c>
      <c r="Q95" s="2" t="s">
        <v>25</v>
      </c>
      <c r="R95" s="1" t="str">
        <f>IF(Table13[[#This Row],[Number_Review_Lakhs]]&gt;=1,"Highly Popular", IF(Table13[[#This Row],[Number_Review_Lakhs]]&gt;=0.5,"Popular","Less Popular"))</f>
        <v>Less Popular</v>
      </c>
      <c r="S95" s="1" t="str">
        <f>IF(Table13[[#This Row],[Visit_Time_Hrs]]&lt;=2,"Short Visit", IF(Table13[[#This Row],[Visit_Time_Hrs]]&lt;=5,"Medium Visit","Full Day"))</f>
        <v>Short Visit</v>
      </c>
      <c r="T95" s="1" t="str">
        <f>IF(Table13[[#This Row],[Airport_50km_Radius]]="Yes","Accessible","Remote")</f>
        <v>Accessible</v>
      </c>
      <c r="U95" s="1" t="str">
        <f>IF(Table13[[#This Row],[Reiew_Rating]]&gt;=4.7,"Yes","No")</f>
        <v>Yes</v>
      </c>
      <c r="V95" s="1" t="str">
        <f t="shared" si="4"/>
        <v>Heritage &amp; Culture</v>
      </c>
      <c r="W95" s="1" t="str">
        <f t="shared" si="5"/>
        <v>★★★★★</v>
      </c>
      <c r="X95" s="1" t="str">
        <f t="shared" si="6"/>
        <v>5 / 5 Stars</v>
      </c>
      <c r="Y95" s="1" t="str">
        <f t="shared" si="7"/>
        <v>Low Traffic</v>
      </c>
    </row>
    <row r="96" spans="1:25" x14ac:dyDescent="0.3">
      <c r="A96" s="2" t="s">
        <v>15</v>
      </c>
      <c r="B96" s="2" t="s">
        <v>207</v>
      </c>
      <c r="C96" s="2" t="s">
        <v>208</v>
      </c>
      <c r="D96" s="2" t="s">
        <v>214</v>
      </c>
      <c r="E96" s="2" t="s">
        <v>215</v>
      </c>
      <c r="F96" s="1">
        <v>1950</v>
      </c>
      <c r="G96" s="1">
        <v>2</v>
      </c>
      <c r="H96" s="1">
        <v>4.8</v>
      </c>
      <c r="I96" s="1" t="str">
        <f>IF(Table13[[#This Row],[Reiew_Rating]]&gt;=4.5,"Excellent",
IF(Table13[[#This Row],[Reiew_Rating]]&gt;=4,"Good","Average"))</f>
        <v>Excellent</v>
      </c>
      <c r="J96" s="1">
        <v>0</v>
      </c>
      <c r="K96" s="1" t="str">
        <f>IF(Table13[[#This Row],[Entrance_Fee_INR]]=0,"Free","Paid")</f>
        <v>Free</v>
      </c>
      <c r="L96" s="2" t="s">
        <v>19</v>
      </c>
      <c r="M96" s="2" t="s">
        <v>305</v>
      </c>
      <c r="N96" s="2" t="s">
        <v>169</v>
      </c>
      <c r="O96" s="2" t="s">
        <v>19</v>
      </c>
      <c r="P96" s="3">
        <v>0.17</v>
      </c>
      <c r="Q96" s="2" t="s">
        <v>22</v>
      </c>
      <c r="R96" s="1" t="str">
        <f>IF(Table13[[#This Row],[Number_Review_Lakhs]]&gt;=1,"Highly Popular", IF(Table13[[#This Row],[Number_Review_Lakhs]]&gt;=0.5,"Popular","Less Popular"))</f>
        <v>Less Popular</v>
      </c>
      <c r="S96" s="1" t="str">
        <f>IF(Table13[[#This Row],[Visit_Time_Hrs]]&lt;=2,"Short Visit", IF(Table13[[#This Row],[Visit_Time_Hrs]]&lt;=5,"Medium Visit","Full Day"))</f>
        <v>Short Visit</v>
      </c>
      <c r="T96" s="1" t="str">
        <f>IF(Table13[[#This Row],[Airport_50km_Radius]]="Yes","Accessible","Remote")</f>
        <v>Accessible</v>
      </c>
      <c r="U96" s="1" t="str">
        <f>IF(Table13[[#This Row],[Reiew_Rating]]&gt;=4.7,"Yes","No")</f>
        <v>Yes</v>
      </c>
      <c r="V96" s="1" t="str">
        <f t="shared" si="4"/>
        <v>Other</v>
      </c>
      <c r="W96" s="1" t="str">
        <f t="shared" si="5"/>
        <v>★★★★★</v>
      </c>
      <c r="X96" s="1" t="str">
        <f t="shared" si="6"/>
        <v>5 / 5 Stars</v>
      </c>
      <c r="Y96" s="1" t="str">
        <f t="shared" si="7"/>
        <v>Low Traffic</v>
      </c>
    </row>
    <row r="97" spans="1:25" x14ac:dyDescent="0.3">
      <c r="A97" s="2" t="s">
        <v>15</v>
      </c>
      <c r="B97" s="2" t="s">
        <v>207</v>
      </c>
      <c r="C97" s="2" t="s">
        <v>216</v>
      </c>
      <c r="D97" s="2" t="s">
        <v>217</v>
      </c>
      <c r="E97" s="2" t="s">
        <v>218</v>
      </c>
      <c r="F97" s="1">
        <v>1976</v>
      </c>
      <c r="G97" s="1">
        <v>2</v>
      </c>
      <c r="H97" s="1">
        <v>4.5</v>
      </c>
      <c r="I97" s="1" t="str">
        <f>IF(Table13[[#This Row],[Reiew_Rating]]&gt;=4.5,"Excellent",
IF(Table13[[#This Row],[Reiew_Rating]]&gt;=4,"Good","Average"))</f>
        <v>Excellent</v>
      </c>
      <c r="J97" s="1">
        <v>30</v>
      </c>
      <c r="K97" s="1" t="str">
        <f>IF(Table13[[#This Row],[Entrance_Fee_INR]]=0,"Free","Paid")</f>
        <v>Paid</v>
      </c>
      <c r="L97" s="2" t="s">
        <v>19</v>
      </c>
      <c r="M97" s="2" t="s">
        <v>40</v>
      </c>
      <c r="N97" s="2" t="s">
        <v>54</v>
      </c>
      <c r="O97" s="2" t="s">
        <v>19</v>
      </c>
      <c r="P97" s="3">
        <v>0.5</v>
      </c>
      <c r="Q97" s="2" t="s">
        <v>51</v>
      </c>
      <c r="R97" s="1" t="str">
        <f>IF(Table13[[#This Row],[Number_Review_Lakhs]]&gt;=1,"Highly Popular", IF(Table13[[#This Row],[Number_Review_Lakhs]]&gt;=0.5,"Popular","Less Popular"))</f>
        <v>Popular</v>
      </c>
      <c r="S97" s="1" t="str">
        <f>IF(Table13[[#This Row],[Visit_Time_Hrs]]&lt;=2,"Short Visit", IF(Table13[[#This Row],[Visit_Time_Hrs]]&lt;=5,"Medium Visit","Full Day"))</f>
        <v>Short Visit</v>
      </c>
      <c r="T97" s="1" t="str">
        <f>IF(Table13[[#This Row],[Airport_50km_Radius]]="Yes","Accessible","Remote")</f>
        <v>Accessible</v>
      </c>
      <c r="U97" s="1" t="str">
        <f>IF(Table13[[#This Row],[Reiew_Rating]]&gt;=4.7,"Yes","No")</f>
        <v>No</v>
      </c>
      <c r="V97" s="1" t="str">
        <f t="shared" si="4"/>
        <v>Heritage &amp; Culture</v>
      </c>
      <c r="W97" s="1" t="str">
        <f t="shared" si="5"/>
        <v>★★★★★</v>
      </c>
      <c r="X97" s="1" t="str">
        <f t="shared" si="6"/>
        <v>5 / 5 Stars</v>
      </c>
      <c r="Y97" s="1" t="str">
        <f t="shared" si="7"/>
        <v>Medium Traffic</v>
      </c>
    </row>
    <row r="98" spans="1:25" x14ac:dyDescent="0.3">
      <c r="A98" s="2" t="s">
        <v>87</v>
      </c>
      <c r="B98" s="2" t="s">
        <v>219</v>
      </c>
      <c r="C98" s="2" t="s">
        <v>220</v>
      </c>
      <c r="D98" s="2" t="s">
        <v>221</v>
      </c>
      <c r="E98" s="2" t="s">
        <v>79</v>
      </c>
      <c r="F98" s="1">
        <v>1459</v>
      </c>
      <c r="G98" s="1">
        <v>1.5</v>
      </c>
      <c r="H98" s="1">
        <v>4.5</v>
      </c>
      <c r="I98" s="1" t="str">
        <f>IF(Table13[[#This Row],[Reiew_Rating]]&gt;=4.5,"Excellent",
IF(Table13[[#This Row],[Reiew_Rating]]&gt;=4,"Good","Average"))</f>
        <v>Excellent</v>
      </c>
      <c r="J98" s="1">
        <v>0</v>
      </c>
      <c r="K98" s="1" t="str">
        <f>IF(Table13[[#This Row],[Entrance_Fee_INR]]=0,"Free","Paid")</f>
        <v>Free</v>
      </c>
      <c r="L98" s="2" t="s">
        <v>19</v>
      </c>
      <c r="M98" s="2" t="s">
        <v>305</v>
      </c>
      <c r="N98" s="2" t="s">
        <v>80</v>
      </c>
      <c r="O98" s="2" t="s">
        <v>19</v>
      </c>
      <c r="P98" s="3">
        <v>0.11</v>
      </c>
      <c r="Q98" s="2" t="s">
        <v>51</v>
      </c>
      <c r="R98" s="1" t="str">
        <f>IF(Table13[[#This Row],[Number_Review_Lakhs]]&gt;=1,"Highly Popular", IF(Table13[[#This Row],[Number_Review_Lakhs]]&gt;=0.5,"Popular","Less Popular"))</f>
        <v>Less Popular</v>
      </c>
      <c r="S98" s="1" t="str">
        <f>IF(Table13[[#This Row],[Visit_Time_Hrs]]&lt;=2,"Short Visit", IF(Table13[[#This Row],[Visit_Time_Hrs]]&lt;=5,"Medium Visit","Full Day"))</f>
        <v>Short Visit</v>
      </c>
      <c r="T98" s="1" t="str">
        <f>IF(Table13[[#This Row],[Airport_50km_Radius]]="Yes","Accessible","Remote")</f>
        <v>Accessible</v>
      </c>
      <c r="U98" s="1" t="str">
        <f>IF(Table13[[#This Row],[Reiew_Rating]]&gt;=4.7,"Yes","No")</f>
        <v>No</v>
      </c>
      <c r="V98" s="1" t="str">
        <f t="shared" si="4"/>
        <v>Leisure &amp; Commerce</v>
      </c>
      <c r="W98" s="1" t="str">
        <f t="shared" si="5"/>
        <v>★★★★★</v>
      </c>
      <c r="X98" s="1" t="str">
        <f t="shared" si="6"/>
        <v>5 / 5 Stars</v>
      </c>
      <c r="Y98" s="1" t="str">
        <f t="shared" si="7"/>
        <v>Low Traffic</v>
      </c>
    </row>
    <row r="99" spans="1:25" x14ac:dyDescent="0.3">
      <c r="A99" s="2" t="s">
        <v>87</v>
      </c>
      <c r="B99" s="2" t="s">
        <v>219</v>
      </c>
      <c r="C99" s="2" t="s">
        <v>222</v>
      </c>
      <c r="D99" s="2" t="s">
        <v>223</v>
      </c>
      <c r="E99" s="2" t="s">
        <v>224</v>
      </c>
      <c r="F99" s="1">
        <v>1980</v>
      </c>
      <c r="G99" s="1">
        <v>2</v>
      </c>
      <c r="H99" s="1">
        <v>4.3</v>
      </c>
      <c r="I99" s="1" t="str">
        <f>IF(Table13[[#This Row],[Reiew_Rating]]&gt;=4.5,"Excellent",
IF(Table13[[#This Row],[Reiew_Rating]]&gt;=4,"Good","Average"))</f>
        <v>Good</v>
      </c>
      <c r="J99" s="1">
        <v>0</v>
      </c>
      <c r="K99" s="1" t="str">
        <f>IF(Table13[[#This Row],[Entrance_Fee_INR]]=0,"Free","Paid")</f>
        <v>Free</v>
      </c>
      <c r="L99" s="2" t="s">
        <v>29</v>
      </c>
      <c r="M99" s="2" t="s">
        <v>721</v>
      </c>
      <c r="N99" s="2" t="s">
        <v>94</v>
      </c>
      <c r="O99" s="2" t="s">
        <v>19</v>
      </c>
      <c r="P99" s="3">
        <v>0.3</v>
      </c>
      <c r="Q99" s="2" t="s">
        <v>51</v>
      </c>
      <c r="R99" s="1" t="str">
        <f>IF(Table13[[#This Row],[Number_Review_Lakhs]]&gt;=1,"Highly Popular", IF(Table13[[#This Row],[Number_Review_Lakhs]]&gt;=0.5,"Popular","Less Popular"))</f>
        <v>Less Popular</v>
      </c>
      <c r="S99" s="1" t="str">
        <f>IF(Table13[[#This Row],[Visit_Time_Hrs]]&lt;=2,"Short Visit", IF(Table13[[#This Row],[Visit_Time_Hrs]]&lt;=5,"Medium Visit","Full Day"))</f>
        <v>Short Visit</v>
      </c>
      <c r="T99" s="1" t="str">
        <f>IF(Table13[[#This Row],[Airport_50km_Radius]]="Yes","Accessible","Remote")</f>
        <v>Remote</v>
      </c>
      <c r="U99" s="1" t="str">
        <f>IF(Table13[[#This Row],[Reiew_Rating]]&gt;=4.7,"Yes","No")</f>
        <v>No</v>
      </c>
      <c r="V99" s="1" t="str">
        <f t="shared" si="4"/>
        <v>Nature &amp; Wildlife</v>
      </c>
      <c r="W99" s="1" t="str">
        <f t="shared" si="5"/>
        <v>★★★★☆</v>
      </c>
      <c r="X99" s="1" t="str">
        <f t="shared" si="6"/>
        <v>4 / 5 Stars</v>
      </c>
      <c r="Y99" s="1" t="str">
        <f t="shared" si="7"/>
        <v>Low Traffic</v>
      </c>
    </row>
    <row r="100" spans="1:25" x14ac:dyDescent="0.3">
      <c r="A100" s="2" t="s">
        <v>87</v>
      </c>
      <c r="B100" s="2" t="s">
        <v>219</v>
      </c>
      <c r="C100" s="2" t="s">
        <v>225</v>
      </c>
      <c r="D100" s="2" t="s">
        <v>226</v>
      </c>
      <c r="E100" s="2" t="s">
        <v>134</v>
      </c>
      <c r="F100" s="1">
        <v>1503</v>
      </c>
      <c r="G100" s="1">
        <v>1</v>
      </c>
      <c r="H100" s="1">
        <v>4.4000000000000004</v>
      </c>
      <c r="I100" s="1" t="str">
        <f>IF(Table13[[#This Row],[Reiew_Rating]]&gt;=4.5,"Excellent",
IF(Table13[[#This Row],[Reiew_Rating]]&gt;=4,"Good","Average"))</f>
        <v>Good</v>
      </c>
      <c r="J100" s="1">
        <v>0</v>
      </c>
      <c r="K100" s="1" t="str">
        <f>IF(Table13[[#This Row],[Entrance_Fee_INR]]=0,"Free","Paid")</f>
        <v>Free</v>
      </c>
      <c r="L100" s="2" t="s">
        <v>19</v>
      </c>
      <c r="M100" s="2" t="s">
        <v>722</v>
      </c>
      <c r="N100" s="2" t="s">
        <v>21</v>
      </c>
      <c r="O100" s="2" t="s">
        <v>19</v>
      </c>
      <c r="P100" s="3">
        <v>0.1</v>
      </c>
      <c r="Q100" s="2" t="s">
        <v>51</v>
      </c>
      <c r="R100" s="1" t="str">
        <f>IF(Table13[[#This Row],[Number_Review_Lakhs]]&gt;=1,"Highly Popular", IF(Table13[[#This Row],[Number_Review_Lakhs]]&gt;=0.5,"Popular","Less Popular"))</f>
        <v>Less Popular</v>
      </c>
      <c r="S100" s="1" t="str">
        <f>IF(Table13[[#This Row],[Visit_Time_Hrs]]&lt;=2,"Short Visit", IF(Table13[[#This Row],[Visit_Time_Hrs]]&lt;=5,"Medium Visit","Full Day"))</f>
        <v>Short Visit</v>
      </c>
      <c r="T100" s="1" t="str">
        <f>IF(Table13[[#This Row],[Airport_50km_Radius]]="Yes","Accessible","Remote")</f>
        <v>Accessible</v>
      </c>
      <c r="U100" s="1" t="str">
        <f>IF(Table13[[#This Row],[Reiew_Rating]]&gt;=4.7,"Yes","No")</f>
        <v>No</v>
      </c>
      <c r="V100" s="1" t="str">
        <f t="shared" si="4"/>
        <v>Heritage &amp; Culture</v>
      </c>
      <c r="W100" s="1" t="str">
        <f t="shared" si="5"/>
        <v>★★★★☆</v>
      </c>
      <c r="X100" s="1" t="str">
        <f t="shared" si="6"/>
        <v>4 / 5 Stars</v>
      </c>
      <c r="Y100" s="1" t="str">
        <f t="shared" si="7"/>
        <v>Low Traffic</v>
      </c>
    </row>
    <row r="101" spans="1:25" x14ac:dyDescent="0.3">
      <c r="A101" s="2" t="s">
        <v>87</v>
      </c>
      <c r="B101" s="2" t="s">
        <v>219</v>
      </c>
      <c r="C101" s="2" t="s">
        <v>227</v>
      </c>
      <c r="D101" s="2" t="s">
        <v>228</v>
      </c>
      <c r="E101" s="2" t="s">
        <v>27</v>
      </c>
      <c r="F101" s="1">
        <v>1966</v>
      </c>
      <c r="G101" s="1">
        <v>1</v>
      </c>
      <c r="H101" s="1">
        <v>4.7</v>
      </c>
      <c r="I101" s="1" t="str">
        <f>IF(Table13[[#This Row],[Reiew_Rating]]&gt;=4.5,"Excellent",
IF(Table13[[#This Row],[Reiew_Rating]]&gt;=4,"Good","Average"))</f>
        <v>Excellent</v>
      </c>
      <c r="J101" s="1">
        <v>0</v>
      </c>
      <c r="K101" s="1" t="str">
        <f>IF(Table13[[#This Row],[Entrance_Fee_INR]]=0,"Free","Paid")</f>
        <v>Free</v>
      </c>
      <c r="L101" s="2" t="s">
        <v>19</v>
      </c>
      <c r="M101" s="2" t="s">
        <v>722</v>
      </c>
      <c r="N101" s="2" t="s">
        <v>28</v>
      </c>
      <c r="O101" s="2" t="s">
        <v>29</v>
      </c>
      <c r="P101" s="3">
        <v>0.46</v>
      </c>
      <c r="Q101" s="2" t="s">
        <v>51</v>
      </c>
      <c r="R101" s="1" t="str">
        <f>IF(Table13[[#This Row],[Number_Review_Lakhs]]&gt;=1,"Highly Popular", IF(Table13[[#This Row],[Number_Review_Lakhs]]&gt;=0.5,"Popular","Less Popular"))</f>
        <v>Less Popular</v>
      </c>
      <c r="S101" s="1" t="str">
        <f>IF(Table13[[#This Row],[Visit_Time_Hrs]]&lt;=2,"Short Visit", IF(Table13[[#This Row],[Visit_Time_Hrs]]&lt;=5,"Medium Visit","Full Day"))</f>
        <v>Short Visit</v>
      </c>
      <c r="T101" s="1" t="str">
        <f>IF(Table13[[#This Row],[Airport_50km_Radius]]="Yes","Accessible","Remote")</f>
        <v>Accessible</v>
      </c>
      <c r="U101" s="1" t="str">
        <f>IF(Table13[[#This Row],[Reiew_Rating]]&gt;=4.7,"Yes","No")</f>
        <v>Yes</v>
      </c>
      <c r="V101" s="1" t="str">
        <f t="shared" si="4"/>
        <v>Heritage &amp; Culture</v>
      </c>
      <c r="W101" s="1" t="str">
        <f t="shared" si="5"/>
        <v>★★★★★</v>
      </c>
      <c r="X101" s="1" t="str">
        <f t="shared" si="6"/>
        <v>5 / 5 Stars</v>
      </c>
      <c r="Y101" s="1" t="str">
        <f t="shared" si="7"/>
        <v>Medium Traffic</v>
      </c>
    </row>
    <row r="102" spans="1:25" x14ac:dyDescent="0.3">
      <c r="A102" s="2" t="s">
        <v>87</v>
      </c>
      <c r="B102" s="2" t="s">
        <v>219</v>
      </c>
      <c r="C102" s="2" t="s">
        <v>229</v>
      </c>
      <c r="D102" s="2" t="s">
        <v>230</v>
      </c>
      <c r="E102" s="2" t="s">
        <v>79</v>
      </c>
      <c r="F102" s="1">
        <v>1674</v>
      </c>
      <c r="G102" s="1">
        <v>1.5</v>
      </c>
      <c r="H102" s="1">
        <v>3.9</v>
      </c>
      <c r="I102" s="1" t="str">
        <f>IF(Table13[[#This Row],[Reiew_Rating]]&gt;=4.5,"Excellent",
IF(Table13[[#This Row],[Reiew_Rating]]&gt;=4,"Good","Average"))</f>
        <v>Average</v>
      </c>
      <c r="J102" s="1">
        <v>0</v>
      </c>
      <c r="K102" s="1" t="str">
        <f>IF(Table13[[#This Row],[Entrance_Fee_INR]]=0,"Free","Paid")</f>
        <v>Free</v>
      </c>
      <c r="L102" s="2" t="s">
        <v>19</v>
      </c>
      <c r="M102" s="2" t="s">
        <v>720</v>
      </c>
      <c r="N102" s="2" t="s">
        <v>80</v>
      </c>
      <c r="O102" s="2" t="s">
        <v>19</v>
      </c>
      <c r="P102" s="3">
        <v>5.8999999999999997E-2</v>
      </c>
      <c r="Q102" s="2" t="s">
        <v>51</v>
      </c>
      <c r="R102" s="1" t="str">
        <f>IF(Table13[[#This Row],[Number_Review_Lakhs]]&gt;=1,"Highly Popular", IF(Table13[[#This Row],[Number_Review_Lakhs]]&gt;=0.5,"Popular","Less Popular"))</f>
        <v>Less Popular</v>
      </c>
      <c r="S102" s="1" t="str">
        <f>IF(Table13[[#This Row],[Visit_Time_Hrs]]&lt;=2,"Short Visit", IF(Table13[[#This Row],[Visit_Time_Hrs]]&lt;=5,"Medium Visit","Full Day"))</f>
        <v>Short Visit</v>
      </c>
      <c r="T102" s="1" t="str">
        <f>IF(Table13[[#This Row],[Airport_50km_Radius]]="Yes","Accessible","Remote")</f>
        <v>Accessible</v>
      </c>
      <c r="U102" s="1" t="str">
        <f>IF(Table13[[#This Row],[Reiew_Rating]]&gt;=4.7,"Yes","No")</f>
        <v>No</v>
      </c>
      <c r="V102" s="1" t="str">
        <f t="shared" si="4"/>
        <v>Leisure &amp; Commerce</v>
      </c>
      <c r="W102" s="1" t="str">
        <f t="shared" si="5"/>
        <v>★★★★☆</v>
      </c>
      <c r="X102" s="1" t="str">
        <f t="shared" si="6"/>
        <v>4 / 5 Stars</v>
      </c>
      <c r="Y102" s="1" t="str">
        <f t="shared" si="7"/>
        <v>Low Traffic</v>
      </c>
    </row>
    <row r="103" spans="1:25" x14ac:dyDescent="0.3">
      <c r="A103" s="2" t="s">
        <v>87</v>
      </c>
      <c r="B103" s="2" t="s">
        <v>219</v>
      </c>
      <c r="C103" s="2" t="s">
        <v>231</v>
      </c>
      <c r="D103" s="2" t="s">
        <v>232</v>
      </c>
      <c r="E103" s="2" t="s">
        <v>190</v>
      </c>
      <c r="F103" s="1">
        <v>1972</v>
      </c>
      <c r="G103" s="1">
        <v>3</v>
      </c>
      <c r="H103" s="1">
        <v>4.5</v>
      </c>
      <c r="I103" s="1" t="str">
        <f>IF(Table13[[#This Row],[Reiew_Rating]]&gt;=4.5,"Excellent",
IF(Table13[[#This Row],[Reiew_Rating]]&gt;=4,"Good","Average"))</f>
        <v>Excellent</v>
      </c>
      <c r="J103" s="1">
        <v>300</v>
      </c>
      <c r="K103" s="1" t="str">
        <f>IF(Table13[[#This Row],[Entrance_Fee_INR]]=0,"Free","Paid")</f>
        <v>Paid</v>
      </c>
      <c r="L103" s="2" t="s">
        <v>29</v>
      </c>
      <c r="M103" s="2" t="s">
        <v>722</v>
      </c>
      <c r="N103" s="2" t="s">
        <v>73</v>
      </c>
      <c r="O103" s="2" t="s">
        <v>19</v>
      </c>
      <c r="P103" s="3">
        <v>2.2000000000000002</v>
      </c>
      <c r="Q103" s="2" t="s">
        <v>51</v>
      </c>
      <c r="R103" s="1" t="str">
        <f>IF(Table13[[#This Row],[Number_Review_Lakhs]]&gt;=1,"Highly Popular", IF(Table13[[#This Row],[Number_Review_Lakhs]]&gt;=0.5,"Popular","Less Popular"))</f>
        <v>Highly Popular</v>
      </c>
      <c r="S103" s="1" t="str">
        <f>IF(Table13[[#This Row],[Visit_Time_Hrs]]&lt;=2,"Short Visit", IF(Table13[[#This Row],[Visit_Time_Hrs]]&lt;=5,"Medium Visit","Full Day"))</f>
        <v>Medium Visit</v>
      </c>
      <c r="T103" s="1" t="str">
        <f>IF(Table13[[#This Row],[Airport_50km_Radius]]="Yes","Accessible","Remote")</f>
        <v>Remote</v>
      </c>
      <c r="U103" s="1" t="str">
        <f>IF(Table13[[#This Row],[Reiew_Rating]]&gt;=4.7,"Yes","No")</f>
        <v>No</v>
      </c>
      <c r="V103" s="1" t="str">
        <f t="shared" si="4"/>
        <v>Nature &amp; Wildlife</v>
      </c>
      <c r="W103" s="1" t="str">
        <f t="shared" si="5"/>
        <v>★★★★★</v>
      </c>
      <c r="X103" s="1" t="str">
        <f t="shared" si="6"/>
        <v>5 / 5 Stars</v>
      </c>
      <c r="Y103" s="1" t="str">
        <f t="shared" si="7"/>
        <v>High Traffic</v>
      </c>
    </row>
    <row r="104" spans="1:25" x14ac:dyDescent="0.3">
      <c r="A104" s="2" t="s">
        <v>87</v>
      </c>
      <c r="B104" s="2" t="s">
        <v>219</v>
      </c>
      <c r="C104" s="2" t="s">
        <v>233</v>
      </c>
      <c r="D104" s="2" t="s">
        <v>234</v>
      </c>
      <c r="E104" s="2" t="s">
        <v>72</v>
      </c>
      <c r="F104" s="1">
        <v>1982</v>
      </c>
      <c r="G104" s="1">
        <v>3</v>
      </c>
      <c r="H104" s="1">
        <v>4.3</v>
      </c>
      <c r="I104" s="1" t="str">
        <f>IF(Table13[[#This Row],[Reiew_Rating]]&gt;=4.5,"Excellent",
IF(Table13[[#This Row],[Reiew_Rating]]&gt;=4,"Good","Average"))</f>
        <v>Good</v>
      </c>
      <c r="J104" s="1">
        <v>50</v>
      </c>
      <c r="K104" s="1" t="str">
        <f>IF(Table13[[#This Row],[Entrance_Fee_INR]]=0,"Free","Paid")</f>
        <v>Paid</v>
      </c>
      <c r="L104" s="2" t="s">
        <v>29</v>
      </c>
      <c r="M104" s="2" t="s">
        <v>40</v>
      </c>
      <c r="N104" s="2" t="s">
        <v>73</v>
      </c>
      <c r="O104" s="2" t="s">
        <v>19</v>
      </c>
      <c r="P104" s="3">
        <v>0.14000000000000001</v>
      </c>
      <c r="Q104" s="2" t="s">
        <v>51</v>
      </c>
      <c r="R104" s="1" t="str">
        <f>IF(Table13[[#This Row],[Number_Review_Lakhs]]&gt;=1,"Highly Popular", IF(Table13[[#This Row],[Number_Review_Lakhs]]&gt;=0.5,"Popular","Less Popular"))</f>
        <v>Less Popular</v>
      </c>
      <c r="S104" s="1" t="str">
        <f>IF(Table13[[#This Row],[Visit_Time_Hrs]]&lt;=2,"Short Visit", IF(Table13[[#This Row],[Visit_Time_Hrs]]&lt;=5,"Medium Visit","Full Day"))</f>
        <v>Medium Visit</v>
      </c>
      <c r="T104" s="1" t="str">
        <f>IF(Table13[[#This Row],[Airport_50km_Radius]]="Yes","Accessible","Remote")</f>
        <v>Remote</v>
      </c>
      <c r="U104" s="1" t="str">
        <f>IF(Table13[[#This Row],[Reiew_Rating]]&gt;=4.7,"Yes","No")</f>
        <v>No</v>
      </c>
      <c r="V104" s="1" t="str">
        <f t="shared" si="4"/>
        <v>Nature &amp; Wildlife</v>
      </c>
      <c r="W104" s="1" t="str">
        <f t="shared" si="5"/>
        <v>★★★★☆</v>
      </c>
      <c r="X104" s="1" t="str">
        <f t="shared" si="6"/>
        <v>4 / 5 Stars</v>
      </c>
      <c r="Y104" s="1" t="str">
        <f t="shared" si="7"/>
        <v>Low Traffic</v>
      </c>
    </row>
    <row r="105" spans="1:25" x14ac:dyDescent="0.3">
      <c r="A105" s="2" t="s">
        <v>87</v>
      </c>
      <c r="B105" s="2" t="s">
        <v>219</v>
      </c>
      <c r="C105" s="2" t="s">
        <v>235</v>
      </c>
      <c r="D105" s="2" t="s">
        <v>236</v>
      </c>
      <c r="E105" s="2" t="s">
        <v>153</v>
      </c>
      <c r="F105" s="1">
        <v>1972</v>
      </c>
      <c r="G105" s="1">
        <v>2</v>
      </c>
      <c r="H105" s="1">
        <v>3.8</v>
      </c>
      <c r="I105" s="1" t="str">
        <f>IF(Table13[[#This Row],[Reiew_Rating]]&gt;=4.5,"Excellent",
IF(Table13[[#This Row],[Reiew_Rating]]&gt;=4,"Good","Average"))</f>
        <v>Average</v>
      </c>
      <c r="J105" s="1">
        <v>50</v>
      </c>
      <c r="K105" s="1" t="str">
        <f>IF(Table13[[#This Row],[Entrance_Fee_INR]]=0,"Free","Paid")</f>
        <v>Paid</v>
      </c>
      <c r="L105" s="2" t="s">
        <v>19</v>
      </c>
      <c r="M105" s="2" t="s">
        <v>720</v>
      </c>
      <c r="N105" s="2" t="s">
        <v>73</v>
      </c>
      <c r="O105" s="2" t="s">
        <v>19</v>
      </c>
      <c r="P105" s="3">
        <v>0.1</v>
      </c>
      <c r="Q105" s="2" t="s">
        <v>51</v>
      </c>
      <c r="R105" s="1" t="str">
        <f>IF(Table13[[#This Row],[Number_Review_Lakhs]]&gt;=1,"Highly Popular", IF(Table13[[#This Row],[Number_Review_Lakhs]]&gt;=0.5,"Popular","Less Popular"))</f>
        <v>Less Popular</v>
      </c>
      <c r="S105" s="1" t="str">
        <f>IF(Table13[[#This Row],[Visit_Time_Hrs]]&lt;=2,"Short Visit", IF(Table13[[#This Row],[Visit_Time_Hrs]]&lt;=5,"Medium Visit","Full Day"))</f>
        <v>Short Visit</v>
      </c>
      <c r="T105" s="1" t="str">
        <f>IF(Table13[[#This Row],[Airport_50km_Radius]]="Yes","Accessible","Remote")</f>
        <v>Accessible</v>
      </c>
      <c r="U105" s="1" t="str">
        <f>IF(Table13[[#This Row],[Reiew_Rating]]&gt;=4.7,"Yes","No")</f>
        <v>No</v>
      </c>
      <c r="V105" s="1" t="str">
        <f t="shared" si="4"/>
        <v>Nature &amp; Wildlife</v>
      </c>
      <c r="W105" s="1" t="str">
        <f t="shared" si="5"/>
        <v>★★★★☆</v>
      </c>
      <c r="X105" s="1" t="str">
        <f t="shared" si="6"/>
        <v>4 / 5 Stars</v>
      </c>
      <c r="Y105" s="1" t="str">
        <f t="shared" si="7"/>
        <v>Low Traffic</v>
      </c>
    </row>
    <row r="106" spans="1:25" x14ac:dyDescent="0.3">
      <c r="A106" s="2" t="s">
        <v>87</v>
      </c>
      <c r="B106" s="2" t="s">
        <v>219</v>
      </c>
      <c r="C106" s="2" t="s">
        <v>237</v>
      </c>
      <c r="D106" s="2" t="s">
        <v>238</v>
      </c>
      <c r="E106" s="2" t="s">
        <v>79</v>
      </c>
      <c r="F106" s="1">
        <v>1728</v>
      </c>
      <c r="G106" s="1">
        <v>2</v>
      </c>
      <c r="H106" s="1">
        <v>4.5999999999999996</v>
      </c>
      <c r="I106" s="1" t="str">
        <f>IF(Table13[[#This Row],[Reiew_Rating]]&gt;=4.5,"Excellent",
IF(Table13[[#This Row],[Reiew_Rating]]&gt;=4,"Good","Average"))</f>
        <v>Excellent</v>
      </c>
      <c r="J106" s="1">
        <v>0</v>
      </c>
      <c r="K106" s="1" t="str">
        <f>IF(Table13[[#This Row],[Entrance_Fee_INR]]=0,"Free","Paid")</f>
        <v>Free</v>
      </c>
      <c r="L106" s="2" t="s">
        <v>19</v>
      </c>
      <c r="M106" s="2" t="s">
        <v>721</v>
      </c>
      <c r="N106" s="2" t="s">
        <v>80</v>
      </c>
      <c r="O106" s="2" t="s">
        <v>19</v>
      </c>
      <c r="P106" s="3">
        <v>0.1</v>
      </c>
      <c r="Q106" s="2" t="s">
        <v>51</v>
      </c>
      <c r="R106" s="1" t="str">
        <f>IF(Table13[[#This Row],[Number_Review_Lakhs]]&gt;=1,"Highly Popular", IF(Table13[[#This Row],[Number_Review_Lakhs]]&gt;=0.5,"Popular","Less Popular"))</f>
        <v>Less Popular</v>
      </c>
      <c r="S106" s="1" t="str">
        <f>IF(Table13[[#This Row],[Visit_Time_Hrs]]&lt;=2,"Short Visit", IF(Table13[[#This Row],[Visit_Time_Hrs]]&lt;=5,"Medium Visit","Full Day"))</f>
        <v>Short Visit</v>
      </c>
      <c r="T106" s="1" t="str">
        <f>IF(Table13[[#This Row],[Airport_50km_Radius]]="Yes","Accessible","Remote")</f>
        <v>Accessible</v>
      </c>
      <c r="U106" s="1" t="str">
        <f>IF(Table13[[#This Row],[Reiew_Rating]]&gt;=4.7,"Yes","No")</f>
        <v>No</v>
      </c>
      <c r="V106" s="1" t="str">
        <f t="shared" si="4"/>
        <v>Leisure &amp; Commerce</v>
      </c>
      <c r="W106" s="1" t="str">
        <f t="shared" si="5"/>
        <v>★★★★★</v>
      </c>
      <c r="X106" s="1" t="str">
        <f t="shared" si="6"/>
        <v>5 / 5 Stars</v>
      </c>
      <c r="Y106" s="1" t="str">
        <f t="shared" si="7"/>
        <v>Low Traffic</v>
      </c>
    </row>
    <row r="107" spans="1:25" x14ac:dyDescent="0.3">
      <c r="A107" s="2" t="s">
        <v>87</v>
      </c>
      <c r="B107" s="2" t="s">
        <v>219</v>
      </c>
      <c r="C107" s="2" t="s">
        <v>239</v>
      </c>
      <c r="D107" s="2" t="s">
        <v>240</v>
      </c>
      <c r="E107" s="2" t="s">
        <v>43</v>
      </c>
      <c r="F107" s="1">
        <v>1650</v>
      </c>
      <c r="G107" s="1">
        <v>1.5</v>
      </c>
      <c r="H107" s="1">
        <v>4.5</v>
      </c>
      <c r="I107" s="1" t="str">
        <f>IF(Table13[[#This Row],[Reiew_Rating]]&gt;=4.5,"Excellent",
IF(Table13[[#This Row],[Reiew_Rating]]&gt;=4,"Good","Average"))</f>
        <v>Excellent</v>
      </c>
      <c r="J107" s="1">
        <v>20</v>
      </c>
      <c r="K107" s="1" t="str">
        <f>IF(Table13[[#This Row],[Entrance_Fee_INR]]=0,"Free","Paid")</f>
        <v>Paid</v>
      </c>
      <c r="L107" s="2" t="s">
        <v>29</v>
      </c>
      <c r="M107" s="2" t="s">
        <v>722</v>
      </c>
      <c r="N107" s="2" t="s">
        <v>21</v>
      </c>
      <c r="O107" s="2" t="s">
        <v>19</v>
      </c>
      <c r="P107" s="3">
        <v>0.22</v>
      </c>
      <c r="Q107" s="2" t="s">
        <v>51</v>
      </c>
      <c r="R107" s="1" t="str">
        <f>IF(Table13[[#This Row],[Number_Review_Lakhs]]&gt;=1,"Highly Popular", IF(Table13[[#This Row],[Number_Review_Lakhs]]&gt;=0.5,"Popular","Less Popular"))</f>
        <v>Less Popular</v>
      </c>
      <c r="S107" s="1" t="str">
        <f>IF(Table13[[#This Row],[Visit_Time_Hrs]]&lt;=2,"Short Visit", IF(Table13[[#This Row],[Visit_Time_Hrs]]&lt;=5,"Medium Visit","Full Day"))</f>
        <v>Short Visit</v>
      </c>
      <c r="T107" s="1" t="str">
        <f>IF(Table13[[#This Row],[Airport_50km_Radius]]="Yes","Accessible","Remote")</f>
        <v>Remote</v>
      </c>
      <c r="U107" s="1" t="str">
        <f>IF(Table13[[#This Row],[Reiew_Rating]]&gt;=4.7,"Yes","No")</f>
        <v>No</v>
      </c>
      <c r="V107" s="1" t="str">
        <f t="shared" si="4"/>
        <v>Heritage &amp; Culture</v>
      </c>
      <c r="W107" s="1" t="str">
        <f t="shared" si="5"/>
        <v>★★★★★</v>
      </c>
      <c r="X107" s="1" t="str">
        <f t="shared" si="6"/>
        <v>5 / 5 Stars</v>
      </c>
      <c r="Y107" s="1" t="str">
        <f t="shared" si="7"/>
        <v>Low Traffic</v>
      </c>
    </row>
    <row r="108" spans="1:25" x14ac:dyDescent="0.3">
      <c r="A108" s="2" t="s">
        <v>87</v>
      </c>
      <c r="B108" s="2" t="s">
        <v>219</v>
      </c>
      <c r="C108" s="2" t="s">
        <v>241</v>
      </c>
      <c r="D108" s="2" t="s">
        <v>242</v>
      </c>
      <c r="E108" s="2" t="s">
        <v>79</v>
      </c>
      <c r="F108" s="1">
        <v>1714</v>
      </c>
      <c r="G108" s="1">
        <v>2</v>
      </c>
      <c r="H108" s="1">
        <v>4.4000000000000004</v>
      </c>
      <c r="I108" s="1" t="str">
        <f>IF(Table13[[#This Row],[Reiew_Rating]]&gt;=4.5,"Excellent",
IF(Table13[[#This Row],[Reiew_Rating]]&gt;=4,"Good","Average"))</f>
        <v>Good</v>
      </c>
      <c r="J108" s="1">
        <v>0</v>
      </c>
      <c r="K108" s="1" t="str">
        <f>IF(Table13[[#This Row],[Entrance_Fee_INR]]=0,"Free","Paid")</f>
        <v>Free</v>
      </c>
      <c r="L108" s="2" t="s">
        <v>19</v>
      </c>
      <c r="M108" s="2" t="s">
        <v>722</v>
      </c>
      <c r="N108" s="2" t="s">
        <v>80</v>
      </c>
      <c r="O108" s="2" t="s">
        <v>19</v>
      </c>
      <c r="P108" s="3">
        <v>0.68</v>
      </c>
      <c r="Q108" s="2" t="s">
        <v>51</v>
      </c>
      <c r="R108" s="1" t="str">
        <f>IF(Table13[[#This Row],[Number_Review_Lakhs]]&gt;=1,"Highly Popular", IF(Table13[[#This Row],[Number_Review_Lakhs]]&gt;=0.5,"Popular","Less Popular"))</f>
        <v>Popular</v>
      </c>
      <c r="S108" s="1" t="str">
        <f>IF(Table13[[#This Row],[Visit_Time_Hrs]]&lt;=2,"Short Visit", IF(Table13[[#This Row],[Visit_Time_Hrs]]&lt;=5,"Medium Visit","Full Day"))</f>
        <v>Short Visit</v>
      </c>
      <c r="T108" s="1" t="str">
        <f>IF(Table13[[#This Row],[Airport_50km_Radius]]="Yes","Accessible","Remote")</f>
        <v>Accessible</v>
      </c>
      <c r="U108" s="1" t="str">
        <f>IF(Table13[[#This Row],[Reiew_Rating]]&gt;=4.7,"Yes","No")</f>
        <v>No</v>
      </c>
      <c r="V108" s="1" t="str">
        <f t="shared" si="4"/>
        <v>Leisure &amp; Commerce</v>
      </c>
      <c r="W108" s="1" t="str">
        <f t="shared" si="5"/>
        <v>★★★★☆</v>
      </c>
      <c r="X108" s="1" t="str">
        <f t="shared" si="6"/>
        <v>4 / 5 Stars</v>
      </c>
      <c r="Y108" s="1" t="str">
        <f t="shared" si="7"/>
        <v>Medium Traffic</v>
      </c>
    </row>
    <row r="109" spans="1:25" x14ac:dyDescent="0.3">
      <c r="A109" s="2" t="s">
        <v>87</v>
      </c>
      <c r="B109" s="2" t="s">
        <v>219</v>
      </c>
      <c r="C109" s="2" t="s">
        <v>243</v>
      </c>
      <c r="D109" s="2" t="s">
        <v>244</v>
      </c>
      <c r="E109" s="2" t="s">
        <v>43</v>
      </c>
      <c r="F109" s="1">
        <v>1505</v>
      </c>
      <c r="G109" s="1">
        <v>1</v>
      </c>
      <c r="H109" s="1">
        <v>4.4000000000000004</v>
      </c>
      <c r="I109" s="1" t="str">
        <f>IF(Table13[[#This Row],[Reiew_Rating]]&gt;=4.5,"Excellent",
IF(Table13[[#This Row],[Reiew_Rating]]&gt;=4,"Good","Average"))</f>
        <v>Good</v>
      </c>
      <c r="J109" s="1">
        <v>20</v>
      </c>
      <c r="K109" s="1" t="str">
        <f>IF(Table13[[#This Row],[Entrance_Fee_INR]]=0,"Free","Paid")</f>
        <v>Paid</v>
      </c>
      <c r="L109" s="2" t="s">
        <v>19</v>
      </c>
      <c r="M109" s="2" t="s">
        <v>32</v>
      </c>
      <c r="N109" s="2" t="s">
        <v>21</v>
      </c>
      <c r="O109" s="2" t="s">
        <v>19</v>
      </c>
      <c r="P109" s="3">
        <v>0.11</v>
      </c>
      <c r="Q109" s="2" t="s">
        <v>51</v>
      </c>
      <c r="R109" s="1" t="str">
        <f>IF(Table13[[#This Row],[Number_Review_Lakhs]]&gt;=1,"Highly Popular", IF(Table13[[#This Row],[Number_Review_Lakhs]]&gt;=0.5,"Popular","Less Popular"))</f>
        <v>Less Popular</v>
      </c>
      <c r="S109" s="1" t="str">
        <f>IF(Table13[[#This Row],[Visit_Time_Hrs]]&lt;=2,"Short Visit", IF(Table13[[#This Row],[Visit_Time_Hrs]]&lt;=5,"Medium Visit","Full Day"))</f>
        <v>Short Visit</v>
      </c>
      <c r="T109" s="1" t="str">
        <f>IF(Table13[[#This Row],[Airport_50km_Radius]]="Yes","Accessible","Remote")</f>
        <v>Accessible</v>
      </c>
      <c r="U109" s="1" t="str">
        <f>IF(Table13[[#This Row],[Reiew_Rating]]&gt;=4.7,"Yes","No")</f>
        <v>No</v>
      </c>
      <c r="V109" s="1" t="str">
        <f t="shared" si="4"/>
        <v>Heritage &amp; Culture</v>
      </c>
      <c r="W109" s="1" t="str">
        <f t="shared" si="5"/>
        <v>★★★★☆</v>
      </c>
      <c r="X109" s="1" t="str">
        <f t="shared" si="6"/>
        <v>4 / 5 Stars</v>
      </c>
      <c r="Y109" s="1" t="str">
        <f t="shared" si="7"/>
        <v>Low Traffic</v>
      </c>
    </row>
    <row r="110" spans="1:25" x14ac:dyDescent="0.3">
      <c r="A110" s="2" t="s">
        <v>87</v>
      </c>
      <c r="B110" s="2" t="s">
        <v>219</v>
      </c>
      <c r="C110" s="2" t="s">
        <v>245</v>
      </c>
      <c r="D110" s="2" t="s">
        <v>246</v>
      </c>
      <c r="E110" s="2" t="s">
        <v>247</v>
      </c>
      <c r="F110" s="1">
        <v>1706</v>
      </c>
      <c r="G110" s="1">
        <v>1</v>
      </c>
      <c r="H110" s="1">
        <v>4.5</v>
      </c>
      <c r="I110" s="1" t="str">
        <f>IF(Table13[[#This Row],[Reiew_Rating]]&gt;=4.5,"Excellent",
IF(Table13[[#This Row],[Reiew_Rating]]&gt;=4,"Good","Average"))</f>
        <v>Excellent</v>
      </c>
      <c r="J110" s="1">
        <v>0</v>
      </c>
      <c r="K110" s="1" t="str">
        <f>IF(Table13[[#This Row],[Entrance_Fee_INR]]=0,"Free","Paid")</f>
        <v>Free</v>
      </c>
      <c r="L110" s="2" t="s">
        <v>29</v>
      </c>
      <c r="M110" s="2" t="s">
        <v>721</v>
      </c>
      <c r="N110" s="2" t="s">
        <v>94</v>
      </c>
      <c r="O110" s="2" t="s">
        <v>19</v>
      </c>
      <c r="P110" s="3">
        <v>0.03</v>
      </c>
      <c r="Q110" s="2" t="s">
        <v>37</v>
      </c>
      <c r="R110" s="1" t="str">
        <f>IF(Table13[[#This Row],[Number_Review_Lakhs]]&gt;=1,"Highly Popular", IF(Table13[[#This Row],[Number_Review_Lakhs]]&gt;=0.5,"Popular","Less Popular"))</f>
        <v>Less Popular</v>
      </c>
      <c r="S110" s="1" t="str">
        <f>IF(Table13[[#This Row],[Visit_Time_Hrs]]&lt;=2,"Short Visit", IF(Table13[[#This Row],[Visit_Time_Hrs]]&lt;=5,"Medium Visit","Full Day"))</f>
        <v>Short Visit</v>
      </c>
      <c r="T110" s="1" t="str">
        <f>IF(Table13[[#This Row],[Airport_50km_Radius]]="Yes","Accessible","Remote")</f>
        <v>Remote</v>
      </c>
      <c r="U110" s="1" t="str">
        <f>IF(Table13[[#This Row],[Reiew_Rating]]&gt;=4.7,"Yes","No")</f>
        <v>No</v>
      </c>
      <c r="V110" s="1" t="str">
        <f t="shared" si="4"/>
        <v>Nature &amp; Wildlife</v>
      </c>
      <c r="W110" s="1" t="str">
        <f t="shared" si="5"/>
        <v>★★★★★</v>
      </c>
      <c r="X110" s="1" t="str">
        <f t="shared" si="6"/>
        <v>5 / 5 Stars</v>
      </c>
      <c r="Y110" s="1" t="str">
        <f t="shared" si="7"/>
        <v>Low Traffic</v>
      </c>
    </row>
    <row r="111" spans="1:25" x14ac:dyDescent="0.3">
      <c r="A111" s="2" t="s">
        <v>87</v>
      </c>
      <c r="B111" s="2" t="s">
        <v>219</v>
      </c>
      <c r="C111" s="2" t="s">
        <v>225</v>
      </c>
      <c r="D111" s="2" t="s">
        <v>248</v>
      </c>
      <c r="E111" s="2" t="s">
        <v>169</v>
      </c>
      <c r="F111" s="1">
        <v>2009</v>
      </c>
      <c r="G111" s="1">
        <v>1.5</v>
      </c>
      <c r="H111" s="1">
        <v>4.4000000000000004</v>
      </c>
      <c r="I111" s="1" t="str">
        <f>IF(Table13[[#This Row],[Reiew_Rating]]&gt;=4.5,"Excellent",
IF(Table13[[#This Row],[Reiew_Rating]]&gt;=4,"Good","Average"))</f>
        <v>Good</v>
      </c>
      <c r="J111" s="1">
        <v>100</v>
      </c>
      <c r="K111" s="1" t="str">
        <f>IF(Table13[[#This Row],[Entrance_Fee_INR]]=0,"Free","Paid")</f>
        <v>Paid</v>
      </c>
      <c r="L111" s="2" t="s">
        <v>19</v>
      </c>
      <c r="M111" s="2" t="s">
        <v>32</v>
      </c>
      <c r="N111" s="2" t="s">
        <v>169</v>
      </c>
      <c r="O111" s="2" t="s">
        <v>19</v>
      </c>
      <c r="P111" s="3">
        <v>0.1</v>
      </c>
      <c r="Q111" s="2" t="s">
        <v>51</v>
      </c>
      <c r="R111" s="1" t="str">
        <f>IF(Table13[[#This Row],[Number_Review_Lakhs]]&gt;=1,"Highly Popular", IF(Table13[[#This Row],[Number_Review_Lakhs]]&gt;=0.5,"Popular","Less Popular"))</f>
        <v>Less Popular</v>
      </c>
      <c r="S111" s="1" t="str">
        <f>IF(Table13[[#This Row],[Visit_Time_Hrs]]&lt;=2,"Short Visit", IF(Table13[[#This Row],[Visit_Time_Hrs]]&lt;=5,"Medium Visit","Full Day"))</f>
        <v>Short Visit</v>
      </c>
      <c r="T111" s="1" t="str">
        <f>IF(Table13[[#This Row],[Airport_50km_Radius]]="Yes","Accessible","Remote")</f>
        <v>Accessible</v>
      </c>
      <c r="U111" s="1" t="str">
        <f>IF(Table13[[#This Row],[Reiew_Rating]]&gt;=4.7,"Yes","No")</f>
        <v>No</v>
      </c>
      <c r="V111" s="1" t="str">
        <f t="shared" si="4"/>
        <v>Other</v>
      </c>
      <c r="W111" s="1" t="str">
        <f t="shared" si="5"/>
        <v>★★★★☆</v>
      </c>
      <c r="X111" s="1" t="str">
        <f t="shared" si="6"/>
        <v>4 / 5 Stars</v>
      </c>
      <c r="Y111" s="1" t="str">
        <f t="shared" si="7"/>
        <v>Low Traffic</v>
      </c>
    </row>
    <row r="112" spans="1:25" x14ac:dyDescent="0.3">
      <c r="A112" s="2" t="s">
        <v>87</v>
      </c>
      <c r="B112" s="2" t="s">
        <v>219</v>
      </c>
      <c r="C112" s="2" t="s">
        <v>225</v>
      </c>
      <c r="D112" s="2" t="s">
        <v>249</v>
      </c>
      <c r="E112" s="2" t="s">
        <v>82</v>
      </c>
      <c r="F112" s="1">
        <v>2016</v>
      </c>
      <c r="G112" s="1">
        <v>5.5</v>
      </c>
      <c r="H112" s="1">
        <v>4.5999999999999996</v>
      </c>
      <c r="I112" s="1" t="str">
        <f>IF(Table13[[#This Row],[Reiew_Rating]]&gt;=4.5,"Excellent",
IF(Table13[[#This Row],[Reiew_Rating]]&gt;=4,"Good","Average"))</f>
        <v>Excellent</v>
      </c>
      <c r="J112" s="1">
        <v>750</v>
      </c>
      <c r="K112" s="1" t="str">
        <f>IF(Table13[[#This Row],[Entrance_Fee_INR]]=0,"Free","Paid")</f>
        <v>Paid</v>
      </c>
      <c r="L112" s="2" t="s">
        <v>19</v>
      </c>
      <c r="M112" s="2" t="s">
        <v>722</v>
      </c>
      <c r="N112" s="2" t="s">
        <v>109</v>
      </c>
      <c r="O112" s="2" t="s">
        <v>19</v>
      </c>
      <c r="P112" s="3">
        <v>0.41</v>
      </c>
      <c r="Q112" s="2" t="s">
        <v>51</v>
      </c>
      <c r="R112" s="1" t="str">
        <f>IF(Table13[[#This Row],[Number_Review_Lakhs]]&gt;=1,"Highly Popular", IF(Table13[[#This Row],[Number_Review_Lakhs]]&gt;=0.5,"Popular","Less Popular"))</f>
        <v>Less Popular</v>
      </c>
      <c r="S112" s="1" t="str">
        <f>IF(Table13[[#This Row],[Visit_Time_Hrs]]&lt;=2,"Short Visit", IF(Table13[[#This Row],[Visit_Time_Hrs]]&lt;=5,"Medium Visit","Full Day"))</f>
        <v>Full Day</v>
      </c>
      <c r="T112" s="1" t="str">
        <f>IF(Table13[[#This Row],[Airport_50km_Radius]]="Yes","Accessible","Remote")</f>
        <v>Accessible</v>
      </c>
      <c r="U112" s="1" t="str">
        <f>IF(Table13[[#This Row],[Reiew_Rating]]&gt;=4.7,"Yes","No")</f>
        <v>No</v>
      </c>
      <c r="V112" s="1" t="str">
        <f t="shared" si="4"/>
        <v>Leisure &amp; Commerce</v>
      </c>
      <c r="W112" s="1" t="str">
        <f t="shared" si="5"/>
        <v>★★★★★</v>
      </c>
      <c r="X112" s="1" t="str">
        <f t="shared" si="6"/>
        <v>5 / 5 Stars</v>
      </c>
      <c r="Y112" s="1" t="str">
        <f t="shared" si="7"/>
        <v>Medium Traffic</v>
      </c>
    </row>
    <row r="113" spans="1:25" x14ac:dyDescent="0.3">
      <c r="A113" s="2" t="s">
        <v>87</v>
      </c>
      <c r="B113" s="2" t="s">
        <v>88</v>
      </c>
      <c r="C113" s="2" t="s">
        <v>250</v>
      </c>
      <c r="D113" s="2" t="s">
        <v>251</v>
      </c>
      <c r="E113" s="2" t="s">
        <v>91</v>
      </c>
      <c r="F113" s="1">
        <v>1912</v>
      </c>
      <c r="G113" s="1">
        <v>2</v>
      </c>
      <c r="H113" s="1">
        <v>4.5999999999999996</v>
      </c>
      <c r="I113" s="1" t="str">
        <f>IF(Table13[[#This Row],[Reiew_Rating]]&gt;=4.5,"Excellent",
IF(Table13[[#This Row],[Reiew_Rating]]&gt;=4,"Good","Average"))</f>
        <v>Excellent</v>
      </c>
      <c r="J113" s="1">
        <v>50</v>
      </c>
      <c r="K113" s="1" t="str">
        <f>IF(Table13[[#This Row],[Entrance_Fee_INR]]=0,"Free","Paid")</f>
        <v>Paid</v>
      </c>
      <c r="L113" s="2" t="s">
        <v>19</v>
      </c>
      <c r="M113" s="2" t="s">
        <v>721</v>
      </c>
      <c r="N113" s="2" t="s">
        <v>21</v>
      </c>
      <c r="O113" s="2" t="s">
        <v>19</v>
      </c>
      <c r="P113" s="3">
        <v>2.5</v>
      </c>
      <c r="Q113" s="2" t="s">
        <v>51</v>
      </c>
      <c r="R113" s="1" t="str">
        <f>IF(Table13[[#This Row],[Number_Review_Lakhs]]&gt;=1,"Highly Popular", IF(Table13[[#This Row],[Number_Review_Lakhs]]&gt;=0.5,"Popular","Less Popular"))</f>
        <v>Highly Popular</v>
      </c>
      <c r="S113" s="1" t="str">
        <f>IF(Table13[[#This Row],[Visit_Time_Hrs]]&lt;=2,"Short Visit", IF(Table13[[#This Row],[Visit_Time_Hrs]]&lt;=5,"Medium Visit","Full Day"))</f>
        <v>Short Visit</v>
      </c>
      <c r="T113" s="1" t="str">
        <f>IF(Table13[[#This Row],[Airport_50km_Radius]]="Yes","Accessible","Remote")</f>
        <v>Accessible</v>
      </c>
      <c r="U113" s="1" t="str">
        <f>IF(Table13[[#This Row],[Reiew_Rating]]&gt;=4.7,"Yes","No")</f>
        <v>No</v>
      </c>
      <c r="V113" s="1" t="str">
        <f t="shared" si="4"/>
        <v>Heritage &amp; Culture</v>
      </c>
      <c r="W113" s="1" t="str">
        <f t="shared" si="5"/>
        <v>★★★★★</v>
      </c>
      <c r="X113" s="1" t="str">
        <f t="shared" si="6"/>
        <v>5 / 5 Stars</v>
      </c>
      <c r="Y113" s="1" t="str">
        <f t="shared" si="7"/>
        <v>High Traffic</v>
      </c>
    </row>
    <row r="114" spans="1:25" x14ac:dyDescent="0.3">
      <c r="A114" s="2" t="s">
        <v>87</v>
      </c>
      <c r="B114" s="2" t="s">
        <v>88</v>
      </c>
      <c r="C114" s="2" t="s">
        <v>252</v>
      </c>
      <c r="D114" s="2" t="s">
        <v>253</v>
      </c>
      <c r="E114" s="2" t="s">
        <v>134</v>
      </c>
      <c r="F114" s="1">
        <v>1835</v>
      </c>
      <c r="G114" s="1">
        <v>3</v>
      </c>
      <c r="H114" s="1">
        <v>4.7</v>
      </c>
      <c r="I114" s="1" t="str">
        <f>IF(Table13[[#This Row],[Reiew_Rating]]&gt;=4.5,"Excellent",
IF(Table13[[#This Row],[Reiew_Rating]]&gt;=4,"Good","Average"))</f>
        <v>Excellent</v>
      </c>
      <c r="J114" s="1">
        <v>0</v>
      </c>
      <c r="K114" s="1" t="str">
        <f>IF(Table13[[#This Row],[Entrance_Fee_INR]]=0,"Free","Paid")</f>
        <v>Free</v>
      </c>
      <c r="L114" s="2" t="s">
        <v>29</v>
      </c>
      <c r="M114" s="2" t="s">
        <v>32</v>
      </c>
      <c r="N114" s="2" t="s">
        <v>21</v>
      </c>
      <c r="O114" s="2" t="s">
        <v>19</v>
      </c>
      <c r="P114" s="3">
        <v>0.05</v>
      </c>
      <c r="Q114" s="2" t="s">
        <v>51</v>
      </c>
      <c r="R114" s="1" t="str">
        <f>IF(Table13[[#This Row],[Number_Review_Lakhs]]&gt;=1,"Highly Popular", IF(Table13[[#This Row],[Number_Review_Lakhs]]&gt;=0.5,"Popular","Less Popular"))</f>
        <v>Less Popular</v>
      </c>
      <c r="S114" s="1" t="str">
        <f>IF(Table13[[#This Row],[Visit_Time_Hrs]]&lt;=2,"Short Visit", IF(Table13[[#This Row],[Visit_Time_Hrs]]&lt;=5,"Medium Visit","Full Day"))</f>
        <v>Medium Visit</v>
      </c>
      <c r="T114" s="1" t="str">
        <f>IF(Table13[[#This Row],[Airport_50km_Radius]]="Yes","Accessible","Remote")</f>
        <v>Remote</v>
      </c>
      <c r="U114" s="1" t="str">
        <f>IF(Table13[[#This Row],[Reiew_Rating]]&gt;=4.7,"Yes","No")</f>
        <v>Yes</v>
      </c>
      <c r="V114" s="1" t="str">
        <f t="shared" si="4"/>
        <v>Heritage &amp; Culture</v>
      </c>
      <c r="W114" s="1" t="str">
        <f t="shared" si="5"/>
        <v>★★★★★</v>
      </c>
      <c r="X114" s="1" t="str">
        <f t="shared" si="6"/>
        <v>5 / 5 Stars</v>
      </c>
      <c r="Y114" s="1" t="str">
        <f t="shared" si="7"/>
        <v>Low Traffic</v>
      </c>
    </row>
    <row r="115" spans="1:25" x14ac:dyDescent="0.3">
      <c r="A115" s="2" t="s">
        <v>87</v>
      </c>
      <c r="B115" s="2" t="s">
        <v>88</v>
      </c>
      <c r="C115" s="2" t="s">
        <v>254</v>
      </c>
      <c r="D115" s="2" t="s">
        <v>255</v>
      </c>
      <c r="E115" s="2" t="s">
        <v>142</v>
      </c>
      <c r="F115" s="1">
        <v>1577</v>
      </c>
      <c r="G115" s="1">
        <v>1</v>
      </c>
      <c r="H115" s="1">
        <v>4.0999999999999996</v>
      </c>
      <c r="I115" s="1" t="str">
        <f>IF(Table13[[#This Row],[Reiew_Rating]]&gt;=4.5,"Excellent",
IF(Table13[[#This Row],[Reiew_Rating]]&gt;=4,"Good","Average"))</f>
        <v>Good</v>
      </c>
      <c r="J115" s="1">
        <v>0</v>
      </c>
      <c r="K115" s="1" t="str">
        <f>IF(Table13[[#This Row],[Entrance_Fee_INR]]=0,"Free","Paid")</f>
        <v>Free</v>
      </c>
      <c r="L115" s="2" t="s">
        <v>29</v>
      </c>
      <c r="M115" s="2" t="s">
        <v>305</v>
      </c>
      <c r="N115" s="2" t="s">
        <v>94</v>
      </c>
      <c r="O115" s="2" t="s">
        <v>19</v>
      </c>
      <c r="P115" s="3">
        <v>0.03</v>
      </c>
      <c r="Q115" s="2" t="s">
        <v>37</v>
      </c>
      <c r="R115" s="1" t="str">
        <f>IF(Table13[[#This Row],[Number_Review_Lakhs]]&gt;=1,"Highly Popular", IF(Table13[[#This Row],[Number_Review_Lakhs]]&gt;=0.5,"Popular","Less Popular"))</f>
        <v>Less Popular</v>
      </c>
      <c r="S115" s="1" t="str">
        <f>IF(Table13[[#This Row],[Visit_Time_Hrs]]&lt;=2,"Short Visit", IF(Table13[[#This Row],[Visit_Time_Hrs]]&lt;=5,"Medium Visit","Full Day"))</f>
        <v>Short Visit</v>
      </c>
      <c r="T115" s="1" t="str">
        <f>IF(Table13[[#This Row],[Airport_50km_Radius]]="Yes","Accessible","Remote")</f>
        <v>Remote</v>
      </c>
      <c r="U115" s="1" t="str">
        <f>IF(Table13[[#This Row],[Reiew_Rating]]&gt;=4.7,"Yes","No")</f>
        <v>No</v>
      </c>
      <c r="V115" s="1" t="str">
        <f t="shared" si="4"/>
        <v>Nature &amp; Wildlife</v>
      </c>
      <c r="W115" s="1" t="str">
        <f t="shared" si="5"/>
        <v>★★★★☆</v>
      </c>
      <c r="X115" s="1" t="str">
        <f t="shared" si="6"/>
        <v>4 / 5 Stars</v>
      </c>
      <c r="Y115" s="1" t="str">
        <f t="shared" si="7"/>
        <v>Low Traffic</v>
      </c>
    </row>
    <row r="116" spans="1:25" x14ac:dyDescent="0.3">
      <c r="A116" s="2" t="s">
        <v>87</v>
      </c>
      <c r="B116" s="2" t="s">
        <v>88</v>
      </c>
      <c r="C116" s="2" t="s">
        <v>256</v>
      </c>
      <c r="D116" s="2" t="s">
        <v>257</v>
      </c>
      <c r="E116" s="2" t="s">
        <v>79</v>
      </c>
      <c r="F116" s="1">
        <v>1621</v>
      </c>
      <c r="G116" s="1">
        <v>2</v>
      </c>
      <c r="H116" s="1">
        <v>4.5</v>
      </c>
      <c r="I116" s="1" t="str">
        <f>IF(Table13[[#This Row],[Reiew_Rating]]&gt;=4.5,"Excellent",
IF(Table13[[#This Row],[Reiew_Rating]]&gt;=4,"Good","Average"))</f>
        <v>Excellent</v>
      </c>
      <c r="J116" s="1">
        <v>0</v>
      </c>
      <c r="K116" s="1" t="str">
        <f>IF(Table13[[#This Row],[Entrance_Fee_INR]]=0,"Free","Paid")</f>
        <v>Free</v>
      </c>
      <c r="L116" s="2" t="s">
        <v>29</v>
      </c>
      <c r="M116" s="2" t="s">
        <v>305</v>
      </c>
      <c r="N116" s="2" t="s">
        <v>94</v>
      </c>
      <c r="O116" s="2" t="s">
        <v>19</v>
      </c>
      <c r="P116" s="3">
        <v>0.09</v>
      </c>
      <c r="Q116" s="2" t="s">
        <v>51</v>
      </c>
      <c r="R116" s="1" t="str">
        <f>IF(Table13[[#This Row],[Number_Review_Lakhs]]&gt;=1,"Highly Popular", IF(Table13[[#This Row],[Number_Review_Lakhs]]&gt;=0.5,"Popular","Less Popular"))</f>
        <v>Less Popular</v>
      </c>
      <c r="S116" s="1" t="str">
        <f>IF(Table13[[#This Row],[Visit_Time_Hrs]]&lt;=2,"Short Visit", IF(Table13[[#This Row],[Visit_Time_Hrs]]&lt;=5,"Medium Visit","Full Day"))</f>
        <v>Short Visit</v>
      </c>
      <c r="T116" s="1" t="str">
        <f>IF(Table13[[#This Row],[Airport_50km_Radius]]="Yes","Accessible","Remote")</f>
        <v>Remote</v>
      </c>
      <c r="U116" s="1" t="str">
        <f>IF(Table13[[#This Row],[Reiew_Rating]]&gt;=4.7,"Yes","No")</f>
        <v>No</v>
      </c>
      <c r="V116" s="1" t="str">
        <f t="shared" si="4"/>
        <v>Nature &amp; Wildlife</v>
      </c>
      <c r="W116" s="1" t="str">
        <f t="shared" si="5"/>
        <v>★★★★★</v>
      </c>
      <c r="X116" s="1" t="str">
        <f t="shared" si="6"/>
        <v>5 / 5 Stars</v>
      </c>
      <c r="Y116" s="1" t="str">
        <f t="shared" si="7"/>
        <v>Low Traffic</v>
      </c>
    </row>
    <row r="117" spans="1:25" x14ac:dyDescent="0.3">
      <c r="A117" s="2" t="s">
        <v>87</v>
      </c>
      <c r="B117" s="2" t="s">
        <v>88</v>
      </c>
      <c r="C117" s="2" t="s">
        <v>258</v>
      </c>
      <c r="D117" s="2" t="s">
        <v>259</v>
      </c>
      <c r="E117" s="2" t="s">
        <v>260</v>
      </c>
      <c r="F117" s="1">
        <v>1681</v>
      </c>
      <c r="G117" s="1">
        <v>3</v>
      </c>
      <c r="H117" s="1">
        <v>4.5</v>
      </c>
      <c r="I117" s="1" t="str">
        <f>IF(Table13[[#This Row],[Reiew_Rating]]&gt;=4.5,"Excellent",
IF(Table13[[#This Row],[Reiew_Rating]]&gt;=4,"Good","Average"))</f>
        <v>Excellent</v>
      </c>
      <c r="J117" s="1">
        <v>0</v>
      </c>
      <c r="K117" s="1" t="str">
        <f>IF(Table13[[#This Row],[Entrance_Fee_INR]]=0,"Free","Paid")</f>
        <v>Free</v>
      </c>
      <c r="L117" s="2" t="s">
        <v>29</v>
      </c>
      <c r="M117" s="2" t="s">
        <v>32</v>
      </c>
      <c r="N117" s="2" t="s">
        <v>94</v>
      </c>
      <c r="O117" s="2" t="s">
        <v>19</v>
      </c>
      <c r="P117" s="3">
        <v>0.05</v>
      </c>
      <c r="Q117" s="2" t="s">
        <v>51</v>
      </c>
      <c r="R117" s="1" t="str">
        <f>IF(Table13[[#This Row],[Number_Review_Lakhs]]&gt;=1,"Highly Popular", IF(Table13[[#This Row],[Number_Review_Lakhs]]&gt;=0.5,"Popular","Less Popular"))</f>
        <v>Less Popular</v>
      </c>
      <c r="S117" s="1" t="str">
        <f>IF(Table13[[#This Row],[Visit_Time_Hrs]]&lt;=2,"Short Visit", IF(Table13[[#This Row],[Visit_Time_Hrs]]&lt;=5,"Medium Visit","Full Day"))</f>
        <v>Medium Visit</v>
      </c>
      <c r="T117" s="1" t="str">
        <f>IF(Table13[[#This Row],[Airport_50km_Radius]]="Yes","Accessible","Remote")</f>
        <v>Remote</v>
      </c>
      <c r="U117" s="1" t="str">
        <f>IF(Table13[[#This Row],[Reiew_Rating]]&gt;=4.7,"Yes","No")</f>
        <v>No</v>
      </c>
      <c r="V117" s="1" t="str">
        <f t="shared" si="4"/>
        <v>Nature &amp; Wildlife</v>
      </c>
      <c r="W117" s="1" t="str">
        <f t="shared" si="5"/>
        <v>★★★★★</v>
      </c>
      <c r="X117" s="1" t="str">
        <f t="shared" si="6"/>
        <v>5 / 5 Stars</v>
      </c>
      <c r="Y117" s="1" t="str">
        <f t="shared" si="7"/>
        <v>Low Traffic</v>
      </c>
    </row>
    <row r="118" spans="1:25" x14ac:dyDescent="0.3">
      <c r="A118" s="2" t="s">
        <v>87</v>
      </c>
      <c r="B118" s="2" t="s">
        <v>88</v>
      </c>
      <c r="C118" s="2" t="s">
        <v>261</v>
      </c>
      <c r="D118" s="2" t="s">
        <v>262</v>
      </c>
      <c r="E118" s="2" t="s">
        <v>263</v>
      </c>
      <c r="F118" s="1">
        <v>600</v>
      </c>
      <c r="G118" s="1">
        <v>1.5</v>
      </c>
      <c r="H118" s="1">
        <v>4.5999999999999996</v>
      </c>
      <c r="I118" s="1" t="str">
        <f>IF(Table13[[#This Row],[Reiew_Rating]]&gt;=4.5,"Excellent",
IF(Table13[[#This Row],[Reiew_Rating]]&gt;=4,"Good","Average"))</f>
        <v>Excellent</v>
      </c>
      <c r="J118" s="1">
        <v>30</v>
      </c>
      <c r="K118" s="1" t="str">
        <f>IF(Table13[[#This Row],[Entrance_Fee_INR]]=0,"Free","Paid")</f>
        <v>Paid</v>
      </c>
      <c r="L118" s="2" t="s">
        <v>29</v>
      </c>
      <c r="M118" s="2" t="s">
        <v>720</v>
      </c>
      <c r="N118" s="2" t="s">
        <v>28</v>
      </c>
      <c r="O118" s="2" t="s">
        <v>29</v>
      </c>
      <c r="P118" s="3">
        <v>0.2</v>
      </c>
      <c r="Q118" s="2" t="s">
        <v>51</v>
      </c>
      <c r="R118" s="1" t="str">
        <f>IF(Table13[[#This Row],[Number_Review_Lakhs]]&gt;=1,"Highly Popular", IF(Table13[[#This Row],[Number_Review_Lakhs]]&gt;=0.5,"Popular","Less Popular"))</f>
        <v>Less Popular</v>
      </c>
      <c r="S118" s="1" t="str">
        <f>IF(Table13[[#This Row],[Visit_Time_Hrs]]&lt;=2,"Short Visit", IF(Table13[[#This Row],[Visit_Time_Hrs]]&lt;=5,"Medium Visit","Full Day"))</f>
        <v>Short Visit</v>
      </c>
      <c r="T118" s="1" t="str">
        <f>IF(Table13[[#This Row],[Airport_50km_Radius]]="Yes","Accessible","Remote")</f>
        <v>Remote</v>
      </c>
      <c r="U118" s="1" t="str">
        <f>IF(Table13[[#This Row],[Reiew_Rating]]&gt;=4.7,"Yes","No")</f>
        <v>No</v>
      </c>
      <c r="V118" s="1" t="str">
        <f t="shared" si="4"/>
        <v>Heritage &amp; Culture</v>
      </c>
      <c r="W118" s="1" t="str">
        <f t="shared" si="5"/>
        <v>★★★★★</v>
      </c>
      <c r="X118" s="1" t="str">
        <f t="shared" si="6"/>
        <v>5 / 5 Stars</v>
      </c>
      <c r="Y118" s="1" t="str">
        <f t="shared" si="7"/>
        <v>Low Traffic</v>
      </c>
    </row>
    <row r="119" spans="1:25" x14ac:dyDescent="0.3">
      <c r="A119" s="2" t="s">
        <v>87</v>
      </c>
      <c r="B119" s="2" t="s">
        <v>88</v>
      </c>
      <c r="C119" s="2" t="s">
        <v>264</v>
      </c>
      <c r="D119" s="2" t="s">
        <v>265</v>
      </c>
      <c r="E119" s="2" t="s">
        <v>142</v>
      </c>
      <c r="F119" s="1">
        <v>1900</v>
      </c>
      <c r="G119" s="1">
        <v>1.5</v>
      </c>
      <c r="H119" s="1">
        <v>4.5999999999999996</v>
      </c>
      <c r="I119" s="1" t="str">
        <f>IF(Table13[[#This Row],[Reiew_Rating]]&gt;=4.5,"Excellent",
IF(Table13[[#This Row],[Reiew_Rating]]&gt;=4,"Good","Average"))</f>
        <v>Excellent</v>
      </c>
      <c r="J119" s="1">
        <v>30</v>
      </c>
      <c r="K119" s="1" t="str">
        <f>IF(Table13[[#This Row],[Entrance_Fee_INR]]=0,"Free","Paid")</f>
        <v>Paid</v>
      </c>
      <c r="L119" s="2" t="s">
        <v>29</v>
      </c>
      <c r="M119" s="2" t="s">
        <v>40</v>
      </c>
      <c r="N119" s="2" t="s">
        <v>94</v>
      </c>
      <c r="O119" s="2" t="s">
        <v>19</v>
      </c>
      <c r="P119" s="3">
        <v>0.23</v>
      </c>
      <c r="Q119" s="2" t="s">
        <v>37</v>
      </c>
      <c r="R119" s="1" t="str">
        <f>IF(Table13[[#This Row],[Number_Review_Lakhs]]&gt;=1,"Highly Popular", IF(Table13[[#This Row],[Number_Review_Lakhs]]&gt;=0.5,"Popular","Less Popular"))</f>
        <v>Less Popular</v>
      </c>
      <c r="S119" s="1" t="str">
        <f>IF(Table13[[#This Row],[Visit_Time_Hrs]]&lt;=2,"Short Visit", IF(Table13[[#This Row],[Visit_Time_Hrs]]&lt;=5,"Medium Visit","Full Day"))</f>
        <v>Short Visit</v>
      </c>
      <c r="T119" s="1" t="str">
        <f>IF(Table13[[#This Row],[Airport_50km_Radius]]="Yes","Accessible","Remote")</f>
        <v>Remote</v>
      </c>
      <c r="U119" s="1" t="str">
        <f>IF(Table13[[#This Row],[Reiew_Rating]]&gt;=4.7,"Yes","No")</f>
        <v>No</v>
      </c>
      <c r="V119" s="1" t="str">
        <f t="shared" si="4"/>
        <v>Nature &amp; Wildlife</v>
      </c>
      <c r="W119" s="1" t="str">
        <f t="shared" si="5"/>
        <v>★★★★★</v>
      </c>
      <c r="X119" s="1" t="str">
        <f t="shared" si="6"/>
        <v>5 / 5 Stars</v>
      </c>
      <c r="Y119" s="1" t="str">
        <f t="shared" si="7"/>
        <v>Low Traffic</v>
      </c>
    </row>
    <row r="120" spans="1:25" x14ac:dyDescent="0.3">
      <c r="A120" s="2" t="s">
        <v>87</v>
      </c>
      <c r="B120" s="2" t="s">
        <v>88</v>
      </c>
      <c r="C120" s="2" t="s">
        <v>266</v>
      </c>
      <c r="D120" s="2" t="s">
        <v>267</v>
      </c>
      <c r="E120" s="2" t="s">
        <v>79</v>
      </c>
      <c r="F120" s="1">
        <v>1863</v>
      </c>
      <c r="G120" s="1">
        <v>1.5</v>
      </c>
      <c r="H120" s="1">
        <v>4.5</v>
      </c>
      <c r="I120" s="1" t="str">
        <f>IF(Table13[[#This Row],[Reiew_Rating]]&gt;=4.5,"Excellent",
IF(Table13[[#This Row],[Reiew_Rating]]&gt;=4,"Good","Average"))</f>
        <v>Excellent</v>
      </c>
      <c r="J120" s="1">
        <v>0</v>
      </c>
      <c r="K120" s="1" t="str">
        <f>IF(Table13[[#This Row],[Entrance_Fee_INR]]=0,"Free","Paid")</f>
        <v>Free</v>
      </c>
      <c r="L120" s="2" t="s">
        <v>19</v>
      </c>
      <c r="M120" s="2" t="s">
        <v>40</v>
      </c>
      <c r="N120" s="2" t="s">
        <v>80</v>
      </c>
      <c r="O120" s="2" t="s">
        <v>19</v>
      </c>
      <c r="P120" s="3">
        <v>0.1</v>
      </c>
      <c r="Q120" s="2" t="s">
        <v>51</v>
      </c>
      <c r="R120" s="1" t="str">
        <f>IF(Table13[[#This Row],[Number_Review_Lakhs]]&gt;=1,"Highly Popular", IF(Table13[[#This Row],[Number_Review_Lakhs]]&gt;=0.5,"Popular","Less Popular"))</f>
        <v>Less Popular</v>
      </c>
      <c r="S120" s="1" t="str">
        <f>IF(Table13[[#This Row],[Visit_Time_Hrs]]&lt;=2,"Short Visit", IF(Table13[[#This Row],[Visit_Time_Hrs]]&lt;=5,"Medium Visit","Full Day"))</f>
        <v>Short Visit</v>
      </c>
      <c r="T120" s="1" t="str">
        <f>IF(Table13[[#This Row],[Airport_50km_Radius]]="Yes","Accessible","Remote")</f>
        <v>Accessible</v>
      </c>
      <c r="U120" s="1" t="str">
        <f>IF(Table13[[#This Row],[Reiew_Rating]]&gt;=4.7,"Yes","No")</f>
        <v>No</v>
      </c>
      <c r="V120" s="1" t="str">
        <f t="shared" si="4"/>
        <v>Leisure &amp; Commerce</v>
      </c>
      <c r="W120" s="1" t="str">
        <f t="shared" si="5"/>
        <v>★★★★★</v>
      </c>
      <c r="X120" s="1" t="str">
        <f t="shared" si="6"/>
        <v>5 / 5 Stars</v>
      </c>
      <c r="Y120" s="1" t="str">
        <f t="shared" si="7"/>
        <v>Low Traffic</v>
      </c>
    </row>
    <row r="121" spans="1:25" x14ac:dyDescent="0.3">
      <c r="A121" s="2" t="s">
        <v>87</v>
      </c>
      <c r="B121" s="2" t="s">
        <v>88</v>
      </c>
      <c r="C121" s="2" t="s">
        <v>268</v>
      </c>
      <c r="D121" s="2" t="s">
        <v>269</v>
      </c>
      <c r="E121" s="2" t="s">
        <v>27</v>
      </c>
      <c r="F121" s="1">
        <v>1610</v>
      </c>
      <c r="G121" s="1">
        <v>1</v>
      </c>
      <c r="H121" s="1">
        <v>4.7</v>
      </c>
      <c r="I121" s="1" t="str">
        <f>IF(Table13[[#This Row],[Reiew_Rating]]&gt;=4.5,"Excellent",
IF(Table13[[#This Row],[Reiew_Rating]]&gt;=4,"Good","Average"))</f>
        <v>Excellent</v>
      </c>
      <c r="J121" s="1">
        <v>0</v>
      </c>
      <c r="K121" s="1" t="str">
        <f>IF(Table13[[#This Row],[Entrance_Fee_INR]]=0,"Free","Paid")</f>
        <v>Free</v>
      </c>
      <c r="L121" s="2" t="s">
        <v>19</v>
      </c>
      <c r="M121" s="2" t="s">
        <v>305</v>
      </c>
      <c r="N121" s="2" t="s">
        <v>28</v>
      </c>
      <c r="O121" s="2" t="s">
        <v>29</v>
      </c>
      <c r="P121" s="3">
        <v>0.49</v>
      </c>
      <c r="Q121" s="2" t="s">
        <v>51</v>
      </c>
      <c r="R121" s="1" t="str">
        <f>IF(Table13[[#This Row],[Number_Review_Lakhs]]&gt;=1,"Highly Popular", IF(Table13[[#This Row],[Number_Review_Lakhs]]&gt;=0.5,"Popular","Less Popular"))</f>
        <v>Less Popular</v>
      </c>
      <c r="S121" s="1" t="str">
        <f>IF(Table13[[#This Row],[Visit_Time_Hrs]]&lt;=2,"Short Visit", IF(Table13[[#This Row],[Visit_Time_Hrs]]&lt;=5,"Medium Visit","Full Day"))</f>
        <v>Short Visit</v>
      </c>
      <c r="T121" s="1" t="str">
        <f>IF(Table13[[#This Row],[Airport_50km_Radius]]="Yes","Accessible","Remote")</f>
        <v>Accessible</v>
      </c>
      <c r="U121" s="1" t="str">
        <f>IF(Table13[[#This Row],[Reiew_Rating]]&gt;=4.7,"Yes","No")</f>
        <v>Yes</v>
      </c>
      <c r="V121" s="1" t="str">
        <f t="shared" si="4"/>
        <v>Heritage &amp; Culture</v>
      </c>
      <c r="W121" s="1" t="str">
        <f t="shared" si="5"/>
        <v>★★★★★</v>
      </c>
      <c r="X121" s="1" t="str">
        <f t="shared" si="6"/>
        <v>5 / 5 Stars</v>
      </c>
      <c r="Y121" s="1" t="str">
        <f t="shared" si="7"/>
        <v>Medium Traffic</v>
      </c>
    </row>
    <row r="122" spans="1:25" x14ac:dyDescent="0.3">
      <c r="A122" s="2" t="s">
        <v>87</v>
      </c>
      <c r="B122" s="2" t="s">
        <v>88</v>
      </c>
      <c r="C122" s="2" t="s">
        <v>270</v>
      </c>
      <c r="D122" s="2" t="s">
        <v>271</v>
      </c>
      <c r="E122" s="2" t="s">
        <v>272</v>
      </c>
      <c r="F122" s="1">
        <v>1656</v>
      </c>
      <c r="G122" s="1">
        <v>1.5</v>
      </c>
      <c r="H122" s="1">
        <v>4.5</v>
      </c>
      <c r="I122" s="1" t="str">
        <f>IF(Table13[[#This Row],[Reiew_Rating]]&gt;=4.5,"Excellent",
IF(Table13[[#This Row],[Reiew_Rating]]&gt;=4,"Good","Average"))</f>
        <v>Excellent</v>
      </c>
      <c r="J122" s="1">
        <v>20</v>
      </c>
      <c r="K122" s="1" t="str">
        <f>IF(Table13[[#This Row],[Entrance_Fee_INR]]=0,"Free","Paid")</f>
        <v>Paid</v>
      </c>
      <c r="L122" s="2" t="s">
        <v>29</v>
      </c>
      <c r="M122" s="2" t="s">
        <v>305</v>
      </c>
      <c r="N122" s="2" t="s">
        <v>21</v>
      </c>
      <c r="O122" s="2" t="s">
        <v>19</v>
      </c>
      <c r="P122" s="3">
        <v>0.25</v>
      </c>
      <c r="Q122" s="2" t="s">
        <v>51</v>
      </c>
      <c r="R122" s="1" t="str">
        <f>IF(Table13[[#This Row],[Number_Review_Lakhs]]&gt;=1,"Highly Popular", IF(Table13[[#This Row],[Number_Review_Lakhs]]&gt;=0.5,"Popular","Less Popular"))</f>
        <v>Less Popular</v>
      </c>
      <c r="S122" s="1" t="str">
        <f>IF(Table13[[#This Row],[Visit_Time_Hrs]]&lt;=2,"Short Visit", IF(Table13[[#This Row],[Visit_Time_Hrs]]&lt;=5,"Medium Visit","Full Day"))</f>
        <v>Short Visit</v>
      </c>
      <c r="T122" s="1" t="str">
        <f>IF(Table13[[#This Row],[Airport_50km_Radius]]="Yes","Accessible","Remote")</f>
        <v>Remote</v>
      </c>
      <c r="U122" s="1" t="str">
        <f>IF(Table13[[#This Row],[Reiew_Rating]]&gt;=4.7,"Yes","No")</f>
        <v>No</v>
      </c>
      <c r="V122" s="1" t="str">
        <f t="shared" si="4"/>
        <v>Heritage &amp; Culture</v>
      </c>
      <c r="W122" s="1" t="str">
        <f t="shared" si="5"/>
        <v>★★★★★</v>
      </c>
      <c r="X122" s="1" t="str">
        <f t="shared" si="6"/>
        <v>5 / 5 Stars</v>
      </c>
      <c r="Y122" s="1" t="str">
        <f t="shared" si="7"/>
        <v>Low Traffic</v>
      </c>
    </row>
    <row r="123" spans="1:25" x14ac:dyDescent="0.3">
      <c r="A123" s="2" t="s">
        <v>87</v>
      </c>
      <c r="B123" s="2" t="s">
        <v>88</v>
      </c>
      <c r="C123" s="2" t="s">
        <v>273</v>
      </c>
      <c r="D123" s="2" t="s">
        <v>274</v>
      </c>
      <c r="E123" s="2" t="s">
        <v>72</v>
      </c>
      <c r="F123" s="1">
        <v>1974</v>
      </c>
      <c r="G123" s="1">
        <v>3</v>
      </c>
      <c r="H123" s="1">
        <v>4.4000000000000004</v>
      </c>
      <c r="I123" s="1" t="str">
        <f>IF(Table13[[#This Row],[Reiew_Rating]]&gt;=4.5,"Excellent",
IF(Table13[[#This Row],[Reiew_Rating]]&gt;=4,"Good","Average"))</f>
        <v>Good</v>
      </c>
      <c r="J123" s="1">
        <v>300</v>
      </c>
      <c r="K123" s="1" t="str">
        <f>IF(Table13[[#This Row],[Entrance_Fee_INR]]=0,"Free","Paid")</f>
        <v>Paid</v>
      </c>
      <c r="L123" s="2" t="s">
        <v>29</v>
      </c>
      <c r="M123" s="2" t="s">
        <v>32</v>
      </c>
      <c r="N123" s="2" t="s">
        <v>73</v>
      </c>
      <c r="O123" s="2" t="s">
        <v>19</v>
      </c>
      <c r="P123" s="3">
        <v>0.15</v>
      </c>
      <c r="Q123" s="2" t="s">
        <v>37</v>
      </c>
      <c r="R123" s="1" t="str">
        <f>IF(Table13[[#This Row],[Number_Review_Lakhs]]&gt;=1,"Highly Popular", IF(Table13[[#This Row],[Number_Review_Lakhs]]&gt;=0.5,"Popular","Less Popular"))</f>
        <v>Less Popular</v>
      </c>
      <c r="S123" s="1" t="str">
        <f>IF(Table13[[#This Row],[Visit_Time_Hrs]]&lt;=2,"Short Visit", IF(Table13[[#This Row],[Visit_Time_Hrs]]&lt;=5,"Medium Visit","Full Day"))</f>
        <v>Medium Visit</v>
      </c>
      <c r="T123" s="1" t="str">
        <f>IF(Table13[[#This Row],[Airport_50km_Radius]]="Yes","Accessible","Remote")</f>
        <v>Remote</v>
      </c>
      <c r="U123" s="1" t="str">
        <f>IF(Table13[[#This Row],[Reiew_Rating]]&gt;=4.7,"Yes","No")</f>
        <v>No</v>
      </c>
      <c r="V123" s="1" t="str">
        <f t="shared" si="4"/>
        <v>Nature &amp; Wildlife</v>
      </c>
      <c r="W123" s="1" t="str">
        <f t="shared" si="5"/>
        <v>★★★★☆</v>
      </c>
      <c r="X123" s="1" t="str">
        <f t="shared" si="6"/>
        <v>4 / 5 Stars</v>
      </c>
      <c r="Y123" s="1" t="str">
        <f t="shared" si="7"/>
        <v>Low Traffic</v>
      </c>
    </row>
    <row r="124" spans="1:25" x14ac:dyDescent="0.3">
      <c r="A124" s="2" t="s">
        <v>87</v>
      </c>
      <c r="B124" s="2" t="s">
        <v>88</v>
      </c>
      <c r="C124" s="2" t="s">
        <v>275</v>
      </c>
      <c r="D124" s="2" t="s">
        <v>276</v>
      </c>
      <c r="E124" s="2" t="s">
        <v>27</v>
      </c>
      <c r="F124" s="1">
        <v>1121</v>
      </c>
      <c r="G124" s="1">
        <v>1</v>
      </c>
      <c r="H124" s="1">
        <v>4.7</v>
      </c>
      <c r="I124" s="1" t="str">
        <f>IF(Table13[[#This Row],[Reiew_Rating]]&gt;=4.5,"Excellent",
IF(Table13[[#This Row],[Reiew_Rating]]&gt;=4,"Good","Average"))</f>
        <v>Excellent</v>
      </c>
      <c r="J124" s="1">
        <v>15</v>
      </c>
      <c r="K124" s="1" t="str">
        <f>IF(Table13[[#This Row],[Entrance_Fee_INR]]=0,"Free","Paid")</f>
        <v>Paid</v>
      </c>
      <c r="L124" s="2" t="s">
        <v>29</v>
      </c>
      <c r="M124" s="2" t="s">
        <v>722</v>
      </c>
      <c r="N124" s="2" t="s">
        <v>28</v>
      </c>
      <c r="O124" s="2" t="s">
        <v>29</v>
      </c>
      <c r="P124" s="3">
        <v>0.11</v>
      </c>
      <c r="Q124" s="2" t="s">
        <v>51</v>
      </c>
      <c r="R124" s="1" t="str">
        <f>IF(Table13[[#This Row],[Number_Review_Lakhs]]&gt;=1,"Highly Popular", IF(Table13[[#This Row],[Number_Review_Lakhs]]&gt;=0.5,"Popular","Less Popular"))</f>
        <v>Less Popular</v>
      </c>
      <c r="S124" s="1" t="str">
        <f>IF(Table13[[#This Row],[Visit_Time_Hrs]]&lt;=2,"Short Visit", IF(Table13[[#This Row],[Visit_Time_Hrs]]&lt;=5,"Medium Visit","Full Day"))</f>
        <v>Short Visit</v>
      </c>
      <c r="T124" s="1" t="str">
        <f>IF(Table13[[#This Row],[Airport_50km_Radius]]="Yes","Accessible","Remote")</f>
        <v>Remote</v>
      </c>
      <c r="U124" s="1" t="str">
        <f>IF(Table13[[#This Row],[Reiew_Rating]]&gt;=4.7,"Yes","No")</f>
        <v>Yes</v>
      </c>
      <c r="V124" s="1" t="str">
        <f t="shared" si="4"/>
        <v>Heritage &amp; Culture</v>
      </c>
      <c r="W124" s="1" t="str">
        <f t="shared" si="5"/>
        <v>★★★★★</v>
      </c>
      <c r="X124" s="1" t="str">
        <f t="shared" si="6"/>
        <v>5 / 5 Stars</v>
      </c>
      <c r="Y124" s="1" t="str">
        <f t="shared" si="7"/>
        <v>Low Traffic</v>
      </c>
    </row>
    <row r="125" spans="1:25" x14ac:dyDescent="0.3">
      <c r="A125" s="2" t="s">
        <v>62</v>
      </c>
      <c r="B125" s="2" t="s">
        <v>63</v>
      </c>
      <c r="C125" s="2" t="s">
        <v>277</v>
      </c>
      <c r="D125" s="2" t="s">
        <v>278</v>
      </c>
      <c r="E125" s="2" t="s">
        <v>43</v>
      </c>
      <c r="F125" s="1">
        <v>1732</v>
      </c>
      <c r="G125" s="1">
        <v>2</v>
      </c>
      <c r="H125" s="1">
        <v>4.4000000000000004</v>
      </c>
      <c r="I125" s="1" t="str">
        <f>IF(Table13[[#This Row],[Reiew_Rating]]&gt;=4.5,"Excellent",
IF(Table13[[#This Row],[Reiew_Rating]]&gt;=4,"Good","Average"))</f>
        <v>Good</v>
      </c>
      <c r="J125" s="1">
        <v>50</v>
      </c>
      <c r="K125" s="1" t="str">
        <f>IF(Table13[[#This Row],[Entrance_Fee_INR]]=0,"Free","Paid")</f>
        <v>Paid</v>
      </c>
      <c r="L125" s="2" t="s">
        <v>19</v>
      </c>
      <c r="M125" s="2" t="s">
        <v>57</v>
      </c>
      <c r="N125" s="2" t="s">
        <v>21</v>
      </c>
      <c r="O125" s="2" t="s">
        <v>19</v>
      </c>
      <c r="P125" s="3">
        <v>1.2</v>
      </c>
      <c r="Q125" s="2" t="s">
        <v>51</v>
      </c>
      <c r="R125" s="1" t="str">
        <f>IF(Table13[[#This Row],[Number_Review_Lakhs]]&gt;=1,"Highly Popular", IF(Table13[[#This Row],[Number_Review_Lakhs]]&gt;=0.5,"Popular","Less Popular"))</f>
        <v>Highly Popular</v>
      </c>
      <c r="S125" s="1" t="str">
        <f>IF(Table13[[#This Row],[Visit_Time_Hrs]]&lt;=2,"Short Visit", IF(Table13[[#This Row],[Visit_Time_Hrs]]&lt;=5,"Medium Visit","Full Day"))</f>
        <v>Short Visit</v>
      </c>
      <c r="T125" s="1" t="str">
        <f>IF(Table13[[#This Row],[Airport_50km_Radius]]="Yes","Accessible","Remote")</f>
        <v>Accessible</v>
      </c>
      <c r="U125" s="1" t="str">
        <f>IF(Table13[[#This Row],[Reiew_Rating]]&gt;=4.7,"Yes","No")</f>
        <v>No</v>
      </c>
      <c r="V125" s="1" t="str">
        <f t="shared" si="4"/>
        <v>Heritage &amp; Culture</v>
      </c>
      <c r="W125" s="1" t="str">
        <f t="shared" si="5"/>
        <v>★★★★☆</v>
      </c>
      <c r="X125" s="1" t="str">
        <f t="shared" si="6"/>
        <v>4 / 5 Stars</v>
      </c>
      <c r="Y125" s="1" t="str">
        <f t="shared" si="7"/>
        <v>Medium Traffic</v>
      </c>
    </row>
    <row r="126" spans="1:25" x14ac:dyDescent="0.3">
      <c r="A126" s="2" t="s">
        <v>62</v>
      </c>
      <c r="B126" s="2" t="s">
        <v>63</v>
      </c>
      <c r="C126" s="2" t="s">
        <v>279</v>
      </c>
      <c r="D126" s="2" t="s">
        <v>280</v>
      </c>
      <c r="E126" s="2" t="s">
        <v>263</v>
      </c>
      <c r="F126" s="1">
        <v>200</v>
      </c>
      <c r="G126" s="1">
        <v>3</v>
      </c>
      <c r="H126" s="1">
        <v>4.5999999999999996</v>
      </c>
      <c r="I126" s="1" t="str">
        <f>IF(Table13[[#This Row],[Reiew_Rating]]&gt;=4.5,"Excellent",
IF(Table13[[#This Row],[Reiew_Rating]]&gt;=4,"Good","Average"))</f>
        <v>Excellent</v>
      </c>
      <c r="J126" s="1">
        <v>30</v>
      </c>
      <c r="K126" s="1" t="str">
        <f>IF(Table13[[#This Row],[Entrance_Fee_INR]]=0,"Free","Paid")</f>
        <v>Paid</v>
      </c>
      <c r="L126" s="2" t="s">
        <v>19</v>
      </c>
      <c r="M126" s="2" t="s">
        <v>32</v>
      </c>
      <c r="N126" s="2" t="s">
        <v>21</v>
      </c>
      <c r="O126" s="2" t="s">
        <v>19</v>
      </c>
      <c r="P126" s="3">
        <v>0.21</v>
      </c>
      <c r="Q126" s="2" t="s">
        <v>25</v>
      </c>
      <c r="R126" s="1" t="str">
        <f>IF(Table13[[#This Row],[Number_Review_Lakhs]]&gt;=1,"Highly Popular", IF(Table13[[#This Row],[Number_Review_Lakhs]]&gt;=0.5,"Popular","Less Popular"))</f>
        <v>Less Popular</v>
      </c>
      <c r="S126" s="1" t="str">
        <f>IF(Table13[[#This Row],[Visit_Time_Hrs]]&lt;=2,"Short Visit", IF(Table13[[#This Row],[Visit_Time_Hrs]]&lt;=5,"Medium Visit","Full Day"))</f>
        <v>Medium Visit</v>
      </c>
      <c r="T126" s="1" t="str">
        <f>IF(Table13[[#This Row],[Airport_50km_Radius]]="Yes","Accessible","Remote")</f>
        <v>Accessible</v>
      </c>
      <c r="U126" s="1" t="str">
        <f>IF(Table13[[#This Row],[Reiew_Rating]]&gt;=4.7,"Yes","No")</f>
        <v>No</v>
      </c>
      <c r="V126" s="1" t="str">
        <f t="shared" si="4"/>
        <v>Heritage &amp; Culture</v>
      </c>
      <c r="W126" s="1" t="str">
        <f t="shared" si="5"/>
        <v>★★★★★</v>
      </c>
      <c r="X126" s="1" t="str">
        <f t="shared" si="6"/>
        <v>5 / 5 Stars</v>
      </c>
      <c r="Y126" s="1" t="str">
        <f t="shared" si="7"/>
        <v>Low Traffic</v>
      </c>
    </row>
    <row r="127" spans="1:25" x14ac:dyDescent="0.3">
      <c r="A127" s="2" t="s">
        <v>62</v>
      </c>
      <c r="B127" s="2" t="s">
        <v>63</v>
      </c>
      <c r="C127" s="2" t="s">
        <v>281</v>
      </c>
      <c r="D127" s="2" t="s">
        <v>282</v>
      </c>
      <c r="E127" s="2" t="s">
        <v>283</v>
      </c>
      <c r="F127" s="1">
        <v>1999</v>
      </c>
      <c r="G127" s="1">
        <v>2</v>
      </c>
      <c r="H127" s="1">
        <v>4.0999999999999996</v>
      </c>
      <c r="I127" s="1" t="str">
        <f>IF(Table13[[#This Row],[Reiew_Rating]]&gt;=4.5,"Excellent",
IF(Table13[[#This Row],[Reiew_Rating]]&gt;=4,"Good","Average"))</f>
        <v>Good</v>
      </c>
      <c r="J127" s="1">
        <v>300</v>
      </c>
      <c r="K127" s="1" t="str">
        <f>IF(Table13[[#This Row],[Entrance_Fee_INR]]=0,"Free","Paid")</f>
        <v>Paid</v>
      </c>
      <c r="L127" s="2" t="s">
        <v>19</v>
      </c>
      <c r="M127" s="2" t="s">
        <v>57</v>
      </c>
      <c r="N127" s="2" t="s">
        <v>80</v>
      </c>
      <c r="O127" s="2" t="s">
        <v>19</v>
      </c>
      <c r="P127" s="3">
        <v>0.1</v>
      </c>
      <c r="Q127" s="2" t="s">
        <v>25</v>
      </c>
      <c r="R127" s="1" t="str">
        <f>IF(Table13[[#This Row],[Number_Review_Lakhs]]&gt;=1,"Highly Popular", IF(Table13[[#This Row],[Number_Review_Lakhs]]&gt;=0.5,"Popular","Less Popular"))</f>
        <v>Less Popular</v>
      </c>
      <c r="S127" s="1" t="str">
        <f>IF(Table13[[#This Row],[Visit_Time_Hrs]]&lt;=2,"Short Visit", IF(Table13[[#This Row],[Visit_Time_Hrs]]&lt;=5,"Medium Visit","Full Day"))</f>
        <v>Short Visit</v>
      </c>
      <c r="T127" s="1" t="str">
        <f>IF(Table13[[#This Row],[Airport_50km_Radius]]="Yes","Accessible","Remote")</f>
        <v>Accessible</v>
      </c>
      <c r="U127" s="1" t="str">
        <f>IF(Table13[[#This Row],[Reiew_Rating]]&gt;=4.7,"Yes","No")</f>
        <v>No</v>
      </c>
      <c r="V127" s="1" t="str">
        <f t="shared" si="4"/>
        <v>Leisure &amp; Commerce</v>
      </c>
      <c r="W127" s="1" t="str">
        <f t="shared" si="5"/>
        <v>★★★★☆</v>
      </c>
      <c r="X127" s="1" t="str">
        <f t="shared" si="6"/>
        <v>4 / 5 Stars</v>
      </c>
      <c r="Y127" s="1" t="str">
        <f t="shared" si="7"/>
        <v>Low Traffic</v>
      </c>
    </row>
    <row r="128" spans="1:25" x14ac:dyDescent="0.3">
      <c r="A128" s="2" t="s">
        <v>62</v>
      </c>
      <c r="B128" s="2" t="s">
        <v>63</v>
      </c>
      <c r="C128" s="2" t="s">
        <v>284</v>
      </c>
      <c r="D128" s="2" t="s">
        <v>285</v>
      </c>
      <c r="E128" s="2" t="s">
        <v>27</v>
      </c>
      <c r="F128" s="1">
        <v>1922</v>
      </c>
      <c r="G128" s="1">
        <v>1.5</v>
      </c>
      <c r="H128" s="1">
        <v>4.7</v>
      </c>
      <c r="I128" s="1" t="str">
        <f>IF(Table13[[#This Row],[Reiew_Rating]]&gt;=4.5,"Excellent",
IF(Table13[[#This Row],[Reiew_Rating]]&gt;=4,"Good","Average"))</f>
        <v>Excellent</v>
      </c>
      <c r="J128" s="1">
        <v>0</v>
      </c>
      <c r="K128" s="1" t="str">
        <f>IF(Table13[[#This Row],[Entrance_Fee_INR]]=0,"Free","Paid")</f>
        <v>Free</v>
      </c>
      <c r="L128" s="2" t="s">
        <v>19</v>
      </c>
      <c r="M128" s="2" t="s">
        <v>40</v>
      </c>
      <c r="N128" s="2" t="s">
        <v>28</v>
      </c>
      <c r="O128" s="2" t="s">
        <v>29</v>
      </c>
      <c r="P128" s="3">
        <v>0.69</v>
      </c>
      <c r="Q128" s="2" t="s">
        <v>51</v>
      </c>
      <c r="R128" s="1" t="str">
        <f>IF(Table13[[#This Row],[Number_Review_Lakhs]]&gt;=1,"Highly Popular", IF(Table13[[#This Row],[Number_Review_Lakhs]]&gt;=0.5,"Popular","Less Popular"))</f>
        <v>Popular</v>
      </c>
      <c r="S128" s="1" t="str">
        <f>IF(Table13[[#This Row],[Visit_Time_Hrs]]&lt;=2,"Short Visit", IF(Table13[[#This Row],[Visit_Time_Hrs]]&lt;=5,"Medium Visit","Full Day"))</f>
        <v>Short Visit</v>
      </c>
      <c r="T128" s="1" t="str">
        <f>IF(Table13[[#This Row],[Airport_50km_Radius]]="Yes","Accessible","Remote")</f>
        <v>Accessible</v>
      </c>
      <c r="U128" s="1" t="str">
        <f>IF(Table13[[#This Row],[Reiew_Rating]]&gt;=4.7,"Yes","No")</f>
        <v>Yes</v>
      </c>
      <c r="V128" s="1" t="str">
        <f t="shared" si="4"/>
        <v>Heritage &amp; Culture</v>
      </c>
      <c r="W128" s="1" t="str">
        <f t="shared" si="5"/>
        <v>★★★★★</v>
      </c>
      <c r="X128" s="1" t="str">
        <f t="shared" si="6"/>
        <v>5 / 5 Stars</v>
      </c>
      <c r="Y128" s="1" t="str">
        <f t="shared" si="7"/>
        <v>Medium Traffic</v>
      </c>
    </row>
    <row r="129" spans="1:25" x14ac:dyDescent="0.3">
      <c r="A129" s="2" t="s">
        <v>62</v>
      </c>
      <c r="B129" s="2" t="s">
        <v>63</v>
      </c>
      <c r="C129" s="2" t="s">
        <v>286</v>
      </c>
      <c r="D129" s="2" t="s">
        <v>287</v>
      </c>
      <c r="E129" s="2" t="s">
        <v>79</v>
      </c>
      <c r="F129" s="1">
        <v>1896</v>
      </c>
      <c r="G129" s="1">
        <v>1.5</v>
      </c>
      <c r="H129" s="1">
        <v>4.2</v>
      </c>
      <c r="I129" s="1" t="str">
        <f>IF(Table13[[#This Row],[Reiew_Rating]]&gt;=4.5,"Excellent",
IF(Table13[[#This Row],[Reiew_Rating]]&gt;=4,"Good","Average"))</f>
        <v>Good</v>
      </c>
      <c r="J129" s="1">
        <v>0</v>
      </c>
      <c r="K129" s="1" t="str">
        <f>IF(Table13[[#This Row],[Entrance_Fee_INR]]=0,"Free","Paid")</f>
        <v>Free</v>
      </c>
      <c r="L129" s="2" t="s">
        <v>19</v>
      </c>
      <c r="M129" s="2" t="s">
        <v>40</v>
      </c>
      <c r="N129" s="2" t="s">
        <v>80</v>
      </c>
      <c r="O129" s="2" t="s">
        <v>19</v>
      </c>
      <c r="P129" s="3">
        <v>0.05</v>
      </c>
      <c r="Q129" s="2" t="s">
        <v>22</v>
      </c>
      <c r="R129" s="1" t="str">
        <f>IF(Table13[[#This Row],[Number_Review_Lakhs]]&gt;=1,"Highly Popular", IF(Table13[[#This Row],[Number_Review_Lakhs]]&gt;=0.5,"Popular","Less Popular"))</f>
        <v>Less Popular</v>
      </c>
      <c r="S129" s="1" t="str">
        <f>IF(Table13[[#This Row],[Visit_Time_Hrs]]&lt;=2,"Short Visit", IF(Table13[[#This Row],[Visit_Time_Hrs]]&lt;=5,"Medium Visit","Full Day"))</f>
        <v>Short Visit</v>
      </c>
      <c r="T129" s="1" t="str">
        <f>IF(Table13[[#This Row],[Airport_50km_Radius]]="Yes","Accessible","Remote")</f>
        <v>Accessible</v>
      </c>
      <c r="U129" s="1" t="str">
        <f>IF(Table13[[#This Row],[Reiew_Rating]]&gt;=4.7,"Yes","No")</f>
        <v>No</v>
      </c>
      <c r="V129" s="1" t="str">
        <f t="shared" si="4"/>
        <v>Leisure &amp; Commerce</v>
      </c>
      <c r="W129" s="1" t="str">
        <f t="shared" si="5"/>
        <v>★★★★☆</v>
      </c>
      <c r="X129" s="1" t="str">
        <f t="shared" si="6"/>
        <v>4 / 5 Stars</v>
      </c>
      <c r="Y129" s="1" t="str">
        <f t="shared" si="7"/>
        <v>Low Traffic</v>
      </c>
    </row>
    <row r="130" spans="1:25" x14ac:dyDescent="0.3">
      <c r="A130" s="2" t="s">
        <v>62</v>
      </c>
      <c r="B130" s="2" t="s">
        <v>63</v>
      </c>
      <c r="C130" s="2" t="s">
        <v>288</v>
      </c>
      <c r="D130" s="2" t="s">
        <v>289</v>
      </c>
      <c r="E130" s="2" t="s">
        <v>27</v>
      </c>
      <c r="F130" s="1">
        <v>1600</v>
      </c>
      <c r="G130" s="1">
        <v>1</v>
      </c>
      <c r="H130" s="1">
        <v>4.7</v>
      </c>
      <c r="I130" s="1" t="str">
        <f>IF(Table13[[#This Row],[Reiew_Rating]]&gt;=4.5,"Excellent",
IF(Table13[[#This Row],[Reiew_Rating]]&gt;=4,"Good","Average"))</f>
        <v>Excellent</v>
      </c>
      <c r="J130" s="1">
        <v>0</v>
      </c>
      <c r="K130" s="1" t="str">
        <f>IF(Table13[[#This Row],[Entrance_Fee_INR]]=0,"Free","Paid")</f>
        <v>Free</v>
      </c>
      <c r="L130" s="2" t="s">
        <v>29</v>
      </c>
      <c r="M130" s="2" t="s">
        <v>40</v>
      </c>
      <c r="N130" s="2" t="s">
        <v>28</v>
      </c>
      <c r="O130" s="2" t="s">
        <v>29</v>
      </c>
      <c r="P130" s="3">
        <v>0.1</v>
      </c>
      <c r="Q130" s="2" t="s">
        <v>51</v>
      </c>
      <c r="R130" s="1" t="str">
        <f>IF(Table13[[#This Row],[Number_Review_Lakhs]]&gt;=1,"Highly Popular", IF(Table13[[#This Row],[Number_Review_Lakhs]]&gt;=0.5,"Popular","Less Popular"))</f>
        <v>Less Popular</v>
      </c>
      <c r="S130" s="1" t="str">
        <f>IF(Table13[[#This Row],[Visit_Time_Hrs]]&lt;=2,"Short Visit", IF(Table13[[#This Row],[Visit_Time_Hrs]]&lt;=5,"Medium Visit","Full Day"))</f>
        <v>Short Visit</v>
      </c>
      <c r="T130" s="1" t="str">
        <f>IF(Table13[[#This Row],[Airport_50km_Radius]]="Yes","Accessible","Remote")</f>
        <v>Remote</v>
      </c>
      <c r="U130" s="1" t="str">
        <f>IF(Table13[[#This Row],[Reiew_Rating]]&gt;=4.7,"Yes","No")</f>
        <v>Yes</v>
      </c>
      <c r="V130" s="1" t="str">
        <f t="shared" ref="V130:V193" si="8">IF(OR(N130="Historical",N130="Artistic",N130="Religious",N130="Architectural"), "Heritage &amp; Culture",
IF(OR(N130="Environmental",N130="Botanical",N130="Scenic",N130="Wildlife",N130="Nature"), "Nature &amp; Wildlife",
IF(OR(N130="Recreational",N130="Market",N130="Entertainment"), "Leisure &amp; Commerce",
IF(N130="Scientific", "Science &amp; Education", "Other"))))</f>
        <v>Heritage &amp; Culture</v>
      </c>
      <c r="W130" s="1" t="str">
        <f t="shared" ref="W130:W193" si="9">REPT("★", ROUND(H130, 0)) &amp; REPT("☆", 5 - ROUND(H130, 0))</f>
        <v>★★★★★</v>
      </c>
      <c r="X130" s="1" t="str">
        <f t="shared" ref="X130:X193" si="10">ROUND(H130, 0) &amp; " / 5 Stars"</f>
        <v>5 / 5 Stars</v>
      </c>
      <c r="Y130" s="1" t="str">
        <f t="shared" ref="Y130:Y193" si="11">IF(P130&gt;=1.5, "High Traffic", IF(P130&gt;=0.4, "Medium Traffic", "Low Traffic"))</f>
        <v>Low Traffic</v>
      </c>
    </row>
    <row r="131" spans="1:25" x14ac:dyDescent="0.3">
      <c r="A131" s="2" t="s">
        <v>62</v>
      </c>
      <c r="B131" s="2" t="s">
        <v>63</v>
      </c>
      <c r="C131" s="2" t="s">
        <v>290</v>
      </c>
      <c r="D131" s="2" t="s">
        <v>291</v>
      </c>
      <c r="E131" s="2" t="s">
        <v>59</v>
      </c>
      <c r="F131" s="1">
        <v>2001</v>
      </c>
      <c r="G131" s="1">
        <v>1</v>
      </c>
      <c r="H131" s="1">
        <v>4.5</v>
      </c>
      <c r="I131" s="1" t="str">
        <f>IF(Table13[[#This Row],[Reiew_Rating]]&gt;=4.5,"Excellent",
IF(Table13[[#This Row],[Reiew_Rating]]&gt;=4,"Good","Average"))</f>
        <v>Excellent</v>
      </c>
      <c r="J131" s="1">
        <v>0</v>
      </c>
      <c r="K131" s="1" t="str">
        <f>IF(Table13[[#This Row],[Entrance_Fee_INR]]=0,"Free","Paid")</f>
        <v>Free</v>
      </c>
      <c r="L131" s="2" t="s">
        <v>19</v>
      </c>
      <c r="M131" s="2" t="s">
        <v>57</v>
      </c>
      <c r="N131" s="2" t="s">
        <v>28</v>
      </c>
      <c r="O131" s="2" t="s">
        <v>19</v>
      </c>
      <c r="P131" s="3">
        <v>0.11</v>
      </c>
      <c r="Q131" s="2" t="s">
        <v>25</v>
      </c>
      <c r="R131" s="1" t="str">
        <f>IF(Table13[[#This Row],[Number_Review_Lakhs]]&gt;=1,"Highly Popular", IF(Table13[[#This Row],[Number_Review_Lakhs]]&gt;=0.5,"Popular","Less Popular"))</f>
        <v>Less Popular</v>
      </c>
      <c r="S131" s="1" t="str">
        <f>IF(Table13[[#This Row],[Visit_Time_Hrs]]&lt;=2,"Short Visit", IF(Table13[[#This Row],[Visit_Time_Hrs]]&lt;=5,"Medium Visit","Full Day"))</f>
        <v>Short Visit</v>
      </c>
      <c r="T131" s="1" t="str">
        <f>IF(Table13[[#This Row],[Airport_50km_Radius]]="Yes","Accessible","Remote")</f>
        <v>Accessible</v>
      </c>
      <c r="U131" s="1" t="str">
        <f>IF(Table13[[#This Row],[Reiew_Rating]]&gt;=4.7,"Yes","No")</f>
        <v>No</v>
      </c>
      <c r="V131" s="1" t="str">
        <f t="shared" si="8"/>
        <v>Heritage &amp; Culture</v>
      </c>
      <c r="W131" s="1" t="str">
        <f t="shared" si="9"/>
        <v>★★★★★</v>
      </c>
      <c r="X131" s="1" t="str">
        <f t="shared" si="10"/>
        <v>5 / 5 Stars</v>
      </c>
      <c r="Y131" s="1" t="str">
        <f t="shared" si="11"/>
        <v>Low Traffic</v>
      </c>
    </row>
    <row r="132" spans="1:25" x14ac:dyDescent="0.3">
      <c r="A132" s="2" t="s">
        <v>62</v>
      </c>
      <c r="B132" s="2" t="s">
        <v>63</v>
      </c>
      <c r="C132" s="2" t="s">
        <v>292</v>
      </c>
      <c r="D132" s="2" t="s">
        <v>293</v>
      </c>
      <c r="E132" s="2" t="s">
        <v>27</v>
      </c>
      <c r="F132" s="1">
        <v>700</v>
      </c>
      <c r="G132" s="1">
        <v>1</v>
      </c>
      <c r="H132" s="1">
        <v>4.8</v>
      </c>
      <c r="I132" s="1" t="str">
        <f>IF(Table13[[#This Row],[Reiew_Rating]]&gt;=4.5,"Excellent",
IF(Table13[[#This Row],[Reiew_Rating]]&gt;=4,"Good","Average"))</f>
        <v>Excellent</v>
      </c>
      <c r="J132" s="1">
        <v>0</v>
      </c>
      <c r="K132" s="1" t="str">
        <f>IF(Table13[[#This Row],[Entrance_Fee_INR]]=0,"Free","Paid")</f>
        <v>Free</v>
      </c>
      <c r="L132" s="2" t="s">
        <v>19</v>
      </c>
      <c r="M132" s="2" t="s">
        <v>57</v>
      </c>
      <c r="N132" s="2" t="s">
        <v>28</v>
      </c>
      <c r="O132" s="2" t="s">
        <v>29</v>
      </c>
      <c r="P132" s="3">
        <v>0.9</v>
      </c>
      <c r="Q132" s="2" t="s">
        <v>51</v>
      </c>
      <c r="R132" s="1" t="str">
        <f>IF(Table13[[#This Row],[Number_Review_Lakhs]]&gt;=1,"Highly Popular", IF(Table13[[#This Row],[Number_Review_Lakhs]]&gt;=0.5,"Popular","Less Popular"))</f>
        <v>Popular</v>
      </c>
      <c r="S132" s="1" t="str">
        <f>IF(Table13[[#This Row],[Visit_Time_Hrs]]&lt;=2,"Short Visit", IF(Table13[[#This Row],[Visit_Time_Hrs]]&lt;=5,"Medium Visit","Full Day"))</f>
        <v>Short Visit</v>
      </c>
      <c r="T132" s="1" t="str">
        <f>IF(Table13[[#This Row],[Airport_50km_Radius]]="Yes","Accessible","Remote")</f>
        <v>Accessible</v>
      </c>
      <c r="U132" s="1" t="str">
        <f>IF(Table13[[#This Row],[Reiew_Rating]]&gt;=4.7,"Yes","No")</f>
        <v>Yes</v>
      </c>
      <c r="V132" s="1" t="str">
        <f t="shared" si="8"/>
        <v>Heritage &amp; Culture</v>
      </c>
      <c r="W132" s="1" t="str">
        <f t="shared" si="9"/>
        <v>★★★★★</v>
      </c>
      <c r="X132" s="1" t="str">
        <f t="shared" si="10"/>
        <v>5 / 5 Stars</v>
      </c>
      <c r="Y132" s="1" t="str">
        <f t="shared" si="11"/>
        <v>Medium Traffic</v>
      </c>
    </row>
    <row r="133" spans="1:25" x14ac:dyDescent="0.3">
      <c r="A133" s="2" t="s">
        <v>62</v>
      </c>
      <c r="B133" s="2" t="s">
        <v>63</v>
      </c>
      <c r="C133" s="2" t="s">
        <v>85</v>
      </c>
      <c r="D133" s="2" t="s">
        <v>294</v>
      </c>
      <c r="E133" s="2" t="s">
        <v>263</v>
      </c>
      <c r="F133" s="1">
        <v>200</v>
      </c>
      <c r="G133" s="1">
        <v>1.5</v>
      </c>
      <c r="H133" s="1">
        <v>4.4000000000000004</v>
      </c>
      <c r="I133" s="1" t="str">
        <f>IF(Table13[[#This Row],[Reiew_Rating]]&gt;=4.5,"Excellent",
IF(Table13[[#This Row],[Reiew_Rating]]&gt;=4,"Good","Average"))</f>
        <v>Good</v>
      </c>
      <c r="J133" s="1">
        <v>25</v>
      </c>
      <c r="K133" s="1" t="str">
        <f>IF(Table13[[#This Row],[Entrance_Fee_INR]]=0,"Free","Paid")</f>
        <v>Paid</v>
      </c>
      <c r="L133" s="2" t="s">
        <v>19</v>
      </c>
      <c r="M133" s="2" t="s">
        <v>19</v>
      </c>
      <c r="N133" s="2" t="s">
        <v>21</v>
      </c>
      <c r="O133" s="2" t="s">
        <v>19</v>
      </c>
      <c r="P133" s="3">
        <v>0.27</v>
      </c>
      <c r="Q133" s="2" t="s">
        <v>25</v>
      </c>
      <c r="R133" s="1" t="str">
        <f>IF(Table13[[#This Row],[Number_Review_Lakhs]]&gt;=1,"Highly Popular", IF(Table13[[#This Row],[Number_Review_Lakhs]]&gt;=0.5,"Popular","Less Popular"))</f>
        <v>Less Popular</v>
      </c>
      <c r="S133" s="1" t="str">
        <f>IF(Table13[[#This Row],[Visit_Time_Hrs]]&lt;=2,"Short Visit", IF(Table13[[#This Row],[Visit_Time_Hrs]]&lt;=5,"Medium Visit","Full Day"))</f>
        <v>Short Visit</v>
      </c>
      <c r="T133" s="1" t="str">
        <f>IF(Table13[[#This Row],[Airport_50km_Radius]]="Yes","Accessible","Remote")</f>
        <v>Accessible</v>
      </c>
      <c r="U133" s="1" t="str">
        <f>IF(Table13[[#This Row],[Reiew_Rating]]&gt;=4.7,"Yes","No")</f>
        <v>No</v>
      </c>
      <c r="V133" s="1" t="str">
        <f t="shared" si="8"/>
        <v>Heritage &amp; Culture</v>
      </c>
      <c r="W133" s="1" t="str">
        <f t="shared" si="9"/>
        <v>★★★★☆</v>
      </c>
      <c r="X133" s="1" t="str">
        <f t="shared" si="10"/>
        <v>4 / 5 Stars</v>
      </c>
      <c r="Y133" s="1" t="str">
        <f t="shared" si="11"/>
        <v>Low Traffic</v>
      </c>
    </row>
    <row r="134" spans="1:25" x14ac:dyDescent="0.3">
      <c r="A134" s="2" t="s">
        <v>62</v>
      </c>
      <c r="B134" s="2" t="s">
        <v>295</v>
      </c>
      <c r="C134" s="2" t="s">
        <v>296</v>
      </c>
      <c r="D134" s="2" t="s">
        <v>297</v>
      </c>
      <c r="E134" s="2" t="s">
        <v>79</v>
      </c>
      <c r="F134" s="1">
        <v>1625</v>
      </c>
      <c r="G134" s="1">
        <v>2</v>
      </c>
      <c r="H134" s="1">
        <v>4.5999999999999996</v>
      </c>
      <c r="I134" s="1" t="str">
        <f>IF(Table13[[#This Row],[Reiew_Rating]]&gt;=4.5,"Excellent",
IF(Table13[[#This Row],[Reiew_Rating]]&gt;=4,"Good","Average"))</f>
        <v>Excellent</v>
      </c>
      <c r="J134" s="1">
        <v>0</v>
      </c>
      <c r="K134" s="1" t="str">
        <f>IF(Table13[[#This Row],[Entrance_Fee_INR]]=0,"Free","Paid")</f>
        <v>Free</v>
      </c>
      <c r="L134" s="2" t="s">
        <v>29</v>
      </c>
      <c r="M134" s="2" t="s">
        <v>57</v>
      </c>
      <c r="N134" s="2" t="s">
        <v>80</v>
      </c>
      <c r="O134" s="2" t="s">
        <v>19</v>
      </c>
      <c r="P134" s="3">
        <v>6.5000000000000002E-2</v>
      </c>
      <c r="Q134" s="2" t="s">
        <v>22</v>
      </c>
      <c r="R134" s="1" t="str">
        <f>IF(Table13[[#This Row],[Number_Review_Lakhs]]&gt;=1,"Highly Popular", IF(Table13[[#This Row],[Number_Review_Lakhs]]&gt;=0.5,"Popular","Less Popular"))</f>
        <v>Less Popular</v>
      </c>
      <c r="S134" s="1" t="str">
        <f>IF(Table13[[#This Row],[Visit_Time_Hrs]]&lt;=2,"Short Visit", IF(Table13[[#This Row],[Visit_Time_Hrs]]&lt;=5,"Medium Visit","Full Day"))</f>
        <v>Short Visit</v>
      </c>
      <c r="T134" s="1" t="str">
        <f>IF(Table13[[#This Row],[Airport_50km_Radius]]="Yes","Accessible","Remote")</f>
        <v>Remote</v>
      </c>
      <c r="U134" s="1" t="str">
        <f>IF(Table13[[#This Row],[Reiew_Rating]]&gt;=4.7,"Yes","No")</f>
        <v>No</v>
      </c>
      <c r="V134" s="1" t="str">
        <f t="shared" si="8"/>
        <v>Leisure &amp; Commerce</v>
      </c>
      <c r="W134" s="1" t="str">
        <f t="shared" si="9"/>
        <v>★★★★★</v>
      </c>
      <c r="X134" s="1" t="str">
        <f t="shared" si="10"/>
        <v>5 / 5 Stars</v>
      </c>
      <c r="Y134" s="1" t="str">
        <f t="shared" si="11"/>
        <v>Low Traffic</v>
      </c>
    </row>
    <row r="135" spans="1:25" x14ac:dyDescent="0.3">
      <c r="A135" s="2" t="s">
        <v>62</v>
      </c>
      <c r="B135" s="2" t="s">
        <v>295</v>
      </c>
      <c r="C135" s="2" t="s">
        <v>298</v>
      </c>
      <c r="D135" s="2" t="s">
        <v>299</v>
      </c>
      <c r="E135" s="2" t="s">
        <v>300</v>
      </c>
      <c r="F135" s="1">
        <v>1414</v>
      </c>
      <c r="G135" s="1">
        <v>2</v>
      </c>
      <c r="H135" s="1">
        <v>4.4000000000000004</v>
      </c>
      <c r="I135" s="1" t="str">
        <f>IF(Table13[[#This Row],[Reiew_Rating]]&gt;=4.5,"Excellent",
IF(Table13[[#This Row],[Reiew_Rating]]&gt;=4,"Good","Average"))</f>
        <v>Good</v>
      </c>
      <c r="J135" s="1">
        <v>300</v>
      </c>
      <c r="K135" s="1" t="str">
        <f>IF(Table13[[#This Row],[Entrance_Fee_INR]]=0,"Free","Paid")</f>
        <v>Paid</v>
      </c>
      <c r="L135" s="2" t="s">
        <v>29</v>
      </c>
      <c r="M135" s="2" t="s">
        <v>32</v>
      </c>
      <c r="N135" s="2" t="s">
        <v>94</v>
      </c>
      <c r="O135" s="2" t="s">
        <v>19</v>
      </c>
      <c r="P135" s="3">
        <v>0.05</v>
      </c>
      <c r="Q135" s="2" t="s">
        <v>25</v>
      </c>
      <c r="R135" s="1" t="str">
        <f>IF(Table13[[#This Row],[Number_Review_Lakhs]]&gt;=1,"Highly Popular", IF(Table13[[#This Row],[Number_Review_Lakhs]]&gt;=0.5,"Popular","Less Popular"))</f>
        <v>Less Popular</v>
      </c>
      <c r="S135" s="1" t="str">
        <f>IF(Table13[[#This Row],[Visit_Time_Hrs]]&lt;=2,"Short Visit", IF(Table13[[#This Row],[Visit_Time_Hrs]]&lt;=5,"Medium Visit","Full Day"))</f>
        <v>Short Visit</v>
      </c>
      <c r="T135" s="1" t="str">
        <f>IF(Table13[[#This Row],[Airport_50km_Radius]]="Yes","Accessible","Remote")</f>
        <v>Remote</v>
      </c>
      <c r="U135" s="1" t="str">
        <f>IF(Table13[[#This Row],[Reiew_Rating]]&gt;=4.7,"Yes","No")</f>
        <v>No</v>
      </c>
      <c r="V135" s="1" t="str">
        <f t="shared" si="8"/>
        <v>Nature &amp; Wildlife</v>
      </c>
      <c r="W135" s="1" t="str">
        <f t="shared" si="9"/>
        <v>★★★★☆</v>
      </c>
      <c r="X135" s="1" t="str">
        <f t="shared" si="10"/>
        <v>4 / 5 Stars</v>
      </c>
      <c r="Y135" s="1" t="str">
        <f t="shared" si="11"/>
        <v>Low Traffic</v>
      </c>
    </row>
    <row r="136" spans="1:25" x14ac:dyDescent="0.3">
      <c r="A136" s="2" t="s">
        <v>62</v>
      </c>
      <c r="B136" s="2" t="s">
        <v>295</v>
      </c>
      <c r="C136" s="2" t="s">
        <v>301</v>
      </c>
      <c r="D136" s="2" t="s">
        <v>302</v>
      </c>
      <c r="E136" s="2" t="s">
        <v>247</v>
      </c>
      <c r="F136" s="1">
        <v>1828</v>
      </c>
      <c r="G136" s="1">
        <v>1.5</v>
      </c>
      <c r="H136" s="1">
        <v>4.4000000000000004</v>
      </c>
      <c r="I136" s="1" t="str">
        <f>IF(Table13[[#This Row],[Reiew_Rating]]&gt;=4.5,"Excellent",
IF(Table13[[#This Row],[Reiew_Rating]]&gt;=4,"Good","Average"))</f>
        <v>Good</v>
      </c>
      <c r="J136" s="1">
        <v>0</v>
      </c>
      <c r="K136" s="1" t="str">
        <f>IF(Table13[[#This Row],[Entrance_Fee_INR]]=0,"Free","Paid")</f>
        <v>Free</v>
      </c>
      <c r="L136" s="2" t="s">
        <v>19</v>
      </c>
      <c r="M136" s="2" t="s">
        <v>722</v>
      </c>
      <c r="N136" s="2" t="s">
        <v>94</v>
      </c>
      <c r="O136" s="2" t="s">
        <v>19</v>
      </c>
      <c r="P136" s="3">
        <v>0.02</v>
      </c>
      <c r="Q136" s="2" t="s">
        <v>37</v>
      </c>
      <c r="R136" s="1" t="str">
        <f>IF(Table13[[#This Row],[Number_Review_Lakhs]]&gt;=1,"Highly Popular", IF(Table13[[#This Row],[Number_Review_Lakhs]]&gt;=0.5,"Popular","Less Popular"))</f>
        <v>Less Popular</v>
      </c>
      <c r="S136" s="1" t="str">
        <f>IF(Table13[[#This Row],[Visit_Time_Hrs]]&lt;=2,"Short Visit", IF(Table13[[#This Row],[Visit_Time_Hrs]]&lt;=5,"Medium Visit","Full Day"))</f>
        <v>Short Visit</v>
      </c>
      <c r="T136" s="1" t="str">
        <f>IF(Table13[[#This Row],[Airport_50km_Radius]]="Yes","Accessible","Remote")</f>
        <v>Accessible</v>
      </c>
      <c r="U136" s="1" t="str">
        <f>IF(Table13[[#This Row],[Reiew_Rating]]&gt;=4.7,"Yes","No")</f>
        <v>No</v>
      </c>
      <c r="V136" s="1" t="str">
        <f t="shared" si="8"/>
        <v>Nature &amp; Wildlife</v>
      </c>
      <c r="W136" s="1" t="str">
        <f t="shared" si="9"/>
        <v>★★★★☆</v>
      </c>
      <c r="X136" s="1" t="str">
        <f t="shared" si="10"/>
        <v>4 / 5 Stars</v>
      </c>
      <c r="Y136" s="1" t="str">
        <f t="shared" si="11"/>
        <v>Low Traffic</v>
      </c>
    </row>
    <row r="137" spans="1:25" x14ac:dyDescent="0.3">
      <c r="A137" s="2" t="s">
        <v>62</v>
      </c>
      <c r="B137" s="2" t="s">
        <v>295</v>
      </c>
      <c r="C137" s="2" t="s">
        <v>303</v>
      </c>
      <c r="D137" s="2" t="s">
        <v>304</v>
      </c>
      <c r="E137" s="2" t="s">
        <v>263</v>
      </c>
      <c r="F137" s="1">
        <v>600</v>
      </c>
      <c r="G137" s="1">
        <v>3</v>
      </c>
      <c r="H137" s="1">
        <v>4.7</v>
      </c>
      <c r="I137" s="1" t="str">
        <f>IF(Table13[[#This Row],[Reiew_Rating]]&gt;=4.5,"Excellent",
IF(Table13[[#This Row],[Reiew_Rating]]&gt;=4,"Good","Average"))</f>
        <v>Excellent</v>
      </c>
      <c r="J137" s="1">
        <v>30</v>
      </c>
      <c r="K137" s="1" t="str">
        <f>IF(Table13[[#This Row],[Entrance_Fee_INR]]=0,"Free","Paid")</f>
        <v>Paid</v>
      </c>
      <c r="L137" s="2" t="s">
        <v>19</v>
      </c>
      <c r="M137" s="2" t="s">
        <v>305</v>
      </c>
      <c r="N137" s="2" t="s">
        <v>21</v>
      </c>
      <c r="O137" s="2" t="s">
        <v>19</v>
      </c>
      <c r="P137" s="3">
        <v>0.49</v>
      </c>
      <c r="Q137" s="2" t="s">
        <v>25</v>
      </c>
      <c r="R137" s="1" t="str">
        <f>IF(Table13[[#This Row],[Number_Review_Lakhs]]&gt;=1,"Highly Popular", IF(Table13[[#This Row],[Number_Review_Lakhs]]&gt;=0.5,"Popular","Less Popular"))</f>
        <v>Less Popular</v>
      </c>
      <c r="S137" s="1" t="str">
        <f>IF(Table13[[#This Row],[Visit_Time_Hrs]]&lt;=2,"Short Visit", IF(Table13[[#This Row],[Visit_Time_Hrs]]&lt;=5,"Medium Visit","Full Day"))</f>
        <v>Medium Visit</v>
      </c>
      <c r="T137" s="1" t="str">
        <f>IF(Table13[[#This Row],[Airport_50km_Radius]]="Yes","Accessible","Remote")</f>
        <v>Accessible</v>
      </c>
      <c r="U137" s="1" t="str">
        <f>IF(Table13[[#This Row],[Reiew_Rating]]&gt;=4.7,"Yes","No")</f>
        <v>Yes</v>
      </c>
      <c r="V137" s="1" t="str">
        <f t="shared" si="8"/>
        <v>Heritage &amp; Culture</v>
      </c>
      <c r="W137" s="1" t="str">
        <f t="shared" si="9"/>
        <v>★★★★★</v>
      </c>
      <c r="X137" s="1" t="str">
        <f t="shared" si="10"/>
        <v>5 / 5 Stars</v>
      </c>
      <c r="Y137" s="1" t="str">
        <f t="shared" si="11"/>
        <v>Medium Traffic</v>
      </c>
    </row>
    <row r="138" spans="1:25" x14ac:dyDescent="0.3">
      <c r="A138" s="2" t="s">
        <v>306</v>
      </c>
      <c r="B138" s="2" t="s">
        <v>307</v>
      </c>
      <c r="C138" s="2" t="s">
        <v>308</v>
      </c>
      <c r="D138" s="2" t="s">
        <v>309</v>
      </c>
      <c r="E138" s="2" t="s">
        <v>310</v>
      </c>
      <c r="F138" s="1">
        <v>-850</v>
      </c>
      <c r="G138" s="1">
        <v>2</v>
      </c>
      <c r="H138" s="1">
        <v>4.7</v>
      </c>
      <c r="I138" s="1" t="str">
        <f>IF(Table13[[#This Row],[Reiew_Rating]]&gt;=4.5,"Excellent",
IF(Table13[[#This Row],[Reiew_Rating]]&gt;=4,"Good","Average"))</f>
        <v>Excellent</v>
      </c>
      <c r="J138" s="1">
        <v>40</v>
      </c>
      <c r="K138" s="1" t="str">
        <f>IF(Table13[[#This Row],[Entrance_Fee_INR]]=0,"Free","Paid")</f>
        <v>Paid</v>
      </c>
      <c r="L138" s="2" t="s">
        <v>29</v>
      </c>
      <c r="M138" s="2" t="s">
        <v>722</v>
      </c>
      <c r="N138" s="2" t="s">
        <v>169</v>
      </c>
      <c r="O138" s="2" t="s">
        <v>19</v>
      </c>
      <c r="P138" s="3">
        <v>0.09</v>
      </c>
      <c r="Q138" s="2" t="s">
        <v>25</v>
      </c>
      <c r="R138" s="1" t="str">
        <f>IF(Table13[[#This Row],[Number_Review_Lakhs]]&gt;=1,"Highly Popular", IF(Table13[[#This Row],[Number_Review_Lakhs]]&gt;=0.5,"Popular","Less Popular"))</f>
        <v>Less Popular</v>
      </c>
      <c r="S138" s="1" t="str">
        <f>IF(Table13[[#This Row],[Visit_Time_Hrs]]&lt;=2,"Short Visit", IF(Table13[[#This Row],[Visit_Time_Hrs]]&lt;=5,"Medium Visit","Full Day"))</f>
        <v>Short Visit</v>
      </c>
      <c r="T138" s="1" t="str">
        <f>IF(Table13[[#This Row],[Airport_50km_Radius]]="Yes","Accessible","Remote")</f>
        <v>Remote</v>
      </c>
      <c r="U138" s="1" t="str">
        <f>IF(Table13[[#This Row],[Reiew_Rating]]&gt;=4.7,"Yes","No")</f>
        <v>Yes</v>
      </c>
      <c r="V138" s="1" t="str">
        <f t="shared" si="8"/>
        <v>Other</v>
      </c>
      <c r="W138" s="1" t="str">
        <f t="shared" si="9"/>
        <v>★★★★★</v>
      </c>
      <c r="X138" s="1" t="str">
        <f t="shared" si="10"/>
        <v>5 / 5 Stars</v>
      </c>
      <c r="Y138" s="1" t="str">
        <f t="shared" si="11"/>
        <v>Low Traffic</v>
      </c>
    </row>
    <row r="139" spans="1:25" x14ac:dyDescent="0.3">
      <c r="A139" s="2" t="s">
        <v>306</v>
      </c>
      <c r="B139" s="2" t="s">
        <v>307</v>
      </c>
      <c r="C139" s="2" t="s">
        <v>311</v>
      </c>
      <c r="D139" s="2" t="s">
        <v>312</v>
      </c>
      <c r="E139" s="2" t="s">
        <v>59</v>
      </c>
      <c r="F139" s="1">
        <v>-300</v>
      </c>
      <c r="G139" s="1">
        <v>1.5</v>
      </c>
      <c r="H139" s="1">
        <v>4.7</v>
      </c>
      <c r="I139" s="1" t="str">
        <f>IF(Table13[[#This Row],[Reiew_Rating]]&gt;=4.5,"Excellent",
IF(Table13[[#This Row],[Reiew_Rating]]&gt;=4,"Good","Average"))</f>
        <v>Excellent</v>
      </c>
      <c r="J139" s="1">
        <v>30</v>
      </c>
      <c r="K139" s="1" t="str">
        <f>IF(Table13[[#This Row],[Entrance_Fee_INR]]=0,"Free","Paid")</f>
        <v>Paid</v>
      </c>
      <c r="L139" s="2" t="s">
        <v>19</v>
      </c>
      <c r="M139" s="2" t="s">
        <v>722</v>
      </c>
      <c r="N139" s="2" t="s">
        <v>21</v>
      </c>
      <c r="O139" s="2" t="s">
        <v>19</v>
      </c>
      <c r="P139" s="3">
        <v>0.01</v>
      </c>
      <c r="Q139" s="2" t="s">
        <v>25</v>
      </c>
      <c r="R139" s="1" t="str">
        <f>IF(Table13[[#This Row],[Number_Review_Lakhs]]&gt;=1,"Highly Popular", IF(Table13[[#This Row],[Number_Review_Lakhs]]&gt;=0.5,"Popular","Less Popular"))</f>
        <v>Less Popular</v>
      </c>
      <c r="S139" s="1" t="str">
        <f>IF(Table13[[#This Row],[Visit_Time_Hrs]]&lt;=2,"Short Visit", IF(Table13[[#This Row],[Visit_Time_Hrs]]&lt;=5,"Medium Visit","Full Day"))</f>
        <v>Short Visit</v>
      </c>
      <c r="T139" s="1" t="str">
        <f>IF(Table13[[#This Row],[Airport_50km_Radius]]="Yes","Accessible","Remote")</f>
        <v>Accessible</v>
      </c>
      <c r="U139" s="1" t="str">
        <f>IF(Table13[[#This Row],[Reiew_Rating]]&gt;=4.7,"Yes","No")</f>
        <v>Yes</v>
      </c>
      <c r="V139" s="1" t="str">
        <f t="shared" si="8"/>
        <v>Heritage &amp; Culture</v>
      </c>
      <c r="W139" s="1" t="str">
        <f t="shared" si="9"/>
        <v>★★★★★</v>
      </c>
      <c r="X139" s="1" t="str">
        <f t="shared" si="10"/>
        <v>5 / 5 Stars</v>
      </c>
      <c r="Y139" s="1" t="str">
        <f t="shared" si="11"/>
        <v>Low Traffic</v>
      </c>
    </row>
    <row r="140" spans="1:25" x14ac:dyDescent="0.3">
      <c r="A140" s="2" t="s">
        <v>306</v>
      </c>
      <c r="B140" s="2" t="s">
        <v>307</v>
      </c>
      <c r="C140" s="2" t="s">
        <v>313</v>
      </c>
      <c r="D140" s="2" t="s">
        <v>314</v>
      </c>
      <c r="E140" s="2" t="s">
        <v>91</v>
      </c>
      <c r="F140" s="1">
        <v>1747</v>
      </c>
      <c r="G140" s="1">
        <v>1</v>
      </c>
      <c r="H140" s="1">
        <v>4.4000000000000004</v>
      </c>
      <c r="I140" s="1" t="str">
        <f>IF(Table13[[#This Row],[Reiew_Rating]]&gt;=4.5,"Excellent",
IF(Table13[[#This Row],[Reiew_Rating]]&gt;=4,"Good","Average"))</f>
        <v>Good</v>
      </c>
      <c r="J140" s="1">
        <v>10</v>
      </c>
      <c r="K140" s="1" t="str">
        <f>IF(Table13[[#This Row],[Entrance_Fee_INR]]=0,"Free","Paid")</f>
        <v>Paid</v>
      </c>
      <c r="L140" s="2" t="s">
        <v>19</v>
      </c>
      <c r="M140" s="2" t="s">
        <v>40</v>
      </c>
      <c r="N140" s="2" t="s">
        <v>21</v>
      </c>
      <c r="O140" s="2" t="s">
        <v>19</v>
      </c>
      <c r="P140" s="3">
        <v>0.63</v>
      </c>
      <c r="Q140" s="2" t="s">
        <v>25</v>
      </c>
      <c r="R140" s="1" t="str">
        <f>IF(Table13[[#This Row],[Number_Review_Lakhs]]&gt;=1,"Highly Popular", IF(Table13[[#This Row],[Number_Review_Lakhs]]&gt;=0.5,"Popular","Less Popular"))</f>
        <v>Popular</v>
      </c>
      <c r="S140" s="1" t="str">
        <f>IF(Table13[[#This Row],[Visit_Time_Hrs]]&lt;=2,"Short Visit", IF(Table13[[#This Row],[Visit_Time_Hrs]]&lt;=5,"Medium Visit","Full Day"))</f>
        <v>Short Visit</v>
      </c>
      <c r="T140" s="1" t="str">
        <f>IF(Table13[[#This Row],[Airport_50km_Radius]]="Yes","Accessible","Remote")</f>
        <v>Accessible</v>
      </c>
      <c r="U140" s="1" t="str">
        <f>IF(Table13[[#This Row],[Reiew_Rating]]&gt;=4.7,"Yes","No")</f>
        <v>No</v>
      </c>
      <c r="V140" s="1" t="str">
        <f t="shared" si="8"/>
        <v>Heritage &amp; Culture</v>
      </c>
      <c r="W140" s="1" t="str">
        <f t="shared" si="9"/>
        <v>★★★★☆</v>
      </c>
      <c r="X140" s="1" t="str">
        <f t="shared" si="10"/>
        <v>4 / 5 Stars</v>
      </c>
      <c r="Y140" s="1" t="str">
        <f t="shared" si="11"/>
        <v>Medium Traffic</v>
      </c>
    </row>
    <row r="141" spans="1:25" x14ac:dyDescent="0.3">
      <c r="A141" s="2" t="s">
        <v>306</v>
      </c>
      <c r="B141" s="2" t="s">
        <v>307</v>
      </c>
      <c r="C141" s="2" t="s">
        <v>315</v>
      </c>
      <c r="D141" s="2" t="s">
        <v>316</v>
      </c>
      <c r="E141" s="2" t="s">
        <v>43</v>
      </c>
      <c r="F141" s="1">
        <v>900</v>
      </c>
      <c r="G141" s="1">
        <v>2.5</v>
      </c>
      <c r="H141" s="1">
        <v>4.5</v>
      </c>
      <c r="I141" s="1" t="str">
        <f>IF(Table13[[#This Row],[Reiew_Rating]]&gt;=4.5,"Excellent",
IF(Table13[[#This Row],[Reiew_Rating]]&gt;=4,"Good","Average"))</f>
        <v>Excellent</v>
      </c>
      <c r="J141" s="1">
        <v>75</v>
      </c>
      <c r="K141" s="1" t="str">
        <f>IF(Table13[[#This Row],[Entrance_Fee_INR]]=0,"Free","Paid")</f>
        <v>Paid</v>
      </c>
      <c r="L141" s="2" t="s">
        <v>19</v>
      </c>
      <c r="M141" s="2" t="s">
        <v>57</v>
      </c>
      <c r="N141" s="2" t="s">
        <v>21</v>
      </c>
      <c r="O141" s="2" t="s">
        <v>19</v>
      </c>
      <c r="P141" s="3">
        <v>0.4</v>
      </c>
      <c r="Q141" s="2" t="s">
        <v>37</v>
      </c>
      <c r="R141" s="1" t="str">
        <f>IF(Table13[[#This Row],[Number_Review_Lakhs]]&gt;=1,"Highly Popular", IF(Table13[[#This Row],[Number_Review_Lakhs]]&gt;=0.5,"Popular","Less Popular"))</f>
        <v>Less Popular</v>
      </c>
      <c r="S141" s="1" t="str">
        <f>IF(Table13[[#This Row],[Visit_Time_Hrs]]&lt;=2,"Short Visit", IF(Table13[[#This Row],[Visit_Time_Hrs]]&lt;=5,"Medium Visit","Full Day"))</f>
        <v>Medium Visit</v>
      </c>
      <c r="T141" s="1" t="str">
        <f>IF(Table13[[#This Row],[Airport_50km_Radius]]="Yes","Accessible","Remote")</f>
        <v>Accessible</v>
      </c>
      <c r="U141" s="1" t="str">
        <f>IF(Table13[[#This Row],[Reiew_Rating]]&gt;=4.7,"Yes","No")</f>
        <v>No</v>
      </c>
      <c r="V141" s="1" t="str">
        <f t="shared" si="8"/>
        <v>Heritage &amp; Culture</v>
      </c>
      <c r="W141" s="1" t="str">
        <f t="shared" si="9"/>
        <v>★★★★★</v>
      </c>
      <c r="X141" s="1" t="str">
        <f t="shared" si="10"/>
        <v>5 / 5 Stars</v>
      </c>
      <c r="Y141" s="1" t="str">
        <f t="shared" si="11"/>
        <v>Medium Traffic</v>
      </c>
    </row>
    <row r="142" spans="1:25" x14ac:dyDescent="0.3">
      <c r="A142" s="2" t="s">
        <v>306</v>
      </c>
      <c r="B142" s="2" t="s">
        <v>307</v>
      </c>
      <c r="C142" s="2" t="s">
        <v>317</v>
      </c>
      <c r="D142" s="2" t="s">
        <v>318</v>
      </c>
      <c r="E142" s="2" t="s">
        <v>27</v>
      </c>
      <c r="F142" s="1">
        <v>-3500</v>
      </c>
      <c r="G142" s="1">
        <v>1.5</v>
      </c>
      <c r="H142" s="1">
        <v>4.8</v>
      </c>
      <c r="I142" s="1" t="str">
        <f>IF(Table13[[#This Row],[Reiew_Rating]]&gt;=4.5,"Excellent",
IF(Table13[[#This Row],[Reiew_Rating]]&gt;=4,"Good","Average"))</f>
        <v>Excellent</v>
      </c>
      <c r="J142" s="1">
        <v>0</v>
      </c>
      <c r="K142" s="1" t="str">
        <f>IF(Table13[[#This Row],[Entrance_Fee_INR]]=0,"Free","Paid")</f>
        <v>Free</v>
      </c>
      <c r="L142" s="2" t="s">
        <v>19</v>
      </c>
      <c r="M142" s="2" t="s">
        <v>40</v>
      </c>
      <c r="N142" s="2" t="s">
        <v>28</v>
      </c>
      <c r="O142" s="2" t="s">
        <v>29</v>
      </c>
      <c r="P142" s="3">
        <v>1.2</v>
      </c>
      <c r="Q142" s="2" t="s">
        <v>51</v>
      </c>
      <c r="R142" s="1" t="str">
        <f>IF(Table13[[#This Row],[Number_Review_Lakhs]]&gt;=1,"Highly Popular", IF(Table13[[#This Row],[Number_Review_Lakhs]]&gt;=0.5,"Popular","Less Popular"))</f>
        <v>Highly Popular</v>
      </c>
      <c r="S142" s="1" t="str">
        <f>IF(Table13[[#This Row],[Visit_Time_Hrs]]&lt;=2,"Short Visit", IF(Table13[[#This Row],[Visit_Time_Hrs]]&lt;=5,"Medium Visit","Full Day"))</f>
        <v>Short Visit</v>
      </c>
      <c r="T142" s="1" t="str">
        <f>IF(Table13[[#This Row],[Airport_50km_Radius]]="Yes","Accessible","Remote")</f>
        <v>Accessible</v>
      </c>
      <c r="U142" s="1" t="str">
        <f>IF(Table13[[#This Row],[Reiew_Rating]]&gt;=4.7,"Yes","No")</f>
        <v>Yes</v>
      </c>
      <c r="V142" s="1" t="str">
        <f t="shared" si="8"/>
        <v>Heritage &amp; Culture</v>
      </c>
      <c r="W142" s="1" t="str">
        <f t="shared" si="9"/>
        <v>★★★★★</v>
      </c>
      <c r="X142" s="1" t="str">
        <f t="shared" si="10"/>
        <v>5 / 5 Stars</v>
      </c>
      <c r="Y142" s="1" t="str">
        <f t="shared" si="11"/>
        <v>Medium Traffic</v>
      </c>
    </row>
    <row r="143" spans="1:25" x14ac:dyDescent="0.3">
      <c r="A143" s="2" t="s">
        <v>306</v>
      </c>
      <c r="B143" s="2" t="s">
        <v>307</v>
      </c>
      <c r="C143" s="2" t="s">
        <v>319</v>
      </c>
      <c r="D143" s="2" t="s">
        <v>320</v>
      </c>
      <c r="E143" s="2" t="s">
        <v>142</v>
      </c>
      <c r="F143" s="1">
        <v>1602</v>
      </c>
      <c r="G143" s="1">
        <v>1</v>
      </c>
      <c r="H143" s="1">
        <v>4.5</v>
      </c>
      <c r="I143" s="1" t="str">
        <f>IF(Table13[[#This Row],[Reiew_Rating]]&gt;=4.5,"Excellent",
IF(Table13[[#This Row],[Reiew_Rating]]&gt;=4,"Good","Average"))</f>
        <v>Excellent</v>
      </c>
      <c r="J143" s="1">
        <v>0</v>
      </c>
      <c r="K143" s="1" t="str">
        <f>IF(Table13[[#This Row],[Entrance_Fee_INR]]=0,"Free","Paid")</f>
        <v>Free</v>
      </c>
      <c r="L143" s="2" t="s">
        <v>29</v>
      </c>
      <c r="M143" s="2" t="s">
        <v>721</v>
      </c>
      <c r="N143" s="2" t="s">
        <v>94</v>
      </c>
      <c r="O143" s="2" t="s">
        <v>19</v>
      </c>
      <c r="P143" s="3">
        <v>0.01</v>
      </c>
      <c r="Q143" s="2" t="s">
        <v>37</v>
      </c>
      <c r="R143" s="1" t="str">
        <f>IF(Table13[[#This Row],[Number_Review_Lakhs]]&gt;=1,"Highly Popular", IF(Table13[[#This Row],[Number_Review_Lakhs]]&gt;=0.5,"Popular","Less Popular"))</f>
        <v>Less Popular</v>
      </c>
      <c r="S143" s="1" t="str">
        <f>IF(Table13[[#This Row],[Visit_Time_Hrs]]&lt;=2,"Short Visit", IF(Table13[[#This Row],[Visit_Time_Hrs]]&lt;=5,"Medium Visit","Full Day"))</f>
        <v>Short Visit</v>
      </c>
      <c r="T143" s="1" t="str">
        <f>IF(Table13[[#This Row],[Airport_50km_Radius]]="Yes","Accessible","Remote")</f>
        <v>Remote</v>
      </c>
      <c r="U143" s="1" t="str">
        <f>IF(Table13[[#This Row],[Reiew_Rating]]&gt;=4.7,"Yes","No")</f>
        <v>No</v>
      </c>
      <c r="V143" s="1" t="str">
        <f t="shared" si="8"/>
        <v>Nature &amp; Wildlife</v>
      </c>
      <c r="W143" s="1" t="str">
        <f t="shared" si="9"/>
        <v>★★★★★</v>
      </c>
      <c r="X143" s="1" t="str">
        <f t="shared" si="10"/>
        <v>5 / 5 Stars</v>
      </c>
      <c r="Y143" s="1" t="str">
        <f t="shared" si="11"/>
        <v>Low Traffic</v>
      </c>
    </row>
    <row r="144" spans="1:25" x14ac:dyDescent="0.3">
      <c r="A144" s="2" t="s">
        <v>306</v>
      </c>
      <c r="B144" s="2" t="s">
        <v>307</v>
      </c>
      <c r="C144" s="2" t="s">
        <v>321</v>
      </c>
      <c r="D144" s="2" t="s">
        <v>322</v>
      </c>
      <c r="E144" s="2" t="s">
        <v>142</v>
      </c>
      <c r="F144" s="1">
        <v>1968</v>
      </c>
      <c r="G144" s="1">
        <v>1.5</v>
      </c>
      <c r="H144" s="1">
        <v>4.5999999999999996</v>
      </c>
      <c r="I144" s="1" t="str">
        <f>IF(Table13[[#This Row],[Reiew_Rating]]&gt;=4.5,"Excellent",
IF(Table13[[#This Row],[Reiew_Rating]]&gt;=4,"Good","Average"))</f>
        <v>Excellent</v>
      </c>
      <c r="J144" s="1">
        <v>15</v>
      </c>
      <c r="K144" s="1" t="str">
        <f>IF(Table13[[#This Row],[Entrance_Fee_INR]]=0,"Free","Paid")</f>
        <v>Paid</v>
      </c>
      <c r="L144" s="2" t="s">
        <v>29</v>
      </c>
      <c r="M144" s="2" t="s">
        <v>305</v>
      </c>
      <c r="N144" s="2" t="s">
        <v>94</v>
      </c>
      <c r="O144" s="2" t="s">
        <v>19</v>
      </c>
      <c r="P144" s="3">
        <v>6.5000000000000002E-2</v>
      </c>
      <c r="Q144" s="2" t="s">
        <v>37</v>
      </c>
      <c r="R144" s="1" t="str">
        <f>IF(Table13[[#This Row],[Number_Review_Lakhs]]&gt;=1,"Highly Popular", IF(Table13[[#This Row],[Number_Review_Lakhs]]&gt;=0.5,"Popular","Less Popular"))</f>
        <v>Less Popular</v>
      </c>
      <c r="S144" s="1" t="str">
        <f>IF(Table13[[#This Row],[Visit_Time_Hrs]]&lt;=2,"Short Visit", IF(Table13[[#This Row],[Visit_Time_Hrs]]&lt;=5,"Medium Visit","Full Day"))</f>
        <v>Short Visit</v>
      </c>
      <c r="T144" s="1" t="str">
        <f>IF(Table13[[#This Row],[Airport_50km_Radius]]="Yes","Accessible","Remote")</f>
        <v>Remote</v>
      </c>
      <c r="U144" s="1" t="str">
        <f>IF(Table13[[#This Row],[Reiew_Rating]]&gt;=4.7,"Yes","No")</f>
        <v>No</v>
      </c>
      <c r="V144" s="1" t="str">
        <f t="shared" si="8"/>
        <v>Nature &amp; Wildlife</v>
      </c>
      <c r="W144" s="1" t="str">
        <f t="shared" si="9"/>
        <v>★★★★★</v>
      </c>
      <c r="X144" s="1" t="str">
        <f t="shared" si="10"/>
        <v>5 / 5 Stars</v>
      </c>
      <c r="Y144" s="1" t="str">
        <f t="shared" si="11"/>
        <v>Low Traffic</v>
      </c>
    </row>
    <row r="145" spans="1:25" x14ac:dyDescent="0.3">
      <c r="A145" s="2" t="s">
        <v>306</v>
      </c>
      <c r="B145" s="2" t="s">
        <v>307</v>
      </c>
      <c r="C145" s="2" t="s">
        <v>323</v>
      </c>
      <c r="D145" s="2" t="s">
        <v>324</v>
      </c>
      <c r="E145" s="2" t="s">
        <v>190</v>
      </c>
      <c r="F145" s="1">
        <v>1955</v>
      </c>
      <c r="G145" s="1">
        <v>3</v>
      </c>
      <c r="H145" s="1">
        <v>4.5</v>
      </c>
      <c r="I145" s="1" t="str">
        <f>IF(Table13[[#This Row],[Reiew_Rating]]&gt;=4.5,"Excellent",
IF(Table13[[#This Row],[Reiew_Rating]]&gt;=4,"Good","Average"))</f>
        <v>Excellent</v>
      </c>
      <c r="J145" s="1">
        <v>100</v>
      </c>
      <c r="K145" s="1" t="str">
        <f>IF(Table13[[#This Row],[Entrance_Fee_INR]]=0,"Free","Paid")</f>
        <v>Paid</v>
      </c>
      <c r="L145" s="2" t="s">
        <v>29</v>
      </c>
      <c r="M145" s="2" t="s">
        <v>305</v>
      </c>
      <c r="N145" s="2" t="s">
        <v>73</v>
      </c>
      <c r="O145" s="2" t="s">
        <v>19</v>
      </c>
      <c r="P145" s="3">
        <v>0.1</v>
      </c>
      <c r="Q145" s="2" t="s">
        <v>37</v>
      </c>
      <c r="R145" s="1" t="str">
        <f>IF(Table13[[#This Row],[Number_Review_Lakhs]]&gt;=1,"Highly Popular", IF(Table13[[#This Row],[Number_Review_Lakhs]]&gt;=0.5,"Popular","Less Popular"))</f>
        <v>Less Popular</v>
      </c>
      <c r="S145" s="1" t="str">
        <f>IF(Table13[[#This Row],[Visit_Time_Hrs]]&lt;=2,"Short Visit", IF(Table13[[#This Row],[Visit_Time_Hrs]]&lt;=5,"Medium Visit","Full Day"))</f>
        <v>Medium Visit</v>
      </c>
      <c r="T145" s="1" t="str">
        <f>IF(Table13[[#This Row],[Airport_50km_Radius]]="Yes","Accessible","Remote")</f>
        <v>Remote</v>
      </c>
      <c r="U145" s="1" t="str">
        <f>IF(Table13[[#This Row],[Reiew_Rating]]&gt;=4.7,"Yes","No")</f>
        <v>No</v>
      </c>
      <c r="V145" s="1" t="str">
        <f t="shared" si="8"/>
        <v>Nature &amp; Wildlife</v>
      </c>
      <c r="W145" s="1" t="str">
        <f t="shared" si="9"/>
        <v>★★★★★</v>
      </c>
      <c r="X145" s="1" t="str">
        <f t="shared" si="10"/>
        <v>5 / 5 Stars</v>
      </c>
      <c r="Y145" s="1" t="str">
        <f t="shared" si="11"/>
        <v>Low Traffic</v>
      </c>
    </row>
    <row r="146" spans="1:25" x14ac:dyDescent="0.3">
      <c r="A146" s="2" t="s">
        <v>306</v>
      </c>
      <c r="B146" s="2" t="s">
        <v>307</v>
      </c>
      <c r="C146" s="2" t="s">
        <v>325</v>
      </c>
      <c r="D146" s="2" t="s">
        <v>326</v>
      </c>
      <c r="E146" s="2" t="s">
        <v>72</v>
      </c>
      <c r="F146" s="1">
        <v>1968</v>
      </c>
      <c r="G146" s="1">
        <v>3</v>
      </c>
      <c r="H146" s="1">
        <v>4.5</v>
      </c>
      <c r="I146" s="1" t="str">
        <f>IF(Table13[[#This Row],[Reiew_Rating]]&gt;=4.5,"Excellent",
IF(Table13[[#This Row],[Reiew_Rating]]&gt;=4,"Good","Average"))</f>
        <v>Excellent</v>
      </c>
      <c r="J146" s="1">
        <v>50</v>
      </c>
      <c r="K146" s="1" t="str">
        <f>IF(Table13[[#This Row],[Entrance_Fee_INR]]=0,"Free","Paid")</f>
        <v>Paid</v>
      </c>
      <c r="L146" s="2" t="s">
        <v>29</v>
      </c>
      <c r="M146" s="2" t="s">
        <v>721</v>
      </c>
      <c r="N146" s="2" t="s">
        <v>73</v>
      </c>
      <c r="O146" s="2" t="s">
        <v>19</v>
      </c>
      <c r="P146" s="3">
        <v>0.05</v>
      </c>
      <c r="Q146" s="2" t="s">
        <v>37</v>
      </c>
      <c r="R146" s="1" t="str">
        <f>IF(Table13[[#This Row],[Number_Review_Lakhs]]&gt;=1,"Highly Popular", IF(Table13[[#This Row],[Number_Review_Lakhs]]&gt;=0.5,"Popular","Less Popular"))</f>
        <v>Less Popular</v>
      </c>
      <c r="S146" s="1" t="str">
        <f>IF(Table13[[#This Row],[Visit_Time_Hrs]]&lt;=2,"Short Visit", IF(Table13[[#This Row],[Visit_Time_Hrs]]&lt;=5,"Medium Visit","Full Day"))</f>
        <v>Medium Visit</v>
      </c>
      <c r="T146" s="1" t="str">
        <f>IF(Table13[[#This Row],[Airport_50km_Radius]]="Yes","Accessible","Remote")</f>
        <v>Remote</v>
      </c>
      <c r="U146" s="1" t="str">
        <f>IF(Table13[[#This Row],[Reiew_Rating]]&gt;=4.7,"Yes","No")</f>
        <v>No</v>
      </c>
      <c r="V146" s="1" t="str">
        <f t="shared" si="8"/>
        <v>Nature &amp; Wildlife</v>
      </c>
      <c r="W146" s="1" t="str">
        <f t="shared" si="9"/>
        <v>★★★★★</v>
      </c>
      <c r="X146" s="1" t="str">
        <f t="shared" si="10"/>
        <v>5 / 5 Stars</v>
      </c>
      <c r="Y146" s="1" t="str">
        <f t="shared" si="11"/>
        <v>Low Traffic</v>
      </c>
    </row>
    <row r="147" spans="1:25" x14ac:dyDescent="0.3">
      <c r="A147" s="2" t="s">
        <v>306</v>
      </c>
      <c r="B147" s="2" t="s">
        <v>307</v>
      </c>
      <c r="C147" s="2" t="s">
        <v>327</v>
      </c>
      <c r="D147" s="2" t="s">
        <v>328</v>
      </c>
      <c r="E147" s="2" t="s">
        <v>43</v>
      </c>
      <c r="F147" s="1">
        <v>1500</v>
      </c>
      <c r="G147" s="1">
        <v>1.5</v>
      </c>
      <c r="H147" s="1">
        <v>4.8</v>
      </c>
      <c r="I147" s="1" t="str">
        <f>IF(Table13[[#This Row],[Reiew_Rating]]&gt;=4.5,"Excellent",
IF(Table13[[#This Row],[Reiew_Rating]]&gt;=4,"Good","Average"))</f>
        <v>Excellent</v>
      </c>
      <c r="J147" s="1">
        <v>10</v>
      </c>
      <c r="K147" s="1" t="str">
        <f>IF(Table13[[#This Row],[Entrance_Fee_INR]]=0,"Free","Paid")</f>
        <v>Paid</v>
      </c>
      <c r="L147" s="2" t="s">
        <v>29</v>
      </c>
      <c r="M147" s="2" t="s">
        <v>305</v>
      </c>
      <c r="N147" s="2" t="s">
        <v>21</v>
      </c>
      <c r="O147" s="2" t="s">
        <v>19</v>
      </c>
      <c r="P147" s="3">
        <v>0.1</v>
      </c>
      <c r="Q147" s="2" t="s">
        <v>25</v>
      </c>
      <c r="R147" s="1" t="str">
        <f>IF(Table13[[#This Row],[Number_Review_Lakhs]]&gt;=1,"Highly Popular", IF(Table13[[#This Row],[Number_Review_Lakhs]]&gt;=0.5,"Popular","Less Popular"))</f>
        <v>Less Popular</v>
      </c>
      <c r="S147" s="1" t="str">
        <f>IF(Table13[[#This Row],[Visit_Time_Hrs]]&lt;=2,"Short Visit", IF(Table13[[#This Row],[Visit_Time_Hrs]]&lt;=5,"Medium Visit","Full Day"))</f>
        <v>Short Visit</v>
      </c>
      <c r="T147" s="1" t="str">
        <f>IF(Table13[[#This Row],[Airport_50km_Radius]]="Yes","Accessible","Remote")</f>
        <v>Remote</v>
      </c>
      <c r="U147" s="1" t="str">
        <f>IF(Table13[[#This Row],[Reiew_Rating]]&gt;=4.7,"Yes","No")</f>
        <v>Yes</v>
      </c>
      <c r="V147" s="1" t="str">
        <f t="shared" si="8"/>
        <v>Heritage &amp; Culture</v>
      </c>
      <c r="W147" s="1" t="str">
        <f t="shared" si="9"/>
        <v>★★★★★</v>
      </c>
      <c r="X147" s="1" t="str">
        <f t="shared" si="10"/>
        <v>5 / 5 Stars</v>
      </c>
      <c r="Y147" s="1" t="str">
        <f t="shared" si="11"/>
        <v>Low Traffic</v>
      </c>
    </row>
    <row r="148" spans="1:25" x14ac:dyDescent="0.3">
      <c r="A148" s="2" t="s">
        <v>306</v>
      </c>
      <c r="B148" s="2" t="s">
        <v>307</v>
      </c>
      <c r="C148" s="2" t="s">
        <v>329</v>
      </c>
      <c r="D148" s="2" t="s">
        <v>330</v>
      </c>
      <c r="E148" s="2" t="s">
        <v>134</v>
      </c>
      <c r="F148" s="1">
        <v>1500</v>
      </c>
      <c r="G148" s="1">
        <v>1</v>
      </c>
      <c r="H148" s="1">
        <v>3.9</v>
      </c>
      <c r="I148" s="1" t="str">
        <f>IF(Table13[[#This Row],[Reiew_Rating]]&gt;=4.5,"Excellent",
IF(Table13[[#This Row],[Reiew_Rating]]&gt;=4,"Good","Average"))</f>
        <v>Average</v>
      </c>
      <c r="J148" s="1">
        <v>50</v>
      </c>
      <c r="K148" s="1" t="str">
        <f>IF(Table13[[#This Row],[Entrance_Fee_INR]]=0,"Free","Paid")</f>
        <v>Paid</v>
      </c>
      <c r="L148" s="2" t="s">
        <v>29</v>
      </c>
      <c r="M148" s="2" t="s">
        <v>721</v>
      </c>
      <c r="N148" s="2" t="s">
        <v>21</v>
      </c>
      <c r="O148" s="2" t="s">
        <v>19</v>
      </c>
      <c r="P148" s="3">
        <v>0.03</v>
      </c>
      <c r="Q148" s="2" t="s">
        <v>25</v>
      </c>
      <c r="R148" s="1" t="str">
        <f>IF(Table13[[#This Row],[Number_Review_Lakhs]]&gt;=1,"Highly Popular", IF(Table13[[#This Row],[Number_Review_Lakhs]]&gt;=0.5,"Popular","Less Popular"))</f>
        <v>Less Popular</v>
      </c>
      <c r="S148" s="1" t="str">
        <f>IF(Table13[[#This Row],[Visit_Time_Hrs]]&lt;=2,"Short Visit", IF(Table13[[#This Row],[Visit_Time_Hrs]]&lt;=5,"Medium Visit","Full Day"))</f>
        <v>Short Visit</v>
      </c>
      <c r="T148" s="1" t="str">
        <f>IF(Table13[[#This Row],[Airport_50km_Radius]]="Yes","Accessible","Remote")</f>
        <v>Remote</v>
      </c>
      <c r="U148" s="1" t="str">
        <f>IF(Table13[[#This Row],[Reiew_Rating]]&gt;=4.7,"Yes","No")</f>
        <v>No</v>
      </c>
      <c r="V148" s="1" t="str">
        <f t="shared" si="8"/>
        <v>Heritage &amp; Culture</v>
      </c>
      <c r="W148" s="1" t="str">
        <f t="shared" si="9"/>
        <v>★★★★☆</v>
      </c>
      <c r="X148" s="1" t="str">
        <f t="shared" si="10"/>
        <v>4 / 5 Stars</v>
      </c>
      <c r="Y148" s="1" t="str">
        <f t="shared" si="11"/>
        <v>Low Traffic</v>
      </c>
    </row>
    <row r="149" spans="1:25" x14ac:dyDescent="0.3">
      <c r="A149" s="2" t="s">
        <v>306</v>
      </c>
      <c r="B149" s="2" t="s">
        <v>307</v>
      </c>
      <c r="C149" s="2" t="s">
        <v>331</v>
      </c>
      <c r="D149" s="2" t="s">
        <v>332</v>
      </c>
      <c r="E149" s="2" t="s">
        <v>333</v>
      </c>
      <c r="F149" s="1">
        <v>1958</v>
      </c>
      <c r="G149" s="1">
        <v>2</v>
      </c>
      <c r="H149" s="1">
        <v>4.5999999999999996</v>
      </c>
      <c r="I149" s="1" t="str">
        <f>IF(Table13[[#This Row],[Reiew_Rating]]&gt;=4.5,"Excellent",
IF(Table13[[#This Row],[Reiew_Rating]]&gt;=4,"Good","Average"))</f>
        <v>Excellent</v>
      </c>
      <c r="J149" s="1">
        <v>25</v>
      </c>
      <c r="K149" s="1" t="str">
        <f>IF(Table13[[#This Row],[Entrance_Fee_INR]]=0,"Free","Paid")</f>
        <v>Paid</v>
      </c>
      <c r="L149" s="2" t="s">
        <v>29</v>
      </c>
      <c r="M149" s="2" t="s">
        <v>57</v>
      </c>
      <c r="N149" s="2" t="s">
        <v>334</v>
      </c>
      <c r="O149" s="2" t="s">
        <v>19</v>
      </c>
      <c r="P149" s="3">
        <v>7.0000000000000007E-2</v>
      </c>
      <c r="Q149" s="2" t="s">
        <v>25</v>
      </c>
      <c r="R149" s="1" t="str">
        <f>IF(Table13[[#This Row],[Number_Review_Lakhs]]&gt;=1,"Highly Popular", IF(Table13[[#This Row],[Number_Review_Lakhs]]&gt;=0.5,"Popular","Less Popular"))</f>
        <v>Less Popular</v>
      </c>
      <c r="S149" s="1" t="str">
        <f>IF(Table13[[#This Row],[Visit_Time_Hrs]]&lt;=2,"Short Visit", IF(Table13[[#This Row],[Visit_Time_Hrs]]&lt;=5,"Medium Visit","Full Day"))</f>
        <v>Short Visit</v>
      </c>
      <c r="T149" s="1" t="str">
        <f>IF(Table13[[#This Row],[Airport_50km_Radius]]="Yes","Accessible","Remote")</f>
        <v>Remote</v>
      </c>
      <c r="U149" s="1" t="str">
        <f>IF(Table13[[#This Row],[Reiew_Rating]]&gt;=4.7,"Yes","No")</f>
        <v>No</v>
      </c>
      <c r="V149" s="1" t="str">
        <f t="shared" si="8"/>
        <v>Other</v>
      </c>
      <c r="W149" s="1" t="str">
        <f t="shared" si="9"/>
        <v>★★★★★</v>
      </c>
      <c r="X149" s="1" t="str">
        <f t="shared" si="10"/>
        <v>5 / 5 Stars</v>
      </c>
      <c r="Y149" s="1" t="str">
        <f t="shared" si="11"/>
        <v>Low Traffic</v>
      </c>
    </row>
    <row r="150" spans="1:25" x14ac:dyDescent="0.3">
      <c r="A150" s="2" t="s">
        <v>306</v>
      </c>
      <c r="B150" s="2" t="s">
        <v>307</v>
      </c>
      <c r="C150" s="2" t="s">
        <v>335</v>
      </c>
      <c r="D150" s="2" t="s">
        <v>336</v>
      </c>
      <c r="E150" s="2" t="s">
        <v>27</v>
      </c>
      <c r="F150" s="1">
        <v>1200</v>
      </c>
      <c r="G150" s="1">
        <v>1</v>
      </c>
      <c r="H150" s="1">
        <v>4.4000000000000004</v>
      </c>
      <c r="I150" s="1" t="str">
        <f>IF(Table13[[#This Row],[Reiew_Rating]]&gt;=4.5,"Excellent",
IF(Table13[[#This Row],[Reiew_Rating]]&gt;=4,"Good","Average"))</f>
        <v>Good</v>
      </c>
      <c r="J150" s="1">
        <v>0</v>
      </c>
      <c r="K150" s="1" t="str">
        <f>IF(Table13[[#This Row],[Entrance_Fee_INR]]=0,"Free","Paid")</f>
        <v>Free</v>
      </c>
      <c r="L150" s="2" t="s">
        <v>29</v>
      </c>
      <c r="M150" s="2" t="s">
        <v>57</v>
      </c>
      <c r="N150" s="2" t="s">
        <v>28</v>
      </c>
      <c r="O150" s="2" t="s">
        <v>19</v>
      </c>
      <c r="P150" s="3">
        <v>0.01</v>
      </c>
      <c r="Q150" s="2" t="s">
        <v>51</v>
      </c>
      <c r="R150" s="1" t="str">
        <f>IF(Table13[[#This Row],[Number_Review_Lakhs]]&gt;=1,"Highly Popular", IF(Table13[[#This Row],[Number_Review_Lakhs]]&gt;=0.5,"Popular","Less Popular"))</f>
        <v>Less Popular</v>
      </c>
      <c r="S150" s="1" t="str">
        <f>IF(Table13[[#This Row],[Visit_Time_Hrs]]&lt;=2,"Short Visit", IF(Table13[[#This Row],[Visit_Time_Hrs]]&lt;=5,"Medium Visit","Full Day"))</f>
        <v>Short Visit</v>
      </c>
      <c r="T150" s="1" t="str">
        <f>IF(Table13[[#This Row],[Airport_50km_Radius]]="Yes","Accessible","Remote")</f>
        <v>Remote</v>
      </c>
      <c r="U150" s="1" t="str">
        <f>IF(Table13[[#This Row],[Reiew_Rating]]&gt;=4.7,"Yes","No")</f>
        <v>No</v>
      </c>
      <c r="V150" s="1" t="str">
        <f t="shared" si="8"/>
        <v>Heritage &amp; Culture</v>
      </c>
      <c r="W150" s="1" t="str">
        <f t="shared" si="9"/>
        <v>★★★★☆</v>
      </c>
      <c r="X150" s="1" t="str">
        <f t="shared" si="10"/>
        <v>4 / 5 Stars</v>
      </c>
      <c r="Y150" s="1" t="str">
        <f t="shared" si="11"/>
        <v>Low Traffic</v>
      </c>
    </row>
    <row r="151" spans="1:25" x14ac:dyDescent="0.3">
      <c r="A151" s="2" t="s">
        <v>306</v>
      </c>
      <c r="B151" s="2" t="s">
        <v>307</v>
      </c>
      <c r="C151" s="2" t="s">
        <v>337</v>
      </c>
      <c r="D151" s="2" t="s">
        <v>338</v>
      </c>
      <c r="E151" s="2" t="s">
        <v>142</v>
      </c>
      <c r="F151" s="1">
        <v>1889</v>
      </c>
      <c r="G151" s="1">
        <v>1.5</v>
      </c>
      <c r="H151" s="1">
        <v>4.4000000000000004</v>
      </c>
      <c r="I151" s="1" t="str">
        <f>IF(Table13[[#This Row],[Reiew_Rating]]&gt;=4.5,"Excellent",
IF(Table13[[#This Row],[Reiew_Rating]]&gt;=4,"Good","Average"))</f>
        <v>Good</v>
      </c>
      <c r="J151" s="1">
        <v>0</v>
      </c>
      <c r="K151" s="1" t="str">
        <f>IF(Table13[[#This Row],[Entrance_Fee_INR]]=0,"Free","Paid")</f>
        <v>Free</v>
      </c>
      <c r="L151" s="2" t="s">
        <v>29</v>
      </c>
      <c r="M151" s="2" t="s">
        <v>722</v>
      </c>
      <c r="N151" s="2" t="s">
        <v>94</v>
      </c>
      <c r="O151" s="2" t="s">
        <v>19</v>
      </c>
      <c r="P151" s="3">
        <v>0.1</v>
      </c>
      <c r="Q151" s="2" t="s">
        <v>37</v>
      </c>
      <c r="R151" s="1" t="str">
        <f>IF(Table13[[#This Row],[Number_Review_Lakhs]]&gt;=1,"Highly Popular", IF(Table13[[#This Row],[Number_Review_Lakhs]]&gt;=0.5,"Popular","Less Popular"))</f>
        <v>Less Popular</v>
      </c>
      <c r="S151" s="1" t="str">
        <f>IF(Table13[[#This Row],[Visit_Time_Hrs]]&lt;=2,"Short Visit", IF(Table13[[#This Row],[Visit_Time_Hrs]]&lt;=5,"Medium Visit","Full Day"))</f>
        <v>Short Visit</v>
      </c>
      <c r="T151" s="1" t="str">
        <f>IF(Table13[[#This Row],[Airport_50km_Radius]]="Yes","Accessible","Remote")</f>
        <v>Remote</v>
      </c>
      <c r="U151" s="1" t="str">
        <f>IF(Table13[[#This Row],[Reiew_Rating]]&gt;=4.7,"Yes","No")</f>
        <v>No</v>
      </c>
      <c r="V151" s="1" t="str">
        <f t="shared" si="8"/>
        <v>Nature &amp; Wildlife</v>
      </c>
      <c r="W151" s="1" t="str">
        <f t="shared" si="9"/>
        <v>★★★★☆</v>
      </c>
      <c r="X151" s="1" t="str">
        <f t="shared" si="10"/>
        <v>4 / 5 Stars</v>
      </c>
      <c r="Y151" s="1" t="str">
        <f t="shared" si="11"/>
        <v>Low Traffic</v>
      </c>
    </row>
    <row r="152" spans="1:25" x14ac:dyDescent="0.3">
      <c r="A152" s="2" t="s">
        <v>15</v>
      </c>
      <c r="B152" s="2" t="s">
        <v>339</v>
      </c>
      <c r="C152" s="2" t="s">
        <v>340</v>
      </c>
      <c r="D152" s="2" t="s">
        <v>341</v>
      </c>
      <c r="E152" s="2" t="s">
        <v>342</v>
      </c>
      <c r="F152" s="1">
        <v>1652</v>
      </c>
      <c r="G152" s="1">
        <v>1</v>
      </c>
      <c r="H152" s="1">
        <v>4.7</v>
      </c>
      <c r="I152" s="1" t="str">
        <f>IF(Table13[[#This Row],[Reiew_Rating]]&gt;=4.5,"Excellent",
IF(Table13[[#This Row],[Reiew_Rating]]&gt;=4,"Good","Average"))</f>
        <v>Excellent</v>
      </c>
      <c r="J152" s="1">
        <v>0</v>
      </c>
      <c r="K152" s="1" t="str">
        <f>IF(Table13[[#This Row],[Entrance_Fee_INR]]=0,"Free","Paid")</f>
        <v>Free</v>
      </c>
      <c r="L152" s="2" t="s">
        <v>19</v>
      </c>
      <c r="M152" s="2" t="s">
        <v>722</v>
      </c>
      <c r="N152" s="2" t="s">
        <v>80</v>
      </c>
      <c r="O152" s="2" t="s">
        <v>19</v>
      </c>
      <c r="P152" s="3">
        <v>0.03</v>
      </c>
      <c r="Q152" s="2" t="s">
        <v>37</v>
      </c>
      <c r="R152" s="1" t="str">
        <f>IF(Table13[[#This Row],[Number_Review_Lakhs]]&gt;=1,"Highly Popular", IF(Table13[[#This Row],[Number_Review_Lakhs]]&gt;=0.5,"Popular","Less Popular"))</f>
        <v>Less Popular</v>
      </c>
      <c r="S152" s="1" t="str">
        <f>IF(Table13[[#This Row],[Visit_Time_Hrs]]&lt;=2,"Short Visit", IF(Table13[[#This Row],[Visit_Time_Hrs]]&lt;=5,"Medium Visit","Full Day"))</f>
        <v>Short Visit</v>
      </c>
      <c r="T152" s="1" t="str">
        <f>IF(Table13[[#This Row],[Airport_50km_Radius]]="Yes","Accessible","Remote")</f>
        <v>Accessible</v>
      </c>
      <c r="U152" s="1" t="str">
        <f>IF(Table13[[#This Row],[Reiew_Rating]]&gt;=4.7,"Yes","No")</f>
        <v>Yes</v>
      </c>
      <c r="V152" s="1" t="str">
        <f t="shared" si="8"/>
        <v>Leisure &amp; Commerce</v>
      </c>
      <c r="W152" s="1" t="str">
        <f t="shared" si="9"/>
        <v>★★★★★</v>
      </c>
      <c r="X152" s="1" t="str">
        <f t="shared" si="10"/>
        <v>5 / 5 Stars</v>
      </c>
      <c r="Y152" s="1" t="str">
        <f t="shared" si="11"/>
        <v>Low Traffic</v>
      </c>
    </row>
    <row r="153" spans="1:25" x14ac:dyDescent="0.3">
      <c r="A153" s="2" t="s">
        <v>15</v>
      </c>
      <c r="B153" s="2" t="s">
        <v>339</v>
      </c>
      <c r="C153" s="2" t="s">
        <v>343</v>
      </c>
      <c r="D153" s="2" t="s">
        <v>344</v>
      </c>
      <c r="E153" s="2" t="s">
        <v>300</v>
      </c>
      <c r="F153" s="1">
        <v>1967</v>
      </c>
      <c r="G153" s="1">
        <v>2</v>
      </c>
      <c r="H153" s="1">
        <v>4.0999999999999996</v>
      </c>
      <c r="I153" s="1" t="str">
        <f>IF(Table13[[#This Row],[Reiew_Rating]]&gt;=4.5,"Excellent",
IF(Table13[[#This Row],[Reiew_Rating]]&gt;=4,"Good","Average"))</f>
        <v>Good</v>
      </c>
      <c r="J153" s="1">
        <v>0</v>
      </c>
      <c r="K153" s="1" t="str">
        <f>IF(Table13[[#This Row],[Entrance_Fee_INR]]=0,"Free","Paid")</f>
        <v>Free</v>
      </c>
      <c r="L153" s="2" t="s">
        <v>29</v>
      </c>
      <c r="M153" s="2" t="s">
        <v>722</v>
      </c>
      <c r="N153" s="2" t="s">
        <v>345</v>
      </c>
      <c r="O153" s="2" t="s">
        <v>19</v>
      </c>
      <c r="P153" s="3">
        <v>0.05</v>
      </c>
      <c r="Q153" s="2" t="s">
        <v>37</v>
      </c>
      <c r="R153" s="1" t="str">
        <f>IF(Table13[[#This Row],[Number_Review_Lakhs]]&gt;=1,"Highly Popular", IF(Table13[[#This Row],[Number_Review_Lakhs]]&gt;=0.5,"Popular","Less Popular"))</f>
        <v>Less Popular</v>
      </c>
      <c r="S153" s="1" t="str">
        <f>IF(Table13[[#This Row],[Visit_Time_Hrs]]&lt;=2,"Short Visit", IF(Table13[[#This Row],[Visit_Time_Hrs]]&lt;=5,"Medium Visit","Full Day"))</f>
        <v>Short Visit</v>
      </c>
      <c r="T153" s="1" t="str">
        <f>IF(Table13[[#This Row],[Airport_50km_Radius]]="Yes","Accessible","Remote")</f>
        <v>Remote</v>
      </c>
      <c r="U153" s="1" t="str">
        <f>IF(Table13[[#This Row],[Reiew_Rating]]&gt;=4.7,"Yes","No")</f>
        <v>No</v>
      </c>
      <c r="V153" s="1" t="str">
        <f t="shared" si="8"/>
        <v>Other</v>
      </c>
      <c r="W153" s="1" t="str">
        <f t="shared" si="9"/>
        <v>★★★★☆</v>
      </c>
      <c r="X153" s="1" t="str">
        <f t="shared" si="10"/>
        <v>4 / 5 Stars</v>
      </c>
      <c r="Y153" s="1" t="str">
        <f t="shared" si="11"/>
        <v>Low Traffic</v>
      </c>
    </row>
    <row r="154" spans="1:25" x14ac:dyDescent="0.3">
      <c r="A154" s="2" t="s">
        <v>15</v>
      </c>
      <c r="B154" s="2" t="s">
        <v>339</v>
      </c>
      <c r="C154" s="2" t="s">
        <v>346</v>
      </c>
      <c r="D154" s="2" t="s">
        <v>347</v>
      </c>
      <c r="E154" s="2" t="s">
        <v>27</v>
      </c>
      <c r="F154" s="1">
        <v>1959</v>
      </c>
      <c r="G154" s="1">
        <v>1.5</v>
      </c>
      <c r="H154" s="1">
        <v>4.7</v>
      </c>
      <c r="I154" s="1" t="str">
        <f>IF(Table13[[#This Row],[Reiew_Rating]]&gt;=4.5,"Excellent",
IF(Table13[[#This Row],[Reiew_Rating]]&gt;=4,"Good","Average"))</f>
        <v>Excellent</v>
      </c>
      <c r="J154" s="1">
        <v>0</v>
      </c>
      <c r="K154" s="1" t="str">
        <f>IF(Table13[[#This Row],[Entrance_Fee_INR]]=0,"Free","Paid")</f>
        <v>Free</v>
      </c>
      <c r="L154" s="2" t="s">
        <v>19</v>
      </c>
      <c r="M154" s="2" t="s">
        <v>305</v>
      </c>
      <c r="N154" s="2" t="s">
        <v>28</v>
      </c>
      <c r="O154" s="2" t="s">
        <v>29</v>
      </c>
      <c r="P154" s="3">
        <v>0.15</v>
      </c>
      <c r="Q154" s="2" t="s">
        <v>51</v>
      </c>
      <c r="R154" s="1" t="str">
        <f>IF(Table13[[#This Row],[Number_Review_Lakhs]]&gt;=1,"Highly Popular", IF(Table13[[#This Row],[Number_Review_Lakhs]]&gt;=0.5,"Popular","Less Popular"))</f>
        <v>Less Popular</v>
      </c>
      <c r="S154" s="1" t="str">
        <f>IF(Table13[[#This Row],[Visit_Time_Hrs]]&lt;=2,"Short Visit", IF(Table13[[#This Row],[Visit_Time_Hrs]]&lt;=5,"Medium Visit","Full Day"))</f>
        <v>Short Visit</v>
      </c>
      <c r="T154" s="1" t="str">
        <f>IF(Table13[[#This Row],[Airport_50km_Radius]]="Yes","Accessible","Remote")</f>
        <v>Accessible</v>
      </c>
      <c r="U154" s="1" t="str">
        <f>IF(Table13[[#This Row],[Reiew_Rating]]&gt;=4.7,"Yes","No")</f>
        <v>Yes</v>
      </c>
      <c r="V154" s="1" t="str">
        <f t="shared" si="8"/>
        <v>Heritage &amp; Culture</v>
      </c>
      <c r="W154" s="1" t="str">
        <f t="shared" si="9"/>
        <v>★★★★★</v>
      </c>
      <c r="X154" s="1" t="str">
        <f t="shared" si="10"/>
        <v>5 / 5 Stars</v>
      </c>
      <c r="Y154" s="1" t="str">
        <f t="shared" si="11"/>
        <v>Low Traffic</v>
      </c>
    </row>
    <row r="155" spans="1:25" x14ac:dyDescent="0.3">
      <c r="A155" s="2" t="s">
        <v>15</v>
      </c>
      <c r="B155" s="2" t="s">
        <v>339</v>
      </c>
      <c r="C155" s="2" t="s">
        <v>348</v>
      </c>
      <c r="D155" s="2" t="s">
        <v>349</v>
      </c>
      <c r="E155" s="2" t="s">
        <v>106</v>
      </c>
      <c r="F155" s="1">
        <v>1805</v>
      </c>
      <c r="G155" s="1">
        <v>1.5</v>
      </c>
      <c r="H155" s="1">
        <v>4.5</v>
      </c>
      <c r="I155" s="1" t="str">
        <f>IF(Table13[[#This Row],[Reiew_Rating]]&gt;=4.5,"Excellent",
IF(Table13[[#This Row],[Reiew_Rating]]&gt;=4,"Good","Average"))</f>
        <v>Excellent</v>
      </c>
      <c r="J155" s="1">
        <v>0</v>
      </c>
      <c r="K155" s="1" t="str">
        <f>IF(Table13[[#This Row],[Entrance_Fee_INR]]=0,"Free","Paid")</f>
        <v>Free</v>
      </c>
      <c r="L155" s="2" t="s">
        <v>29</v>
      </c>
      <c r="M155" s="2" t="s">
        <v>305</v>
      </c>
      <c r="N155" s="2" t="s">
        <v>94</v>
      </c>
      <c r="O155" s="2" t="s">
        <v>19</v>
      </c>
      <c r="P155" s="3">
        <v>0.1</v>
      </c>
      <c r="Q155" s="2" t="s">
        <v>37</v>
      </c>
      <c r="R155" s="1" t="str">
        <f>IF(Table13[[#This Row],[Number_Review_Lakhs]]&gt;=1,"Highly Popular", IF(Table13[[#This Row],[Number_Review_Lakhs]]&gt;=0.5,"Popular","Less Popular"))</f>
        <v>Less Popular</v>
      </c>
      <c r="S155" s="1" t="str">
        <f>IF(Table13[[#This Row],[Visit_Time_Hrs]]&lt;=2,"Short Visit", IF(Table13[[#This Row],[Visit_Time_Hrs]]&lt;=5,"Medium Visit","Full Day"))</f>
        <v>Short Visit</v>
      </c>
      <c r="T155" s="1" t="str">
        <f>IF(Table13[[#This Row],[Airport_50km_Radius]]="Yes","Accessible","Remote")</f>
        <v>Remote</v>
      </c>
      <c r="U155" s="1" t="str">
        <f>IF(Table13[[#This Row],[Reiew_Rating]]&gt;=4.7,"Yes","No")</f>
        <v>No</v>
      </c>
      <c r="V155" s="1" t="str">
        <f t="shared" si="8"/>
        <v>Nature &amp; Wildlife</v>
      </c>
      <c r="W155" s="1" t="str">
        <f t="shared" si="9"/>
        <v>★★★★★</v>
      </c>
      <c r="X155" s="1" t="str">
        <f t="shared" si="10"/>
        <v>5 / 5 Stars</v>
      </c>
      <c r="Y155" s="1" t="str">
        <f t="shared" si="11"/>
        <v>Low Traffic</v>
      </c>
    </row>
    <row r="156" spans="1:25" x14ac:dyDescent="0.3">
      <c r="A156" s="2" t="s">
        <v>15</v>
      </c>
      <c r="B156" s="2" t="s">
        <v>339</v>
      </c>
      <c r="C156" s="2" t="s">
        <v>350</v>
      </c>
      <c r="D156" s="2" t="s">
        <v>351</v>
      </c>
      <c r="E156" s="2" t="s">
        <v>352</v>
      </c>
      <c r="F156" s="1">
        <v>1100</v>
      </c>
      <c r="G156" s="1">
        <v>1</v>
      </c>
      <c r="H156" s="1">
        <v>4.8</v>
      </c>
      <c r="I156" s="1" t="str">
        <f>IF(Table13[[#This Row],[Reiew_Rating]]&gt;=4.5,"Excellent",
IF(Table13[[#This Row],[Reiew_Rating]]&gt;=4,"Good","Average"))</f>
        <v>Excellent</v>
      </c>
      <c r="J156" s="1">
        <v>0</v>
      </c>
      <c r="K156" s="1" t="str">
        <f>IF(Table13[[#This Row],[Entrance_Fee_INR]]=0,"Free","Paid")</f>
        <v>Free</v>
      </c>
      <c r="L156" s="2" t="s">
        <v>29</v>
      </c>
      <c r="M156" s="2" t="s">
        <v>32</v>
      </c>
      <c r="N156" s="2" t="s">
        <v>28</v>
      </c>
      <c r="O156" s="2" t="s">
        <v>19</v>
      </c>
      <c r="P156" s="3">
        <v>2.5000000000000001E-2</v>
      </c>
      <c r="Q156" s="2" t="s">
        <v>37</v>
      </c>
      <c r="R156" s="1" t="str">
        <f>IF(Table13[[#This Row],[Number_Review_Lakhs]]&gt;=1,"Highly Popular", IF(Table13[[#This Row],[Number_Review_Lakhs]]&gt;=0.5,"Popular","Less Popular"))</f>
        <v>Less Popular</v>
      </c>
      <c r="S156" s="1" t="str">
        <f>IF(Table13[[#This Row],[Visit_Time_Hrs]]&lt;=2,"Short Visit", IF(Table13[[#This Row],[Visit_Time_Hrs]]&lt;=5,"Medium Visit","Full Day"))</f>
        <v>Short Visit</v>
      </c>
      <c r="T156" s="1" t="str">
        <f>IF(Table13[[#This Row],[Airport_50km_Radius]]="Yes","Accessible","Remote")</f>
        <v>Remote</v>
      </c>
      <c r="U156" s="1" t="str">
        <f>IF(Table13[[#This Row],[Reiew_Rating]]&gt;=4.7,"Yes","No")</f>
        <v>Yes</v>
      </c>
      <c r="V156" s="1" t="str">
        <f t="shared" si="8"/>
        <v>Heritage &amp; Culture</v>
      </c>
      <c r="W156" s="1" t="str">
        <f t="shared" si="9"/>
        <v>★★★★★</v>
      </c>
      <c r="X156" s="1" t="str">
        <f t="shared" si="10"/>
        <v>5 / 5 Stars</v>
      </c>
      <c r="Y156" s="1" t="str">
        <f t="shared" si="11"/>
        <v>Low Traffic</v>
      </c>
    </row>
    <row r="157" spans="1:25" x14ac:dyDescent="0.3">
      <c r="A157" s="2" t="s">
        <v>15</v>
      </c>
      <c r="B157" s="2" t="s">
        <v>339</v>
      </c>
      <c r="C157" s="2" t="s">
        <v>353</v>
      </c>
      <c r="D157" s="2" t="s">
        <v>354</v>
      </c>
      <c r="E157" s="2" t="s">
        <v>72</v>
      </c>
      <c r="F157" s="1">
        <v>1984</v>
      </c>
      <c r="G157" s="1">
        <v>3</v>
      </c>
      <c r="H157" s="1">
        <v>4.5</v>
      </c>
      <c r="I157" s="1" t="str">
        <f>IF(Table13[[#This Row],[Reiew_Rating]]&gt;=4.5,"Excellent",
IF(Table13[[#This Row],[Reiew_Rating]]&gt;=4,"Good","Average"))</f>
        <v>Excellent</v>
      </c>
      <c r="J157" s="1">
        <v>50</v>
      </c>
      <c r="K157" s="1" t="str">
        <f>IF(Table13[[#This Row],[Entrance_Fee_INR]]=0,"Free","Paid")</f>
        <v>Paid</v>
      </c>
      <c r="L157" s="2" t="s">
        <v>29</v>
      </c>
      <c r="M157" s="2" t="s">
        <v>305</v>
      </c>
      <c r="N157" s="2" t="s">
        <v>73</v>
      </c>
      <c r="O157" s="2" t="s">
        <v>19</v>
      </c>
      <c r="P157" s="3">
        <v>0.2</v>
      </c>
      <c r="Q157" s="2" t="s">
        <v>51</v>
      </c>
      <c r="R157" s="1" t="str">
        <f>IF(Table13[[#This Row],[Number_Review_Lakhs]]&gt;=1,"Highly Popular", IF(Table13[[#This Row],[Number_Review_Lakhs]]&gt;=0.5,"Popular","Less Popular"))</f>
        <v>Less Popular</v>
      </c>
      <c r="S157" s="1" t="str">
        <f>IF(Table13[[#This Row],[Visit_Time_Hrs]]&lt;=2,"Short Visit", IF(Table13[[#This Row],[Visit_Time_Hrs]]&lt;=5,"Medium Visit","Full Day"))</f>
        <v>Medium Visit</v>
      </c>
      <c r="T157" s="1" t="str">
        <f>IF(Table13[[#This Row],[Airport_50km_Radius]]="Yes","Accessible","Remote")</f>
        <v>Remote</v>
      </c>
      <c r="U157" s="1" t="str">
        <f>IF(Table13[[#This Row],[Reiew_Rating]]&gt;=4.7,"Yes","No")</f>
        <v>No</v>
      </c>
      <c r="V157" s="1" t="str">
        <f t="shared" si="8"/>
        <v>Nature &amp; Wildlife</v>
      </c>
      <c r="W157" s="1" t="str">
        <f t="shared" si="9"/>
        <v>★★★★★</v>
      </c>
      <c r="X157" s="1" t="str">
        <f t="shared" si="10"/>
        <v>5 / 5 Stars</v>
      </c>
      <c r="Y157" s="1" t="str">
        <f t="shared" si="11"/>
        <v>Low Traffic</v>
      </c>
    </row>
    <row r="158" spans="1:25" x14ac:dyDescent="0.3">
      <c r="A158" s="2" t="s">
        <v>15</v>
      </c>
      <c r="B158" s="2" t="s">
        <v>339</v>
      </c>
      <c r="C158" s="2" t="s">
        <v>355</v>
      </c>
      <c r="D158" s="2" t="s">
        <v>356</v>
      </c>
      <c r="E158" s="2" t="s">
        <v>106</v>
      </c>
      <c r="F158" s="1">
        <v>1558</v>
      </c>
      <c r="G158" s="1">
        <v>2</v>
      </c>
      <c r="H158" s="1">
        <v>4.4000000000000004</v>
      </c>
      <c r="I158" s="1" t="str">
        <f>IF(Table13[[#This Row],[Reiew_Rating]]&gt;=4.5,"Excellent",
IF(Table13[[#This Row],[Reiew_Rating]]&gt;=4,"Good","Average"))</f>
        <v>Good</v>
      </c>
      <c r="J158" s="1">
        <v>0</v>
      </c>
      <c r="K158" s="1" t="str">
        <f>IF(Table13[[#This Row],[Entrance_Fee_INR]]=0,"Free","Paid")</f>
        <v>Free</v>
      </c>
      <c r="L158" s="2" t="s">
        <v>29</v>
      </c>
      <c r="M158" s="2" t="s">
        <v>40</v>
      </c>
      <c r="N158" s="2" t="s">
        <v>80</v>
      </c>
      <c r="O158" s="2" t="s">
        <v>19</v>
      </c>
      <c r="P158" s="3">
        <v>0.01</v>
      </c>
      <c r="Q158" s="2" t="s">
        <v>37</v>
      </c>
      <c r="R158" s="1" t="str">
        <f>IF(Table13[[#This Row],[Number_Review_Lakhs]]&gt;=1,"Highly Popular", IF(Table13[[#This Row],[Number_Review_Lakhs]]&gt;=0.5,"Popular","Less Popular"))</f>
        <v>Less Popular</v>
      </c>
      <c r="S158" s="1" t="str">
        <f>IF(Table13[[#This Row],[Visit_Time_Hrs]]&lt;=2,"Short Visit", IF(Table13[[#This Row],[Visit_Time_Hrs]]&lt;=5,"Medium Visit","Full Day"))</f>
        <v>Short Visit</v>
      </c>
      <c r="T158" s="1" t="str">
        <f>IF(Table13[[#This Row],[Airport_50km_Radius]]="Yes","Accessible","Remote")</f>
        <v>Remote</v>
      </c>
      <c r="U158" s="1" t="str">
        <f>IF(Table13[[#This Row],[Reiew_Rating]]&gt;=4.7,"Yes","No")</f>
        <v>No</v>
      </c>
      <c r="V158" s="1" t="str">
        <f t="shared" si="8"/>
        <v>Leisure &amp; Commerce</v>
      </c>
      <c r="W158" s="1" t="str">
        <f t="shared" si="9"/>
        <v>★★★★☆</v>
      </c>
      <c r="X158" s="1" t="str">
        <f t="shared" si="10"/>
        <v>4 / 5 Stars</v>
      </c>
      <c r="Y158" s="1" t="str">
        <f t="shared" si="11"/>
        <v>Low Traffic</v>
      </c>
    </row>
    <row r="159" spans="1:25" x14ac:dyDescent="0.3">
      <c r="A159" s="2" t="s">
        <v>15</v>
      </c>
      <c r="B159" s="2" t="s">
        <v>339</v>
      </c>
      <c r="C159" s="2" t="s">
        <v>357</v>
      </c>
      <c r="D159" s="2" t="s">
        <v>358</v>
      </c>
      <c r="E159" s="2" t="s">
        <v>300</v>
      </c>
      <c r="F159" s="1">
        <v>1427</v>
      </c>
      <c r="G159" s="1">
        <v>2</v>
      </c>
      <c r="H159" s="1">
        <v>4.5</v>
      </c>
      <c r="I159" s="1" t="str">
        <f>IF(Table13[[#This Row],[Reiew_Rating]]&gt;=4.5,"Excellent",
IF(Table13[[#This Row],[Reiew_Rating]]&gt;=4,"Good","Average"))</f>
        <v>Excellent</v>
      </c>
      <c r="J159" s="1">
        <v>0</v>
      </c>
      <c r="K159" s="1" t="str">
        <f>IF(Table13[[#This Row],[Entrance_Fee_INR]]=0,"Free","Paid")</f>
        <v>Free</v>
      </c>
      <c r="L159" s="2" t="s">
        <v>29</v>
      </c>
      <c r="M159" s="2" t="s">
        <v>720</v>
      </c>
      <c r="N159" s="2" t="s">
        <v>94</v>
      </c>
      <c r="O159" s="2" t="s">
        <v>19</v>
      </c>
      <c r="P159" s="3">
        <v>0.01</v>
      </c>
      <c r="Q159" s="2" t="s">
        <v>37</v>
      </c>
      <c r="R159" s="1" t="str">
        <f>IF(Table13[[#This Row],[Number_Review_Lakhs]]&gt;=1,"Highly Popular", IF(Table13[[#This Row],[Number_Review_Lakhs]]&gt;=0.5,"Popular","Less Popular"))</f>
        <v>Less Popular</v>
      </c>
      <c r="S159" s="1" t="str">
        <f>IF(Table13[[#This Row],[Visit_Time_Hrs]]&lt;=2,"Short Visit", IF(Table13[[#This Row],[Visit_Time_Hrs]]&lt;=5,"Medium Visit","Full Day"))</f>
        <v>Short Visit</v>
      </c>
      <c r="T159" s="1" t="str">
        <f>IF(Table13[[#This Row],[Airport_50km_Radius]]="Yes","Accessible","Remote")</f>
        <v>Remote</v>
      </c>
      <c r="U159" s="1" t="str">
        <f>IF(Table13[[#This Row],[Reiew_Rating]]&gt;=4.7,"Yes","No")</f>
        <v>No</v>
      </c>
      <c r="V159" s="1" t="str">
        <f t="shared" si="8"/>
        <v>Nature &amp; Wildlife</v>
      </c>
      <c r="W159" s="1" t="str">
        <f t="shared" si="9"/>
        <v>★★★★★</v>
      </c>
      <c r="X159" s="1" t="str">
        <f t="shared" si="10"/>
        <v>5 / 5 Stars</v>
      </c>
      <c r="Y159" s="1" t="str">
        <f t="shared" si="11"/>
        <v>Low Traffic</v>
      </c>
    </row>
    <row r="160" spans="1:25" x14ac:dyDescent="0.3">
      <c r="A160" s="2" t="s">
        <v>15</v>
      </c>
      <c r="B160" s="2" t="s">
        <v>339</v>
      </c>
      <c r="C160" s="2" t="s">
        <v>359</v>
      </c>
      <c r="D160" s="2" t="s">
        <v>360</v>
      </c>
      <c r="E160" s="2" t="s">
        <v>43</v>
      </c>
      <c r="F160" s="1">
        <v>400</v>
      </c>
      <c r="G160" s="1">
        <v>2</v>
      </c>
      <c r="H160" s="1">
        <v>4.4000000000000004</v>
      </c>
      <c r="I160" s="1" t="str">
        <f>IF(Table13[[#This Row],[Reiew_Rating]]&gt;=4.5,"Excellent",
IF(Table13[[#This Row],[Reiew_Rating]]&gt;=4,"Good","Average"))</f>
        <v>Good</v>
      </c>
      <c r="J160" s="1">
        <v>150</v>
      </c>
      <c r="K160" s="1" t="str">
        <f>IF(Table13[[#This Row],[Entrance_Fee_INR]]=0,"Free","Paid")</f>
        <v>Paid</v>
      </c>
      <c r="L160" s="2" t="s">
        <v>19</v>
      </c>
      <c r="M160" s="2" t="s">
        <v>722</v>
      </c>
      <c r="N160" s="2" t="s">
        <v>21</v>
      </c>
      <c r="O160" s="2" t="s">
        <v>19</v>
      </c>
      <c r="P160" s="3">
        <v>0.1</v>
      </c>
      <c r="Q160" s="2" t="s">
        <v>51</v>
      </c>
      <c r="R160" s="1" t="str">
        <f>IF(Table13[[#This Row],[Number_Review_Lakhs]]&gt;=1,"Highly Popular", IF(Table13[[#This Row],[Number_Review_Lakhs]]&gt;=0.5,"Popular","Less Popular"))</f>
        <v>Less Popular</v>
      </c>
      <c r="S160" s="1" t="str">
        <f>IF(Table13[[#This Row],[Visit_Time_Hrs]]&lt;=2,"Short Visit", IF(Table13[[#This Row],[Visit_Time_Hrs]]&lt;=5,"Medium Visit","Full Day"))</f>
        <v>Short Visit</v>
      </c>
      <c r="T160" s="1" t="str">
        <f>IF(Table13[[#This Row],[Airport_50km_Radius]]="Yes","Accessible","Remote")</f>
        <v>Accessible</v>
      </c>
      <c r="U160" s="1" t="str">
        <f>IF(Table13[[#This Row],[Reiew_Rating]]&gt;=4.7,"Yes","No")</f>
        <v>No</v>
      </c>
      <c r="V160" s="1" t="str">
        <f t="shared" si="8"/>
        <v>Heritage &amp; Culture</v>
      </c>
      <c r="W160" s="1" t="str">
        <f t="shared" si="9"/>
        <v>★★★★☆</v>
      </c>
      <c r="X160" s="1" t="str">
        <f t="shared" si="10"/>
        <v>4 / 5 Stars</v>
      </c>
      <c r="Y160" s="1" t="str">
        <f t="shared" si="11"/>
        <v>Low Traffic</v>
      </c>
    </row>
    <row r="161" spans="1:25" x14ac:dyDescent="0.3">
      <c r="A161" s="2" t="s">
        <v>15</v>
      </c>
      <c r="B161" s="2" t="s">
        <v>339</v>
      </c>
      <c r="C161" s="2" t="s">
        <v>361</v>
      </c>
      <c r="D161" s="2" t="s">
        <v>362</v>
      </c>
      <c r="E161" s="2" t="s">
        <v>363</v>
      </c>
      <c r="F161" s="1">
        <v>1950</v>
      </c>
      <c r="G161" s="1">
        <v>1.5</v>
      </c>
      <c r="H161" s="1">
        <v>4.5999999999999996</v>
      </c>
      <c r="I161" s="1" t="str">
        <f>IF(Table13[[#This Row],[Reiew_Rating]]&gt;=4.5,"Excellent",
IF(Table13[[#This Row],[Reiew_Rating]]&gt;=4,"Good","Average"))</f>
        <v>Excellent</v>
      </c>
      <c r="J161" s="1">
        <v>0</v>
      </c>
      <c r="K161" s="1" t="str">
        <f>IF(Table13[[#This Row],[Entrance_Fee_INR]]=0,"Free","Paid")</f>
        <v>Free</v>
      </c>
      <c r="L161" s="2" t="s">
        <v>19</v>
      </c>
      <c r="M161" s="2" t="s">
        <v>40</v>
      </c>
      <c r="N161" s="2" t="s">
        <v>364</v>
      </c>
      <c r="O161" s="2" t="s">
        <v>19</v>
      </c>
      <c r="P161" s="3">
        <v>1.4999999999999999E-2</v>
      </c>
      <c r="Q161" s="2" t="s">
        <v>37</v>
      </c>
      <c r="R161" s="1" t="str">
        <f>IF(Table13[[#This Row],[Number_Review_Lakhs]]&gt;=1,"Highly Popular", IF(Table13[[#This Row],[Number_Review_Lakhs]]&gt;=0.5,"Popular","Less Popular"))</f>
        <v>Less Popular</v>
      </c>
      <c r="S161" s="1" t="str">
        <f>IF(Table13[[#This Row],[Visit_Time_Hrs]]&lt;=2,"Short Visit", IF(Table13[[#This Row],[Visit_Time_Hrs]]&lt;=5,"Medium Visit","Full Day"))</f>
        <v>Short Visit</v>
      </c>
      <c r="T161" s="1" t="str">
        <f>IF(Table13[[#This Row],[Airport_50km_Radius]]="Yes","Accessible","Remote")</f>
        <v>Accessible</v>
      </c>
      <c r="U161" s="1" t="str">
        <f>IF(Table13[[#This Row],[Reiew_Rating]]&gt;=4.7,"Yes","No")</f>
        <v>No</v>
      </c>
      <c r="V161" s="1" t="str">
        <f t="shared" si="8"/>
        <v>Other</v>
      </c>
      <c r="W161" s="1" t="str">
        <f t="shared" si="9"/>
        <v>★★★★★</v>
      </c>
      <c r="X161" s="1" t="str">
        <f t="shared" si="10"/>
        <v>5 / 5 Stars</v>
      </c>
      <c r="Y161" s="1" t="str">
        <f t="shared" si="11"/>
        <v>Low Traffic</v>
      </c>
    </row>
    <row r="162" spans="1:25" x14ac:dyDescent="0.3">
      <c r="A162" s="2" t="s">
        <v>15</v>
      </c>
      <c r="B162" s="2" t="s">
        <v>339</v>
      </c>
      <c r="C162" s="2" t="s">
        <v>365</v>
      </c>
      <c r="D162" s="2" t="s">
        <v>366</v>
      </c>
      <c r="E162" s="2" t="s">
        <v>106</v>
      </c>
      <c r="F162" s="1">
        <v>1400</v>
      </c>
      <c r="G162" s="1">
        <v>1.5</v>
      </c>
      <c r="H162" s="1">
        <v>4.5999999999999996</v>
      </c>
      <c r="I162" s="1" t="str">
        <f>IF(Table13[[#This Row],[Reiew_Rating]]&gt;=4.5,"Excellent",
IF(Table13[[#This Row],[Reiew_Rating]]&gt;=4,"Good","Average"))</f>
        <v>Excellent</v>
      </c>
      <c r="J162" s="1">
        <v>0</v>
      </c>
      <c r="K162" s="1" t="str">
        <f>IF(Table13[[#This Row],[Entrance_Fee_INR]]=0,"Free","Paid")</f>
        <v>Free</v>
      </c>
      <c r="L162" s="2" t="s">
        <v>29</v>
      </c>
      <c r="M162" s="2" t="s">
        <v>720</v>
      </c>
      <c r="N162" s="2" t="s">
        <v>94</v>
      </c>
      <c r="O162" s="2" t="s">
        <v>19</v>
      </c>
      <c r="P162" s="3">
        <v>0.01</v>
      </c>
      <c r="Q162" s="2" t="s">
        <v>37</v>
      </c>
      <c r="R162" s="1" t="str">
        <f>IF(Table13[[#This Row],[Number_Review_Lakhs]]&gt;=1,"Highly Popular", IF(Table13[[#This Row],[Number_Review_Lakhs]]&gt;=0.5,"Popular","Less Popular"))</f>
        <v>Less Popular</v>
      </c>
      <c r="S162" s="1" t="str">
        <f>IF(Table13[[#This Row],[Visit_Time_Hrs]]&lt;=2,"Short Visit", IF(Table13[[#This Row],[Visit_Time_Hrs]]&lt;=5,"Medium Visit","Full Day"))</f>
        <v>Short Visit</v>
      </c>
      <c r="T162" s="1" t="str">
        <f>IF(Table13[[#This Row],[Airport_50km_Radius]]="Yes","Accessible","Remote")</f>
        <v>Remote</v>
      </c>
      <c r="U162" s="1" t="str">
        <f>IF(Table13[[#This Row],[Reiew_Rating]]&gt;=4.7,"Yes","No")</f>
        <v>No</v>
      </c>
      <c r="V162" s="1" t="str">
        <f t="shared" si="8"/>
        <v>Nature &amp; Wildlife</v>
      </c>
      <c r="W162" s="1" t="str">
        <f t="shared" si="9"/>
        <v>★★★★★</v>
      </c>
      <c r="X162" s="1" t="str">
        <f t="shared" si="10"/>
        <v>5 / 5 Stars</v>
      </c>
      <c r="Y162" s="1" t="str">
        <f t="shared" si="11"/>
        <v>Low Traffic</v>
      </c>
    </row>
    <row r="163" spans="1:25" x14ac:dyDescent="0.3">
      <c r="A163" s="2" t="s">
        <v>15</v>
      </c>
      <c r="B163" s="2" t="s">
        <v>339</v>
      </c>
      <c r="C163" s="2" t="s">
        <v>367</v>
      </c>
      <c r="D163" s="2" t="s">
        <v>368</v>
      </c>
      <c r="E163" s="2" t="s">
        <v>369</v>
      </c>
      <c r="F163" s="1">
        <v>2005</v>
      </c>
      <c r="G163" s="1">
        <v>2</v>
      </c>
      <c r="H163" s="1">
        <v>4.8</v>
      </c>
      <c r="I163" s="1" t="str">
        <f>IF(Table13[[#This Row],[Reiew_Rating]]&gt;=4.5,"Excellent",
IF(Table13[[#This Row],[Reiew_Rating]]&gt;=4,"Good","Average"))</f>
        <v>Excellent</v>
      </c>
      <c r="J163" s="1">
        <v>2500</v>
      </c>
      <c r="K163" s="1" t="str">
        <f>IF(Table13[[#This Row],[Entrance_Fee_INR]]=0,"Free","Paid")</f>
        <v>Paid</v>
      </c>
      <c r="L163" s="2" t="s">
        <v>29</v>
      </c>
      <c r="M163" s="2" t="s">
        <v>32</v>
      </c>
      <c r="N163" s="2" t="s">
        <v>345</v>
      </c>
      <c r="O163" s="2" t="s">
        <v>19</v>
      </c>
      <c r="P163" s="3">
        <v>0.01</v>
      </c>
      <c r="Q163" s="2" t="s">
        <v>51</v>
      </c>
      <c r="R163" s="1" t="str">
        <f>IF(Table13[[#This Row],[Number_Review_Lakhs]]&gt;=1,"Highly Popular", IF(Table13[[#This Row],[Number_Review_Lakhs]]&gt;=0.5,"Popular","Less Popular"))</f>
        <v>Less Popular</v>
      </c>
      <c r="S163" s="1" t="str">
        <f>IF(Table13[[#This Row],[Visit_Time_Hrs]]&lt;=2,"Short Visit", IF(Table13[[#This Row],[Visit_Time_Hrs]]&lt;=5,"Medium Visit","Full Day"))</f>
        <v>Short Visit</v>
      </c>
      <c r="T163" s="1" t="str">
        <f>IF(Table13[[#This Row],[Airport_50km_Radius]]="Yes","Accessible","Remote")</f>
        <v>Remote</v>
      </c>
      <c r="U163" s="1" t="str">
        <f>IF(Table13[[#This Row],[Reiew_Rating]]&gt;=4.7,"Yes","No")</f>
        <v>Yes</v>
      </c>
      <c r="V163" s="1" t="str">
        <f t="shared" si="8"/>
        <v>Other</v>
      </c>
      <c r="W163" s="1" t="str">
        <f t="shared" si="9"/>
        <v>★★★★★</v>
      </c>
      <c r="X163" s="1" t="str">
        <f t="shared" si="10"/>
        <v>5 / 5 Stars</v>
      </c>
      <c r="Y163" s="1" t="str">
        <f t="shared" si="11"/>
        <v>Low Traffic</v>
      </c>
    </row>
    <row r="164" spans="1:25" x14ac:dyDescent="0.3">
      <c r="A164" s="2" t="s">
        <v>15</v>
      </c>
      <c r="B164" s="2" t="s">
        <v>339</v>
      </c>
      <c r="C164" s="2" t="s">
        <v>370</v>
      </c>
      <c r="D164" s="2" t="s">
        <v>371</v>
      </c>
      <c r="E164" s="2" t="s">
        <v>372</v>
      </c>
      <c r="F164" s="1">
        <v>1918</v>
      </c>
      <c r="G164" s="1">
        <v>5</v>
      </c>
      <c r="H164" s="1">
        <v>4.8</v>
      </c>
      <c r="I164" s="1" t="str">
        <f>IF(Table13[[#This Row],[Reiew_Rating]]&gt;=4.5,"Excellent",
IF(Table13[[#This Row],[Reiew_Rating]]&gt;=4,"Good","Average"))</f>
        <v>Excellent</v>
      </c>
      <c r="J164" s="1">
        <v>0</v>
      </c>
      <c r="K164" s="1" t="str">
        <f>IF(Table13[[#This Row],[Entrance_Fee_INR]]=0,"Free","Paid")</f>
        <v>Free</v>
      </c>
      <c r="L164" s="2" t="s">
        <v>19</v>
      </c>
      <c r="M164" s="2" t="s">
        <v>721</v>
      </c>
      <c r="N164" s="2" t="s">
        <v>345</v>
      </c>
      <c r="O164" s="2" t="s">
        <v>19</v>
      </c>
      <c r="P164" s="3">
        <v>0.01</v>
      </c>
      <c r="Q164" s="2" t="s">
        <v>37</v>
      </c>
      <c r="R164" s="1" t="str">
        <f>IF(Table13[[#This Row],[Number_Review_Lakhs]]&gt;=1,"Highly Popular", IF(Table13[[#This Row],[Number_Review_Lakhs]]&gt;=0.5,"Popular","Less Popular"))</f>
        <v>Less Popular</v>
      </c>
      <c r="S164" s="1" t="str">
        <f>IF(Table13[[#This Row],[Visit_Time_Hrs]]&lt;=2,"Short Visit", IF(Table13[[#This Row],[Visit_Time_Hrs]]&lt;=5,"Medium Visit","Full Day"))</f>
        <v>Medium Visit</v>
      </c>
      <c r="T164" s="1" t="str">
        <f>IF(Table13[[#This Row],[Airport_50km_Radius]]="Yes","Accessible","Remote")</f>
        <v>Accessible</v>
      </c>
      <c r="U164" s="1" t="str">
        <f>IF(Table13[[#This Row],[Reiew_Rating]]&gt;=4.7,"Yes","No")</f>
        <v>Yes</v>
      </c>
      <c r="V164" s="1" t="str">
        <f t="shared" si="8"/>
        <v>Other</v>
      </c>
      <c r="W164" s="1" t="str">
        <f t="shared" si="9"/>
        <v>★★★★★</v>
      </c>
      <c r="X164" s="1" t="str">
        <f t="shared" si="10"/>
        <v>5 / 5 Stars</v>
      </c>
      <c r="Y164" s="1" t="str">
        <f t="shared" si="11"/>
        <v>Low Traffic</v>
      </c>
    </row>
    <row r="165" spans="1:25" x14ac:dyDescent="0.3">
      <c r="A165" s="2" t="s">
        <v>15</v>
      </c>
      <c r="B165" s="2" t="s">
        <v>339</v>
      </c>
      <c r="C165" s="2" t="s">
        <v>373</v>
      </c>
      <c r="D165" s="2" t="s">
        <v>374</v>
      </c>
      <c r="E165" s="2" t="s">
        <v>375</v>
      </c>
      <c r="F165" s="1">
        <v>1980</v>
      </c>
      <c r="G165" s="1">
        <v>1</v>
      </c>
      <c r="H165" s="1">
        <v>4.5999999999999996</v>
      </c>
      <c r="I165" s="1" t="str">
        <f>IF(Table13[[#This Row],[Reiew_Rating]]&gt;=4.5,"Excellent",
IF(Table13[[#This Row],[Reiew_Rating]]&gt;=4,"Good","Average"))</f>
        <v>Excellent</v>
      </c>
      <c r="J165" s="1">
        <v>0</v>
      </c>
      <c r="K165" s="1" t="str">
        <f>IF(Table13[[#This Row],[Entrance_Fee_INR]]=0,"Free","Paid")</f>
        <v>Free</v>
      </c>
      <c r="L165" s="2" t="s">
        <v>29</v>
      </c>
      <c r="M165" s="2" t="s">
        <v>305</v>
      </c>
      <c r="N165" s="2" t="s">
        <v>28</v>
      </c>
      <c r="O165" s="2" t="s">
        <v>19</v>
      </c>
      <c r="P165" s="3">
        <v>1.3</v>
      </c>
      <c r="Q165" s="2" t="s">
        <v>37</v>
      </c>
      <c r="R165" s="1" t="str">
        <f>IF(Table13[[#This Row],[Number_Review_Lakhs]]&gt;=1,"Highly Popular", IF(Table13[[#This Row],[Number_Review_Lakhs]]&gt;=0.5,"Popular","Less Popular"))</f>
        <v>Highly Popular</v>
      </c>
      <c r="S165" s="1" t="str">
        <f>IF(Table13[[#This Row],[Visit_Time_Hrs]]&lt;=2,"Short Visit", IF(Table13[[#This Row],[Visit_Time_Hrs]]&lt;=5,"Medium Visit","Full Day"))</f>
        <v>Short Visit</v>
      </c>
      <c r="T165" s="1" t="str">
        <f>IF(Table13[[#This Row],[Airport_50km_Radius]]="Yes","Accessible","Remote")</f>
        <v>Remote</v>
      </c>
      <c r="U165" s="1" t="str">
        <f>IF(Table13[[#This Row],[Reiew_Rating]]&gt;=4.7,"Yes","No")</f>
        <v>No</v>
      </c>
      <c r="V165" s="1" t="str">
        <f t="shared" si="8"/>
        <v>Heritage &amp; Culture</v>
      </c>
      <c r="W165" s="1" t="str">
        <f t="shared" si="9"/>
        <v>★★★★★</v>
      </c>
      <c r="X165" s="1" t="str">
        <f t="shared" si="10"/>
        <v>5 / 5 Stars</v>
      </c>
      <c r="Y165" s="1" t="str">
        <f t="shared" si="11"/>
        <v>Medium Traffic</v>
      </c>
    </row>
    <row r="166" spans="1:25" x14ac:dyDescent="0.3">
      <c r="A166" s="2" t="s">
        <v>15</v>
      </c>
      <c r="B166" s="2" t="s">
        <v>339</v>
      </c>
      <c r="C166" s="2" t="s">
        <v>376</v>
      </c>
      <c r="D166" s="2" t="s">
        <v>377</v>
      </c>
      <c r="E166" s="2" t="s">
        <v>247</v>
      </c>
      <c r="F166" s="1">
        <v>1655</v>
      </c>
      <c r="G166" s="1">
        <v>2</v>
      </c>
      <c r="H166" s="1">
        <v>4.5</v>
      </c>
      <c r="I166" s="1" t="str">
        <f>IF(Table13[[#This Row],[Reiew_Rating]]&gt;=4.5,"Excellent",
IF(Table13[[#This Row],[Reiew_Rating]]&gt;=4,"Good","Average"))</f>
        <v>Excellent</v>
      </c>
      <c r="J166" s="1">
        <v>0</v>
      </c>
      <c r="K166" s="1" t="str">
        <f>IF(Table13[[#This Row],[Entrance_Fee_INR]]=0,"Free","Paid")</f>
        <v>Free</v>
      </c>
      <c r="L166" s="2" t="s">
        <v>19</v>
      </c>
      <c r="M166" s="2" t="s">
        <v>57</v>
      </c>
      <c r="N166" s="2" t="s">
        <v>94</v>
      </c>
      <c r="O166" s="2" t="s">
        <v>19</v>
      </c>
      <c r="P166" s="3">
        <v>1.1000000000000001</v>
      </c>
      <c r="Q166" s="2" t="s">
        <v>51</v>
      </c>
      <c r="R166" s="1" t="str">
        <f>IF(Table13[[#This Row],[Number_Review_Lakhs]]&gt;=1,"Highly Popular", IF(Table13[[#This Row],[Number_Review_Lakhs]]&gt;=0.5,"Popular","Less Popular"))</f>
        <v>Highly Popular</v>
      </c>
      <c r="S166" s="1" t="str">
        <f>IF(Table13[[#This Row],[Visit_Time_Hrs]]&lt;=2,"Short Visit", IF(Table13[[#This Row],[Visit_Time_Hrs]]&lt;=5,"Medium Visit","Full Day"))</f>
        <v>Short Visit</v>
      </c>
      <c r="T166" s="1" t="str">
        <f>IF(Table13[[#This Row],[Airport_50km_Radius]]="Yes","Accessible","Remote")</f>
        <v>Accessible</v>
      </c>
      <c r="U166" s="1" t="str">
        <f>IF(Table13[[#This Row],[Reiew_Rating]]&gt;=4.7,"Yes","No")</f>
        <v>No</v>
      </c>
      <c r="V166" s="1" t="str">
        <f t="shared" si="8"/>
        <v>Nature &amp; Wildlife</v>
      </c>
      <c r="W166" s="1" t="str">
        <f t="shared" si="9"/>
        <v>★★★★★</v>
      </c>
      <c r="X166" s="1" t="str">
        <f t="shared" si="10"/>
        <v>5 / 5 Stars</v>
      </c>
      <c r="Y166" s="1" t="str">
        <f t="shared" si="11"/>
        <v>Medium Traffic</v>
      </c>
    </row>
    <row r="167" spans="1:25" x14ac:dyDescent="0.3">
      <c r="A167" s="2" t="s">
        <v>15</v>
      </c>
      <c r="B167" s="2" t="s">
        <v>339</v>
      </c>
      <c r="C167" s="2" t="s">
        <v>378</v>
      </c>
      <c r="D167" s="2" t="s">
        <v>379</v>
      </c>
      <c r="E167" s="2" t="s">
        <v>300</v>
      </c>
      <c r="F167" s="1">
        <v>1564</v>
      </c>
      <c r="G167" s="1">
        <v>2</v>
      </c>
      <c r="H167" s="1">
        <v>4.7</v>
      </c>
      <c r="I167" s="1" t="str">
        <f>IF(Table13[[#This Row],[Reiew_Rating]]&gt;=4.5,"Excellent",
IF(Table13[[#This Row],[Reiew_Rating]]&gt;=4,"Good","Average"))</f>
        <v>Excellent</v>
      </c>
      <c r="J167" s="1">
        <v>0</v>
      </c>
      <c r="K167" s="1" t="str">
        <f>IF(Table13[[#This Row],[Entrance_Fee_INR]]=0,"Free","Paid")</f>
        <v>Free</v>
      </c>
      <c r="L167" s="2" t="s">
        <v>29</v>
      </c>
      <c r="M167" s="2" t="s">
        <v>32</v>
      </c>
      <c r="N167" s="2" t="s">
        <v>94</v>
      </c>
      <c r="O167" s="2" t="s">
        <v>19</v>
      </c>
      <c r="P167" s="3">
        <v>1.2</v>
      </c>
      <c r="Q167" s="2" t="s">
        <v>37</v>
      </c>
      <c r="R167" s="1" t="str">
        <f>IF(Table13[[#This Row],[Number_Review_Lakhs]]&gt;=1,"Highly Popular", IF(Table13[[#This Row],[Number_Review_Lakhs]]&gt;=0.5,"Popular","Less Popular"))</f>
        <v>Highly Popular</v>
      </c>
      <c r="S167" s="1" t="str">
        <f>IF(Table13[[#This Row],[Visit_Time_Hrs]]&lt;=2,"Short Visit", IF(Table13[[#This Row],[Visit_Time_Hrs]]&lt;=5,"Medium Visit","Full Day"))</f>
        <v>Short Visit</v>
      </c>
      <c r="T167" s="1" t="str">
        <f>IF(Table13[[#This Row],[Airport_50km_Radius]]="Yes","Accessible","Remote")</f>
        <v>Remote</v>
      </c>
      <c r="U167" s="1" t="str">
        <f>IF(Table13[[#This Row],[Reiew_Rating]]&gt;=4.7,"Yes","No")</f>
        <v>Yes</v>
      </c>
      <c r="V167" s="1" t="str">
        <f t="shared" si="8"/>
        <v>Nature &amp; Wildlife</v>
      </c>
      <c r="W167" s="1" t="str">
        <f t="shared" si="9"/>
        <v>★★★★★</v>
      </c>
      <c r="X167" s="1" t="str">
        <f t="shared" si="10"/>
        <v>5 / 5 Stars</v>
      </c>
      <c r="Y167" s="1" t="str">
        <f t="shared" si="11"/>
        <v>Medium Traffic</v>
      </c>
    </row>
    <row r="168" spans="1:25" x14ac:dyDescent="0.3">
      <c r="A168" s="2" t="s">
        <v>15</v>
      </c>
      <c r="B168" s="2" t="s">
        <v>339</v>
      </c>
      <c r="C168" s="2" t="s">
        <v>380</v>
      </c>
      <c r="D168" s="2" t="s">
        <v>381</v>
      </c>
      <c r="E168" s="2" t="s">
        <v>106</v>
      </c>
      <c r="F168" s="1">
        <v>1981</v>
      </c>
      <c r="G168" s="1">
        <v>2.5</v>
      </c>
      <c r="H168" s="1">
        <v>4.4000000000000004</v>
      </c>
      <c r="I168" s="1" t="str">
        <f>IF(Table13[[#This Row],[Reiew_Rating]]&gt;=4.5,"Excellent",
IF(Table13[[#This Row],[Reiew_Rating]]&gt;=4,"Good","Average"))</f>
        <v>Good</v>
      </c>
      <c r="J168" s="1">
        <v>0</v>
      </c>
      <c r="K168" s="1" t="str">
        <f>IF(Table13[[#This Row],[Entrance_Fee_INR]]=0,"Free","Paid")</f>
        <v>Free</v>
      </c>
      <c r="L168" s="2" t="s">
        <v>29</v>
      </c>
      <c r="M168" s="2" t="s">
        <v>720</v>
      </c>
      <c r="N168" s="2" t="s">
        <v>94</v>
      </c>
      <c r="O168" s="2" t="s">
        <v>19</v>
      </c>
      <c r="P168" s="3">
        <v>0.9</v>
      </c>
      <c r="Q168" s="2" t="s">
        <v>37</v>
      </c>
      <c r="R168" s="1" t="str">
        <f>IF(Table13[[#This Row],[Number_Review_Lakhs]]&gt;=1,"Highly Popular", IF(Table13[[#This Row],[Number_Review_Lakhs]]&gt;=0.5,"Popular","Less Popular"))</f>
        <v>Popular</v>
      </c>
      <c r="S168" s="1" t="str">
        <f>IF(Table13[[#This Row],[Visit_Time_Hrs]]&lt;=2,"Short Visit", IF(Table13[[#This Row],[Visit_Time_Hrs]]&lt;=5,"Medium Visit","Full Day"))</f>
        <v>Medium Visit</v>
      </c>
      <c r="T168" s="1" t="str">
        <f>IF(Table13[[#This Row],[Airport_50km_Radius]]="Yes","Accessible","Remote")</f>
        <v>Remote</v>
      </c>
      <c r="U168" s="1" t="str">
        <f>IF(Table13[[#This Row],[Reiew_Rating]]&gt;=4.7,"Yes","No")</f>
        <v>No</v>
      </c>
      <c r="V168" s="1" t="str">
        <f t="shared" si="8"/>
        <v>Nature &amp; Wildlife</v>
      </c>
      <c r="W168" s="1" t="str">
        <f t="shared" si="9"/>
        <v>★★★★☆</v>
      </c>
      <c r="X168" s="1" t="str">
        <f t="shared" si="10"/>
        <v>4 / 5 Stars</v>
      </c>
      <c r="Y168" s="1" t="str">
        <f t="shared" si="11"/>
        <v>Medium Traffic</v>
      </c>
    </row>
    <row r="169" spans="1:25" x14ac:dyDescent="0.3">
      <c r="A169" s="2" t="s">
        <v>15</v>
      </c>
      <c r="B169" s="2" t="s">
        <v>339</v>
      </c>
      <c r="C169" s="2" t="s">
        <v>382</v>
      </c>
      <c r="D169" s="2" t="s">
        <v>383</v>
      </c>
      <c r="E169" s="2" t="s">
        <v>384</v>
      </c>
      <c r="F169" s="1">
        <v>1975</v>
      </c>
      <c r="G169" s="1">
        <v>5</v>
      </c>
      <c r="H169" s="1">
        <v>3.8</v>
      </c>
      <c r="I169" s="1" t="str">
        <f>IF(Table13[[#This Row],[Reiew_Rating]]&gt;=4.5,"Excellent",
IF(Table13[[#This Row],[Reiew_Rating]]&gt;=4,"Good","Average"))</f>
        <v>Average</v>
      </c>
      <c r="J169" s="1">
        <v>1500</v>
      </c>
      <c r="K169" s="1" t="str">
        <f>IF(Table13[[#This Row],[Entrance_Fee_INR]]=0,"Free","Paid")</f>
        <v>Paid</v>
      </c>
      <c r="L169" s="2" t="s">
        <v>19</v>
      </c>
      <c r="M169" s="2" t="s">
        <v>40</v>
      </c>
      <c r="N169" s="2" t="s">
        <v>80</v>
      </c>
      <c r="O169" s="2" t="s">
        <v>19</v>
      </c>
      <c r="P169" s="3">
        <v>0.1</v>
      </c>
      <c r="Q169" s="2" t="s">
        <v>51</v>
      </c>
      <c r="R169" s="1" t="str">
        <f>IF(Table13[[#This Row],[Number_Review_Lakhs]]&gt;=1,"Highly Popular", IF(Table13[[#This Row],[Number_Review_Lakhs]]&gt;=0.5,"Popular","Less Popular"))</f>
        <v>Less Popular</v>
      </c>
      <c r="S169" s="1" t="str">
        <f>IF(Table13[[#This Row],[Visit_Time_Hrs]]&lt;=2,"Short Visit", IF(Table13[[#This Row],[Visit_Time_Hrs]]&lt;=5,"Medium Visit","Full Day"))</f>
        <v>Medium Visit</v>
      </c>
      <c r="T169" s="1" t="str">
        <f>IF(Table13[[#This Row],[Airport_50km_Radius]]="Yes","Accessible","Remote")</f>
        <v>Accessible</v>
      </c>
      <c r="U169" s="1" t="str">
        <f>IF(Table13[[#This Row],[Reiew_Rating]]&gt;=4.7,"Yes","No")</f>
        <v>No</v>
      </c>
      <c r="V169" s="1" t="str">
        <f t="shared" si="8"/>
        <v>Leisure &amp; Commerce</v>
      </c>
      <c r="W169" s="1" t="str">
        <f t="shared" si="9"/>
        <v>★★★★☆</v>
      </c>
      <c r="X169" s="1" t="str">
        <f t="shared" si="10"/>
        <v>4 / 5 Stars</v>
      </c>
      <c r="Y169" s="1" t="str">
        <f t="shared" si="11"/>
        <v>Low Traffic</v>
      </c>
    </row>
    <row r="170" spans="1:25" x14ac:dyDescent="0.3">
      <c r="A170" s="2" t="s">
        <v>15</v>
      </c>
      <c r="B170" s="2" t="s">
        <v>385</v>
      </c>
      <c r="C170" s="2" t="s">
        <v>386</v>
      </c>
      <c r="D170" s="2" t="s">
        <v>387</v>
      </c>
      <c r="E170" s="2" t="s">
        <v>106</v>
      </c>
      <c r="F170" s="1">
        <v>1527</v>
      </c>
      <c r="G170" s="1">
        <v>1.5</v>
      </c>
      <c r="H170" s="1">
        <v>4.2</v>
      </c>
      <c r="I170" s="1" t="str">
        <f>IF(Table13[[#This Row],[Reiew_Rating]]&gt;=4.5,"Excellent",
IF(Table13[[#This Row],[Reiew_Rating]]&gt;=4,"Good","Average"))</f>
        <v>Good</v>
      </c>
      <c r="J170" s="1">
        <v>0</v>
      </c>
      <c r="K170" s="1" t="str">
        <f>IF(Table13[[#This Row],[Entrance_Fee_INR]]=0,"Free","Paid")</f>
        <v>Free</v>
      </c>
      <c r="L170" s="2" t="s">
        <v>19</v>
      </c>
      <c r="M170" s="2" t="s">
        <v>40</v>
      </c>
      <c r="N170" s="2" t="s">
        <v>94</v>
      </c>
      <c r="O170" s="2" t="s">
        <v>19</v>
      </c>
      <c r="P170" s="3">
        <v>0.01</v>
      </c>
      <c r="Q170" s="2" t="s">
        <v>37</v>
      </c>
      <c r="R170" s="1" t="str">
        <f>IF(Table13[[#This Row],[Number_Review_Lakhs]]&gt;=1,"Highly Popular", IF(Table13[[#This Row],[Number_Review_Lakhs]]&gt;=0.5,"Popular","Less Popular"))</f>
        <v>Less Popular</v>
      </c>
      <c r="S170" s="1" t="str">
        <f>IF(Table13[[#This Row],[Visit_Time_Hrs]]&lt;=2,"Short Visit", IF(Table13[[#This Row],[Visit_Time_Hrs]]&lt;=5,"Medium Visit","Full Day"))</f>
        <v>Short Visit</v>
      </c>
      <c r="T170" s="1" t="str">
        <f>IF(Table13[[#This Row],[Airport_50km_Radius]]="Yes","Accessible","Remote")</f>
        <v>Accessible</v>
      </c>
      <c r="U170" s="1" t="str">
        <f>IF(Table13[[#This Row],[Reiew_Rating]]&gt;=4.7,"Yes","No")</f>
        <v>No</v>
      </c>
      <c r="V170" s="1" t="str">
        <f t="shared" si="8"/>
        <v>Nature &amp; Wildlife</v>
      </c>
      <c r="W170" s="1" t="str">
        <f t="shared" si="9"/>
        <v>★★★★☆</v>
      </c>
      <c r="X170" s="1" t="str">
        <f t="shared" si="10"/>
        <v>4 / 5 Stars</v>
      </c>
      <c r="Y170" s="1" t="str">
        <f t="shared" si="11"/>
        <v>Low Traffic</v>
      </c>
    </row>
    <row r="171" spans="1:25" x14ac:dyDescent="0.3">
      <c r="A171" s="2" t="s">
        <v>15</v>
      </c>
      <c r="B171" s="2" t="s">
        <v>385</v>
      </c>
      <c r="C171" s="2" t="s">
        <v>388</v>
      </c>
      <c r="D171" s="2" t="s">
        <v>389</v>
      </c>
      <c r="E171" s="2" t="s">
        <v>390</v>
      </c>
      <c r="F171" s="1">
        <v>1939</v>
      </c>
      <c r="G171" s="1">
        <v>1</v>
      </c>
      <c r="H171" s="1">
        <v>4.4000000000000004</v>
      </c>
      <c r="I171" s="1" t="str">
        <f>IF(Table13[[#This Row],[Reiew_Rating]]&gt;=4.5,"Excellent",
IF(Table13[[#This Row],[Reiew_Rating]]&gt;=4,"Good","Average"))</f>
        <v>Good</v>
      </c>
      <c r="J171" s="1">
        <v>0</v>
      </c>
      <c r="K171" s="1" t="str">
        <f>IF(Table13[[#This Row],[Entrance_Fee_INR]]=0,"Free","Paid")</f>
        <v>Free</v>
      </c>
      <c r="L171" s="2" t="s">
        <v>19</v>
      </c>
      <c r="M171" s="2" t="s">
        <v>32</v>
      </c>
      <c r="N171" s="2" t="s">
        <v>169</v>
      </c>
      <c r="O171" s="2" t="s">
        <v>19</v>
      </c>
      <c r="P171" s="3">
        <v>0.03</v>
      </c>
      <c r="Q171" s="2" t="s">
        <v>37</v>
      </c>
      <c r="R171" s="1" t="str">
        <f>IF(Table13[[#This Row],[Number_Review_Lakhs]]&gt;=1,"Highly Popular", IF(Table13[[#This Row],[Number_Review_Lakhs]]&gt;=0.5,"Popular","Less Popular"))</f>
        <v>Less Popular</v>
      </c>
      <c r="S171" s="1" t="str">
        <f>IF(Table13[[#This Row],[Visit_Time_Hrs]]&lt;=2,"Short Visit", IF(Table13[[#This Row],[Visit_Time_Hrs]]&lt;=5,"Medium Visit","Full Day"))</f>
        <v>Short Visit</v>
      </c>
      <c r="T171" s="1" t="str">
        <f>IF(Table13[[#This Row],[Airport_50km_Radius]]="Yes","Accessible","Remote")</f>
        <v>Accessible</v>
      </c>
      <c r="U171" s="1" t="str">
        <f>IF(Table13[[#This Row],[Reiew_Rating]]&gt;=4.7,"Yes","No")</f>
        <v>No</v>
      </c>
      <c r="V171" s="1" t="str">
        <f t="shared" si="8"/>
        <v>Other</v>
      </c>
      <c r="W171" s="1" t="str">
        <f t="shared" si="9"/>
        <v>★★★★☆</v>
      </c>
      <c r="X171" s="1" t="str">
        <f t="shared" si="10"/>
        <v>4 / 5 Stars</v>
      </c>
      <c r="Y171" s="1" t="str">
        <f t="shared" si="11"/>
        <v>Low Traffic</v>
      </c>
    </row>
    <row r="172" spans="1:25" x14ac:dyDescent="0.3">
      <c r="A172" s="2" t="s">
        <v>15</v>
      </c>
      <c r="B172" s="2" t="s">
        <v>385</v>
      </c>
      <c r="C172" s="2" t="s">
        <v>391</v>
      </c>
      <c r="D172" s="2" t="s">
        <v>392</v>
      </c>
      <c r="E172" s="2" t="s">
        <v>393</v>
      </c>
      <c r="F172" s="1">
        <v>1819</v>
      </c>
      <c r="G172" s="1">
        <v>1</v>
      </c>
      <c r="H172" s="1">
        <v>4.5</v>
      </c>
      <c r="I172" s="1" t="str">
        <f>IF(Table13[[#This Row],[Reiew_Rating]]&gt;=4.5,"Excellent",
IF(Table13[[#This Row],[Reiew_Rating]]&gt;=4,"Good","Average"))</f>
        <v>Excellent</v>
      </c>
      <c r="J172" s="1">
        <v>0</v>
      </c>
      <c r="K172" s="1" t="str">
        <f>IF(Table13[[#This Row],[Entrance_Fee_INR]]=0,"Free","Paid")</f>
        <v>Free</v>
      </c>
      <c r="L172" s="2" t="s">
        <v>19</v>
      </c>
      <c r="M172" s="2" t="s">
        <v>32</v>
      </c>
      <c r="N172" s="2" t="s">
        <v>28</v>
      </c>
      <c r="O172" s="2" t="s">
        <v>19</v>
      </c>
      <c r="P172" s="3">
        <v>2.5000000000000001E-2</v>
      </c>
      <c r="Q172" s="2" t="s">
        <v>51</v>
      </c>
      <c r="R172" s="1" t="str">
        <f>IF(Table13[[#This Row],[Number_Review_Lakhs]]&gt;=1,"Highly Popular", IF(Table13[[#This Row],[Number_Review_Lakhs]]&gt;=0.5,"Popular","Less Popular"))</f>
        <v>Less Popular</v>
      </c>
      <c r="S172" s="1" t="str">
        <f>IF(Table13[[#This Row],[Visit_Time_Hrs]]&lt;=2,"Short Visit", IF(Table13[[#This Row],[Visit_Time_Hrs]]&lt;=5,"Medium Visit","Full Day"))</f>
        <v>Short Visit</v>
      </c>
      <c r="T172" s="1" t="str">
        <f>IF(Table13[[#This Row],[Airport_50km_Radius]]="Yes","Accessible","Remote")</f>
        <v>Accessible</v>
      </c>
      <c r="U172" s="1" t="str">
        <f>IF(Table13[[#This Row],[Reiew_Rating]]&gt;=4.7,"Yes","No")</f>
        <v>No</v>
      </c>
      <c r="V172" s="1" t="str">
        <f t="shared" si="8"/>
        <v>Heritage &amp; Culture</v>
      </c>
      <c r="W172" s="1" t="str">
        <f t="shared" si="9"/>
        <v>★★★★★</v>
      </c>
      <c r="X172" s="1" t="str">
        <f t="shared" si="10"/>
        <v>5 / 5 Stars</v>
      </c>
      <c r="Y172" s="1" t="str">
        <f t="shared" si="11"/>
        <v>Low Traffic</v>
      </c>
    </row>
    <row r="173" spans="1:25" x14ac:dyDescent="0.3">
      <c r="A173" s="2" t="s">
        <v>15</v>
      </c>
      <c r="B173" s="2" t="s">
        <v>385</v>
      </c>
      <c r="C173" s="2" t="s">
        <v>394</v>
      </c>
      <c r="D173" s="2" t="s">
        <v>395</v>
      </c>
      <c r="E173" s="2" t="s">
        <v>263</v>
      </c>
      <c r="F173" s="1">
        <v>1516</v>
      </c>
      <c r="G173" s="1">
        <v>1.5</v>
      </c>
      <c r="H173" s="1">
        <v>4.5</v>
      </c>
      <c r="I173" s="1" t="str">
        <f>IF(Table13[[#This Row],[Reiew_Rating]]&gt;=4.5,"Excellent",
IF(Table13[[#This Row],[Reiew_Rating]]&gt;=4,"Good","Average"))</f>
        <v>Excellent</v>
      </c>
      <c r="J173" s="1">
        <v>25</v>
      </c>
      <c r="K173" s="1" t="str">
        <f>IF(Table13[[#This Row],[Entrance_Fee_INR]]=0,"Free","Paid")</f>
        <v>Paid</v>
      </c>
      <c r="L173" s="2" t="s">
        <v>19</v>
      </c>
      <c r="M173" s="2" t="s">
        <v>721</v>
      </c>
      <c r="N173" s="2" t="s">
        <v>94</v>
      </c>
      <c r="O173" s="2" t="s">
        <v>19</v>
      </c>
      <c r="P173" s="3">
        <v>0.01</v>
      </c>
      <c r="Q173" s="2" t="s">
        <v>37</v>
      </c>
      <c r="R173" s="1" t="str">
        <f>IF(Table13[[#This Row],[Number_Review_Lakhs]]&gt;=1,"Highly Popular", IF(Table13[[#This Row],[Number_Review_Lakhs]]&gt;=0.5,"Popular","Less Popular"))</f>
        <v>Less Popular</v>
      </c>
      <c r="S173" s="1" t="str">
        <f>IF(Table13[[#This Row],[Visit_Time_Hrs]]&lt;=2,"Short Visit", IF(Table13[[#This Row],[Visit_Time_Hrs]]&lt;=5,"Medium Visit","Full Day"))</f>
        <v>Short Visit</v>
      </c>
      <c r="T173" s="1" t="str">
        <f>IF(Table13[[#This Row],[Airport_50km_Radius]]="Yes","Accessible","Remote")</f>
        <v>Accessible</v>
      </c>
      <c r="U173" s="1" t="str">
        <f>IF(Table13[[#This Row],[Reiew_Rating]]&gt;=4.7,"Yes","No")</f>
        <v>No</v>
      </c>
      <c r="V173" s="1" t="str">
        <f t="shared" si="8"/>
        <v>Nature &amp; Wildlife</v>
      </c>
      <c r="W173" s="1" t="str">
        <f t="shared" si="9"/>
        <v>★★★★★</v>
      </c>
      <c r="X173" s="1" t="str">
        <f t="shared" si="10"/>
        <v>5 / 5 Stars</v>
      </c>
      <c r="Y173" s="1" t="str">
        <f t="shared" si="11"/>
        <v>Low Traffic</v>
      </c>
    </row>
    <row r="174" spans="1:25" x14ac:dyDescent="0.3">
      <c r="A174" s="2" t="s">
        <v>15</v>
      </c>
      <c r="B174" s="2" t="s">
        <v>385</v>
      </c>
      <c r="C174" s="2" t="s">
        <v>396</v>
      </c>
      <c r="D174" s="2" t="s">
        <v>397</v>
      </c>
      <c r="E174" s="2" t="s">
        <v>142</v>
      </c>
      <c r="F174" s="1">
        <v>1810</v>
      </c>
      <c r="G174" s="1">
        <v>1.5</v>
      </c>
      <c r="H174" s="1">
        <v>4.2</v>
      </c>
      <c r="I174" s="1" t="str">
        <f>IF(Table13[[#This Row],[Reiew_Rating]]&gt;=4.5,"Excellent",
IF(Table13[[#This Row],[Reiew_Rating]]&gt;=4,"Good","Average"))</f>
        <v>Good</v>
      </c>
      <c r="J174" s="1">
        <v>15</v>
      </c>
      <c r="K174" s="1" t="str">
        <f>IF(Table13[[#This Row],[Entrance_Fee_INR]]=0,"Free","Paid")</f>
        <v>Paid</v>
      </c>
      <c r="L174" s="2" t="s">
        <v>19</v>
      </c>
      <c r="M174" s="2" t="s">
        <v>720</v>
      </c>
      <c r="N174" s="2" t="s">
        <v>94</v>
      </c>
      <c r="O174" s="2" t="s">
        <v>19</v>
      </c>
      <c r="P174" s="3">
        <v>0.55000000000000004</v>
      </c>
      <c r="Q174" s="2" t="s">
        <v>37</v>
      </c>
      <c r="R174" s="1" t="str">
        <f>IF(Table13[[#This Row],[Number_Review_Lakhs]]&gt;=1,"Highly Popular", IF(Table13[[#This Row],[Number_Review_Lakhs]]&gt;=0.5,"Popular","Less Popular"))</f>
        <v>Popular</v>
      </c>
      <c r="S174" s="1" t="str">
        <f>IF(Table13[[#This Row],[Visit_Time_Hrs]]&lt;=2,"Short Visit", IF(Table13[[#This Row],[Visit_Time_Hrs]]&lt;=5,"Medium Visit","Full Day"))</f>
        <v>Short Visit</v>
      </c>
      <c r="T174" s="1" t="str">
        <f>IF(Table13[[#This Row],[Airport_50km_Radius]]="Yes","Accessible","Remote")</f>
        <v>Accessible</v>
      </c>
      <c r="U174" s="1" t="str">
        <f>IF(Table13[[#This Row],[Reiew_Rating]]&gt;=4.7,"Yes","No")</f>
        <v>No</v>
      </c>
      <c r="V174" s="1" t="str">
        <f t="shared" si="8"/>
        <v>Nature &amp; Wildlife</v>
      </c>
      <c r="W174" s="1" t="str">
        <f t="shared" si="9"/>
        <v>★★★★☆</v>
      </c>
      <c r="X174" s="1" t="str">
        <f t="shared" si="10"/>
        <v>4 / 5 Stars</v>
      </c>
      <c r="Y174" s="1" t="str">
        <f t="shared" si="11"/>
        <v>Medium Traffic</v>
      </c>
    </row>
    <row r="175" spans="1:25" x14ac:dyDescent="0.3">
      <c r="A175" s="2" t="s">
        <v>15</v>
      </c>
      <c r="B175" s="2" t="s">
        <v>385</v>
      </c>
      <c r="C175" s="2" t="s">
        <v>398</v>
      </c>
      <c r="D175" s="2" t="s">
        <v>399</v>
      </c>
      <c r="E175" s="2" t="s">
        <v>384</v>
      </c>
      <c r="F175" s="1">
        <v>1990</v>
      </c>
      <c r="G175" s="1">
        <v>3</v>
      </c>
      <c r="H175" s="1">
        <v>4.5</v>
      </c>
      <c r="I175" s="1" t="str">
        <f>IF(Table13[[#This Row],[Reiew_Rating]]&gt;=4.5,"Excellent",
IF(Table13[[#This Row],[Reiew_Rating]]&gt;=4,"Good","Average"))</f>
        <v>Excellent</v>
      </c>
      <c r="J175" s="1">
        <v>0</v>
      </c>
      <c r="K175" s="1" t="str">
        <f>IF(Table13[[#This Row],[Entrance_Fee_INR]]=0,"Free","Paid")</f>
        <v>Free</v>
      </c>
      <c r="L175" s="2" t="s">
        <v>29</v>
      </c>
      <c r="M175" s="2" t="s">
        <v>40</v>
      </c>
      <c r="N175" s="2" t="s">
        <v>345</v>
      </c>
      <c r="O175" s="2" t="s">
        <v>19</v>
      </c>
      <c r="P175" s="3">
        <v>0.01</v>
      </c>
      <c r="Q175" s="2" t="s">
        <v>37</v>
      </c>
      <c r="R175" s="1" t="str">
        <f>IF(Table13[[#This Row],[Number_Review_Lakhs]]&gt;=1,"Highly Popular", IF(Table13[[#This Row],[Number_Review_Lakhs]]&gt;=0.5,"Popular","Less Popular"))</f>
        <v>Less Popular</v>
      </c>
      <c r="S175" s="1" t="str">
        <f>IF(Table13[[#This Row],[Visit_Time_Hrs]]&lt;=2,"Short Visit", IF(Table13[[#This Row],[Visit_Time_Hrs]]&lt;=5,"Medium Visit","Full Day"))</f>
        <v>Medium Visit</v>
      </c>
      <c r="T175" s="1" t="str">
        <f>IF(Table13[[#This Row],[Airport_50km_Radius]]="Yes","Accessible","Remote")</f>
        <v>Remote</v>
      </c>
      <c r="U175" s="1" t="str">
        <f>IF(Table13[[#This Row],[Reiew_Rating]]&gt;=4.7,"Yes","No")</f>
        <v>No</v>
      </c>
      <c r="V175" s="1" t="str">
        <f t="shared" si="8"/>
        <v>Other</v>
      </c>
      <c r="W175" s="1" t="str">
        <f t="shared" si="9"/>
        <v>★★★★★</v>
      </c>
      <c r="X175" s="1" t="str">
        <f t="shared" si="10"/>
        <v>5 / 5 Stars</v>
      </c>
      <c r="Y175" s="1" t="str">
        <f t="shared" si="11"/>
        <v>Low Traffic</v>
      </c>
    </row>
    <row r="176" spans="1:25" x14ac:dyDescent="0.3">
      <c r="A176" s="2" t="s">
        <v>15</v>
      </c>
      <c r="B176" s="2" t="s">
        <v>385</v>
      </c>
      <c r="C176" s="2" t="s">
        <v>400</v>
      </c>
      <c r="D176" s="2" t="s">
        <v>401</v>
      </c>
      <c r="E176" s="2" t="s">
        <v>27</v>
      </c>
      <c r="F176" s="1">
        <v>-820</v>
      </c>
      <c r="G176" s="1">
        <v>1</v>
      </c>
      <c r="H176" s="1">
        <v>4.8</v>
      </c>
      <c r="I176" s="1" t="str">
        <f>IF(Table13[[#This Row],[Reiew_Rating]]&gt;=4.5,"Excellent",
IF(Table13[[#This Row],[Reiew_Rating]]&gt;=4,"Good","Average"))</f>
        <v>Excellent</v>
      </c>
      <c r="J176" s="1">
        <v>0</v>
      </c>
      <c r="K176" s="1" t="str">
        <f>IF(Table13[[#This Row],[Entrance_Fee_INR]]=0,"Free","Paid")</f>
        <v>Free</v>
      </c>
      <c r="L176" s="2" t="s">
        <v>29</v>
      </c>
      <c r="M176" s="2" t="s">
        <v>721</v>
      </c>
      <c r="N176" s="2" t="s">
        <v>28</v>
      </c>
      <c r="O176" s="2" t="s">
        <v>29</v>
      </c>
      <c r="P176" s="3">
        <v>0.28999999999999998</v>
      </c>
      <c r="Q176" s="2" t="s">
        <v>51</v>
      </c>
      <c r="R176" s="1" t="str">
        <f>IF(Table13[[#This Row],[Number_Review_Lakhs]]&gt;=1,"Highly Popular", IF(Table13[[#This Row],[Number_Review_Lakhs]]&gt;=0.5,"Popular","Less Popular"))</f>
        <v>Less Popular</v>
      </c>
      <c r="S176" s="1" t="str">
        <f>IF(Table13[[#This Row],[Visit_Time_Hrs]]&lt;=2,"Short Visit", IF(Table13[[#This Row],[Visit_Time_Hrs]]&lt;=5,"Medium Visit","Full Day"))</f>
        <v>Short Visit</v>
      </c>
      <c r="T176" s="1" t="str">
        <f>IF(Table13[[#This Row],[Airport_50km_Radius]]="Yes","Accessible","Remote")</f>
        <v>Remote</v>
      </c>
      <c r="U176" s="1" t="str">
        <f>IF(Table13[[#This Row],[Reiew_Rating]]&gt;=4.7,"Yes","No")</f>
        <v>Yes</v>
      </c>
      <c r="V176" s="1" t="str">
        <f t="shared" si="8"/>
        <v>Heritage &amp; Culture</v>
      </c>
      <c r="W176" s="1" t="str">
        <f t="shared" si="9"/>
        <v>★★★★★</v>
      </c>
      <c r="X176" s="1" t="str">
        <f t="shared" si="10"/>
        <v>5 / 5 Stars</v>
      </c>
      <c r="Y176" s="1" t="str">
        <f t="shared" si="11"/>
        <v>Low Traffic</v>
      </c>
    </row>
    <row r="177" spans="1:25" x14ac:dyDescent="0.3">
      <c r="A177" s="2" t="s">
        <v>15</v>
      </c>
      <c r="B177" s="2" t="s">
        <v>385</v>
      </c>
      <c r="C177" s="2" t="s">
        <v>402</v>
      </c>
      <c r="D177" s="2" t="s">
        <v>403</v>
      </c>
      <c r="E177" s="2" t="s">
        <v>190</v>
      </c>
      <c r="F177" s="1">
        <v>1988</v>
      </c>
      <c r="G177" s="1">
        <v>2</v>
      </c>
      <c r="H177" s="1">
        <v>4.3</v>
      </c>
      <c r="I177" s="1" t="str">
        <f>IF(Table13[[#This Row],[Reiew_Rating]]&gt;=4.5,"Excellent",
IF(Table13[[#This Row],[Reiew_Rating]]&gt;=4,"Good","Average"))</f>
        <v>Good</v>
      </c>
      <c r="J177" s="1">
        <v>150</v>
      </c>
      <c r="K177" s="1" t="str">
        <f>IF(Table13[[#This Row],[Entrance_Fee_INR]]=0,"Free","Paid")</f>
        <v>Paid</v>
      </c>
      <c r="L177" s="2" t="s">
        <v>29</v>
      </c>
      <c r="M177" s="2" t="s">
        <v>720</v>
      </c>
      <c r="N177" s="2" t="s">
        <v>73</v>
      </c>
      <c r="O177" s="2" t="s">
        <v>19</v>
      </c>
      <c r="P177" s="3">
        <v>0.01</v>
      </c>
      <c r="Q177" s="2" t="s">
        <v>51</v>
      </c>
      <c r="R177" s="1" t="str">
        <f>IF(Table13[[#This Row],[Number_Review_Lakhs]]&gt;=1,"Highly Popular", IF(Table13[[#This Row],[Number_Review_Lakhs]]&gt;=0.5,"Popular","Less Popular"))</f>
        <v>Less Popular</v>
      </c>
      <c r="S177" s="1" t="str">
        <f>IF(Table13[[#This Row],[Visit_Time_Hrs]]&lt;=2,"Short Visit", IF(Table13[[#This Row],[Visit_Time_Hrs]]&lt;=5,"Medium Visit","Full Day"))</f>
        <v>Short Visit</v>
      </c>
      <c r="T177" s="1" t="str">
        <f>IF(Table13[[#This Row],[Airport_50km_Radius]]="Yes","Accessible","Remote")</f>
        <v>Remote</v>
      </c>
      <c r="U177" s="1" t="str">
        <f>IF(Table13[[#This Row],[Reiew_Rating]]&gt;=4.7,"Yes","No")</f>
        <v>No</v>
      </c>
      <c r="V177" s="1" t="str">
        <f t="shared" si="8"/>
        <v>Nature &amp; Wildlife</v>
      </c>
      <c r="W177" s="1" t="str">
        <f t="shared" si="9"/>
        <v>★★★★☆</v>
      </c>
      <c r="X177" s="1" t="str">
        <f t="shared" si="10"/>
        <v>4 / 5 Stars</v>
      </c>
      <c r="Y177" s="1" t="str">
        <f t="shared" si="11"/>
        <v>Low Traffic</v>
      </c>
    </row>
    <row r="178" spans="1:25" x14ac:dyDescent="0.3">
      <c r="A178" s="2" t="s">
        <v>15</v>
      </c>
      <c r="B178" s="2" t="s">
        <v>385</v>
      </c>
      <c r="C178" s="2" t="s">
        <v>404</v>
      </c>
      <c r="D178" s="2" t="s">
        <v>405</v>
      </c>
      <c r="E178" s="2" t="s">
        <v>406</v>
      </c>
      <c r="F178" s="1">
        <v>1868</v>
      </c>
      <c r="G178" s="1">
        <v>1</v>
      </c>
      <c r="H178" s="1">
        <v>4</v>
      </c>
      <c r="I178" s="1" t="str">
        <f>IF(Table13[[#This Row],[Reiew_Rating]]&gt;=4.5,"Excellent",
IF(Table13[[#This Row],[Reiew_Rating]]&gt;=4,"Good","Average"))</f>
        <v>Good</v>
      </c>
      <c r="J178" s="1">
        <v>50</v>
      </c>
      <c r="K178" s="1" t="str">
        <f>IF(Table13[[#This Row],[Entrance_Fee_INR]]=0,"Free","Paid")</f>
        <v>Paid</v>
      </c>
      <c r="L178" s="2" t="s">
        <v>29</v>
      </c>
      <c r="M178" s="2" t="s">
        <v>32</v>
      </c>
      <c r="N178" s="2" t="s">
        <v>80</v>
      </c>
      <c r="O178" s="2" t="s">
        <v>19</v>
      </c>
      <c r="P178" s="3">
        <v>2.5000000000000001E-2</v>
      </c>
      <c r="Q178" s="2" t="s">
        <v>51</v>
      </c>
      <c r="R178" s="1" t="str">
        <f>IF(Table13[[#This Row],[Number_Review_Lakhs]]&gt;=1,"Highly Popular", IF(Table13[[#This Row],[Number_Review_Lakhs]]&gt;=0.5,"Popular","Less Popular"))</f>
        <v>Less Popular</v>
      </c>
      <c r="S178" s="1" t="str">
        <f>IF(Table13[[#This Row],[Visit_Time_Hrs]]&lt;=2,"Short Visit", IF(Table13[[#This Row],[Visit_Time_Hrs]]&lt;=5,"Medium Visit","Full Day"))</f>
        <v>Short Visit</v>
      </c>
      <c r="T178" s="1" t="str">
        <f>IF(Table13[[#This Row],[Airport_50km_Radius]]="Yes","Accessible","Remote")</f>
        <v>Remote</v>
      </c>
      <c r="U178" s="1" t="str">
        <f>IF(Table13[[#This Row],[Reiew_Rating]]&gt;=4.7,"Yes","No")</f>
        <v>No</v>
      </c>
      <c r="V178" s="1" t="str">
        <f t="shared" si="8"/>
        <v>Leisure &amp; Commerce</v>
      </c>
      <c r="W178" s="1" t="str">
        <f t="shared" si="9"/>
        <v>★★★★☆</v>
      </c>
      <c r="X178" s="1" t="str">
        <f t="shared" si="10"/>
        <v>4 / 5 Stars</v>
      </c>
      <c r="Y178" s="1" t="str">
        <f t="shared" si="11"/>
        <v>Low Traffic</v>
      </c>
    </row>
    <row r="179" spans="1:25" x14ac:dyDescent="0.3">
      <c r="A179" s="2" t="s">
        <v>15</v>
      </c>
      <c r="B179" s="2" t="s">
        <v>385</v>
      </c>
      <c r="C179" s="2" t="s">
        <v>407</v>
      </c>
      <c r="D179" s="2" t="s">
        <v>408</v>
      </c>
      <c r="E179" s="2" t="s">
        <v>72</v>
      </c>
      <c r="F179" s="1">
        <v>1936</v>
      </c>
      <c r="G179" s="1">
        <v>3</v>
      </c>
      <c r="H179" s="1">
        <v>4.4000000000000004</v>
      </c>
      <c r="I179" s="1" t="str">
        <f>IF(Table13[[#This Row],[Reiew_Rating]]&gt;=4.5,"Excellent",
IF(Table13[[#This Row],[Reiew_Rating]]&gt;=4,"Good","Average"))</f>
        <v>Good</v>
      </c>
      <c r="J179" s="1">
        <v>100</v>
      </c>
      <c r="K179" s="1" t="str">
        <f>IF(Table13[[#This Row],[Entrance_Fee_INR]]=0,"Free","Paid")</f>
        <v>Paid</v>
      </c>
      <c r="L179" s="2" t="s">
        <v>19</v>
      </c>
      <c r="M179" s="2" t="s">
        <v>721</v>
      </c>
      <c r="N179" s="2" t="s">
        <v>73</v>
      </c>
      <c r="O179" s="2" t="s">
        <v>19</v>
      </c>
      <c r="P179" s="3">
        <v>0.3</v>
      </c>
      <c r="Q179" s="2" t="s">
        <v>51</v>
      </c>
      <c r="R179" s="1" t="str">
        <f>IF(Table13[[#This Row],[Number_Review_Lakhs]]&gt;=1,"Highly Popular", IF(Table13[[#This Row],[Number_Review_Lakhs]]&gt;=0.5,"Popular","Less Popular"))</f>
        <v>Less Popular</v>
      </c>
      <c r="S179" s="1" t="str">
        <f>IF(Table13[[#This Row],[Visit_Time_Hrs]]&lt;=2,"Short Visit", IF(Table13[[#This Row],[Visit_Time_Hrs]]&lt;=5,"Medium Visit","Full Day"))</f>
        <v>Medium Visit</v>
      </c>
      <c r="T179" s="1" t="str">
        <f>IF(Table13[[#This Row],[Airport_50km_Radius]]="Yes","Accessible","Remote")</f>
        <v>Accessible</v>
      </c>
      <c r="U179" s="1" t="str">
        <f>IF(Table13[[#This Row],[Reiew_Rating]]&gt;=4.7,"Yes","No")</f>
        <v>No</v>
      </c>
      <c r="V179" s="1" t="str">
        <f t="shared" si="8"/>
        <v>Nature &amp; Wildlife</v>
      </c>
      <c r="W179" s="1" t="str">
        <f t="shared" si="9"/>
        <v>★★★★☆</v>
      </c>
      <c r="X179" s="1" t="str">
        <f t="shared" si="10"/>
        <v>4 / 5 Stars</v>
      </c>
      <c r="Y179" s="1" t="str">
        <f t="shared" si="11"/>
        <v>Low Traffic</v>
      </c>
    </row>
    <row r="180" spans="1:25" x14ac:dyDescent="0.3">
      <c r="A180" s="2" t="s">
        <v>15</v>
      </c>
      <c r="B180" s="2" t="s">
        <v>385</v>
      </c>
      <c r="C180" s="2" t="s">
        <v>409</v>
      </c>
      <c r="D180" s="2" t="s">
        <v>410</v>
      </c>
      <c r="E180" s="2" t="s">
        <v>27</v>
      </c>
      <c r="F180" s="1">
        <v>1751</v>
      </c>
      <c r="G180" s="1">
        <v>1</v>
      </c>
      <c r="H180" s="1">
        <v>4.8</v>
      </c>
      <c r="I180" s="1" t="str">
        <f>IF(Table13[[#This Row],[Reiew_Rating]]&gt;=4.5,"Excellent",
IF(Table13[[#This Row],[Reiew_Rating]]&gt;=4,"Good","Average"))</f>
        <v>Excellent</v>
      </c>
      <c r="J180" s="1">
        <v>0</v>
      </c>
      <c r="K180" s="1" t="str">
        <f>IF(Table13[[#This Row],[Entrance_Fee_INR]]=0,"Free","Paid")</f>
        <v>Free</v>
      </c>
      <c r="L180" s="2" t="s">
        <v>29</v>
      </c>
      <c r="M180" s="2" t="s">
        <v>721</v>
      </c>
      <c r="N180" s="2" t="s">
        <v>28</v>
      </c>
      <c r="O180" s="2" t="s">
        <v>29</v>
      </c>
      <c r="P180" s="3">
        <v>0.05</v>
      </c>
      <c r="Q180" s="2" t="s">
        <v>51</v>
      </c>
      <c r="R180" s="1" t="str">
        <f>IF(Table13[[#This Row],[Number_Review_Lakhs]]&gt;=1,"Highly Popular", IF(Table13[[#This Row],[Number_Review_Lakhs]]&gt;=0.5,"Popular","Less Popular"))</f>
        <v>Less Popular</v>
      </c>
      <c r="S180" s="1" t="str">
        <f>IF(Table13[[#This Row],[Visit_Time_Hrs]]&lt;=2,"Short Visit", IF(Table13[[#This Row],[Visit_Time_Hrs]]&lt;=5,"Medium Visit","Full Day"))</f>
        <v>Short Visit</v>
      </c>
      <c r="T180" s="1" t="str">
        <f>IF(Table13[[#This Row],[Airport_50km_Radius]]="Yes","Accessible","Remote")</f>
        <v>Remote</v>
      </c>
      <c r="U180" s="1" t="str">
        <f>IF(Table13[[#This Row],[Reiew_Rating]]&gt;=4.7,"Yes","No")</f>
        <v>Yes</v>
      </c>
      <c r="V180" s="1" t="str">
        <f t="shared" si="8"/>
        <v>Heritage &amp; Culture</v>
      </c>
      <c r="W180" s="1" t="str">
        <f t="shared" si="9"/>
        <v>★★★★★</v>
      </c>
      <c r="X180" s="1" t="str">
        <f t="shared" si="10"/>
        <v>5 / 5 Stars</v>
      </c>
      <c r="Y180" s="1" t="str">
        <f t="shared" si="11"/>
        <v>Low Traffic</v>
      </c>
    </row>
    <row r="181" spans="1:25" x14ac:dyDescent="0.3">
      <c r="A181" s="2" t="s">
        <v>15</v>
      </c>
      <c r="B181" s="2" t="s">
        <v>385</v>
      </c>
      <c r="C181" s="2" t="s">
        <v>411</v>
      </c>
      <c r="D181" s="2" t="s">
        <v>412</v>
      </c>
      <c r="E181" s="2" t="s">
        <v>27</v>
      </c>
      <c r="F181" s="1">
        <v>751</v>
      </c>
      <c r="G181" s="1">
        <v>2</v>
      </c>
      <c r="H181" s="1">
        <v>4.8</v>
      </c>
      <c r="I181" s="1" t="str">
        <f>IF(Table13[[#This Row],[Reiew_Rating]]&gt;=4.5,"Excellent",
IF(Table13[[#This Row],[Reiew_Rating]]&gt;=4,"Good","Average"))</f>
        <v>Excellent</v>
      </c>
      <c r="J181" s="1">
        <v>0</v>
      </c>
      <c r="K181" s="1" t="str">
        <f>IF(Table13[[#This Row],[Entrance_Fee_INR]]=0,"Free","Paid")</f>
        <v>Free</v>
      </c>
      <c r="L181" s="2" t="s">
        <v>29</v>
      </c>
      <c r="M181" s="2" t="s">
        <v>32</v>
      </c>
      <c r="N181" s="2" t="s">
        <v>28</v>
      </c>
      <c r="O181" s="2" t="s">
        <v>29</v>
      </c>
      <c r="P181" s="3">
        <v>0.09</v>
      </c>
      <c r="Q181" s="2" t="s">
        <v>51</v>
      </c>
      <c r="R181" s="1" t="str">
        <f>IF(Table13[[#This Row],[Number_Review_Lakhs]]&gt;=1,"Highly Popular", IF(Table13[[#This Row],[Number_Review_Lakhs]]&gt;=0.5,"Popular","Less Popular"))</f>
        <v>Less Popular</v>
      </c>
      <c r="S181" s="1" t="str">
        <f>IF(Table13[[#This Row],[Visit_Time_Hrs]]&lt;=2,"Short Visit", IF(Table13[[#This Row],[Visit_Time_Hrs]]&lt;=5,"Medium Visit","Full Day"))</f>
        <v>Short Visit</v>
      </c>
      <c r="T181" s="1" t="str">
        <f>IF(Table13[[#This Row],[Airport_50km_Radius]]="Yes","Accessible","Remote")</f>
        <v>Remote</v>
      </c>
      <c r="U181" s="1" t="str">
        <f>IF(Table13[[#This Row],[Reiew_Rating]]&gt;=4.7,"Yes","No")</f>
        <v>Yes</v>
      </c>
      <c r="V181" s="1" t="str">
        <f t="shared" si="8"/>
        <v>Heritage &amp; Culture</v>
      </c>
      <c r="W181" s="1" t="str">
        <f t="shared" si="9"/>
        <v>★★★★★</v>
      </c>
      <c r="X181" s="1" t="str">
        <f t="shared" si="10"/>
        <v>5 / 5 Stars</v>
      </c>
      <c r="Y181" s="1" t="str">
        <f t="shared" si="11"/>
        <v>Low Traffic</v>
      </c>
    </row>
    <row r="182" spans="1:25" x14ac:dyDescent="0.3">
      <c r="A182" s="2" t="s">
        <v>15</v>
      </c>
      <c r="B182" s="2" t="s">
        <v>385</v>
      </c>
      <c r="C182" s="2" t="s">
        <v>413</v>
      </c>
      <c r="D182" s="2" t="s">
        <v>414</v>
      </c>
      <c r="E182" s="2" t="s">
        <v>72</v>
      </c>
      <c r="F182" s="1">
        <v>1982</v>
      </c>
      <c r="G182" s="1">
        <v>5</v>
      </c>
      <c r="H182" s="1">
        <v>4.7</v>
      </c>
      <c r="I182" s="1" t="str">
        <f>IF(Table13[[#This Row],[Reiew_Rating]]&gt;=4.5,"Excellent",
IF(Table13[[#This Row],[Reiew_Rating]]&gt;=4,"Good","Average"))</f>
        <v>Excellent</v>
      </c>
      <c r="J182" s="1">
        <v>150</v>
      </c>
      <c r="K182" s="1" t="str">
        <f>IF(Table13[[#This Row],[Entrance_Fee_INR]]=0,"Free","Paid")</f>
        <v>Paid</v>
      </c>
      <c r="L182" s="2" t="s">
        <v>29</v>
      </c>
      <c r="M182" s="2" t="s">
        <v>32</v>
      </c>
      <c r="N182" s="2" t="s">
        <v>94</v>
      </c>
      <c r="O182" s="2" t="s">
        <v>19</v>
      </c>
      <c r="P182" s="3">
        <v>3.5000000000000003E-2</v>
      </c>
      <c r="Q182" s="2" t="s">
        <v>37</v>
      </c>
      <c r="R182" s="1" t="str">
        <f>IF(Table13[[#This Row],[Number_Review_Lakhs]]&gt;=1,"Highly Popular", IF(Table13[[#This Row],[Number_Review_Lakhs]]&gt;=0.5,"Popular","Less Popular"))</f>
        <v>Less Popular</v>
      </c>
      <c r="S182" s="1" t="str">
        <f>IF(Table13[[#This Row],[Visit_Time_Hrs]]&lt;=2,"Short Visit", IF(Table13[[#This Row],[Visit_Time_Hrs]]&lt;=5,"Medium Visit","Full Day"))</f>
        <v>Medium Visit</v>
      </c>
      <c r="T182" s="1" t="str">
        <f>IF(Table13[[#This Row],[Airport_50km_Radius]]="Yes","Accessible","Remote")</f>
        <v>Remote</v>
      </c>
      <c r="U182" s="1" t="str">
        <f>IF(Table13[[#This Row],[Reiew_Rating]]&gt;=4.7,"Yes","No")</f>
        <v>Yes</v>
      </c>
      <c r="V182" s="1" t="str">
        <f t="shared" si="8"/>
        <v>Nature &amp; Wildlife</v>
      </c>
      <c r="W182" s="1" t="str">
        <f t="shared" si="9"/>
        <v>★★★★★</v>
      </c>
      <c r="X182" s="1" t="str">
        <f t="shared" si="10"/>
        <v>5 / 5 Stars</v>
      </c>
      <c r="Y182" s="1" t="str">
        <f t="shared" si="11"/>
        <v>Low Traffic</v>
      </c>
    </row>
    <row r="183" spans="1:25" x14ac:dyDescent="0.3">
      <c r="A183" s="2" t="s">
        <v>306</v>
      </c>
      <c r="B183" s="2" t="s">
        <v>415</v>
      </c>
      <c r="C183" s="2" t="s">
        <v>416</v>
      </c>
      <c r="D183" s="2" t="s">
        <v>417</v>
      </c>
      <c r="E183" s="2" t="s">
        <v>272</v>
      </c>
      <c r="F183" s="1">
        <v>1632</v>
      </c>
      <c r="G183" s="1">
        <v>2</v>
      </c>
      <c r="H183" s="1">
        <v>4.5999999999999996</v>
      </c>
      <c r="I183" s="1" t="str">
        <f>IF(Table13[[#This Row],[Reiew_Rating]]&gt;=4.5,"Excellent",
IF(Table13[[#This Row],[Reiew_Rating]]&gt;=4,"Good","Average"))</f>
        <v>Excellent</v>
      </c>
      <c r="J183" s="1">
        <v>50</v>
      </c>
      <c r="K183" s="1" t="str">
        <f>IF(Table13[[#This Row],[Entrance_Fee_INR]]=0,"Free","Paid")</f>
        <v>Paid</v>
      </c>
      <c r="L183" s="2" t="s">
        <v>19</v>
      </c>
      <c r="M183" s="2" t="s">
        <v>57</v>
      </c>
      <c r="N183" s="2" t="s">
        <v>21</v>
      </c>
      <c r="O183" s="2" t="s">
        <v>19</v>
      </c>
      <c r="P183" s="3">
        <v>2.25</v>
      </c>
      <c r="Q183" s="2" t="s">
        <v>37</v>
      </c>
      <c r="R183" s="1" t="str">
        <f>IF(Table13[[#This Row],[Number_Review_Lakhs]]&gt;=1,"Highly Popular", IF(Table13[[#This Row],[Number_Review_Lakhs]]&gt;=0.5,"Popular","Less Popular"))</f>
        <v>Highly Popular</v>
      </c>
      <c r="S183" s="1" t="str">
        <f>IF(Table13[[#This Row],[Visit_Time_Hrs]]&lt;=2,"Short Visit", IF(Table13[[#This Row],[Visit_Time_Hrs]]&lt;=5,"Medium Visit","Full Day"))</f>
        <v>Short Visit</v>
      </c>
      <c r="T183" s="1" t="str">
        <f>IF(Table13[[#This Row],[Airport_50km_Radius]]="Yes","Accessible","Remote")</f>
        <v>Accessible</v>
      </c>
      <c r="U183" s="1" t="str">
        <f>IF(Table13[[#This Row],[Reiew_Rating]]&gt;=4.7,"Yes","No")</f>
        <v>No</v>
      </c>
      <c r="V183" s="1" t="str">
        <f t="shared" si="8"/>
        <v>Heritage &amp; Culture</v>
      </c>
      <c r="W183" s="1" t="str">
        <f t="shared" si="9"/>
        <v>★★★★★</v>
      </c>
      <c r="X183" s="1" t="str">
        <f t="shared" si="10"/>
        <v>5 / 5 Stars</v>
      </c>
      <c r="Y183" s="1" t="str">
        <f t="shared" si="11"/>
        <v>High Traffic</v>
      </c>
    </row>
    <row r="184" spans="1:25" x14ac:dyDescent="0.3">
      <c r="A184" s="2" t="s">
        <v>306</v>
      </c>
      <c r="B184" s="2" t="s">
        <v>415</v>
      </c>
      <c r="C184" s="2" t="s">
        <v>418</v>
      </c>
      <c r="D184" s="2" t="s">
        <v>419</v>
      </c>
      <c r="E184" s="2" t="s">
        <v>27</v>
      </c>
      <c r="F184" s="1">
        <v>1847</v>
      </c>
      <c r="G184" s="1">
        <v>1</v>
      </c>
      <c r="H184" s="1">
        <v>4.7</v>
      </c>
      <c r="I184" s="1" t="str">
        <f>IF(Table13[[#This Row],[Reiew_Rating]]&gt;=4.5,"Excellent",
IF(Table13[[#This Row],[Reiew_Rating]]&gt;=4,"Good","Average"))</f>
        <v>Excellent</v>
      </c>
      <c r="J184" s="1">
        <v>0</v>
      </c>
      <c r="K184" s="1" t="str">
        <f>IF(Table13[[#This Row],[Entrance_Fee_INR]]=0,"Free","Paid")</f>
        <v>Free</v>
      </c>
      <c r="L184" s="2" t="s">
        <v>19</v>
      </c>
      <c r="M184" s="2" t="s">
        <v>720</v>
      </c>
      <c r="N184" s="2" t="s">
        <v>28</v>
      </c>
      <c r="O184" s="2" t="s">
        <v>29</v>
      </c>
      <c r="P184" s="3">
        <v>0.9</v>
      </c>
      <c r="Q184" s="2" t="s">
        <v>51</v>
      </c>
      <c r="R184" s="1" t="str">
        <f>IF(Table13[[#This Row],[Number_Review_Lakhs]]&gt;=1,"Highly Popular", IF(Table13[[#This Row],[Number_Review_Lakhs]]&gt;=0.5,"Popular","Less Popular"))</f>
        <v>Popular</v>
      </c>
      <c r="S184" s="1" t="str">
        <f>IF(Table13[[#This Row],[Visit_Time_Hrs]]&lt;=2,"Short Visit", IF(Table13[[#This Row],[Visit_Time_Hrs]]&lt;=5,"Medium Visit","Full Day"))</f>
        <v>Short Visit</v>
      </c>
      <c r="T184" s="1" t="str">
        <f>IF(Table13[[#This Row],[Airport_50km_Radius]]="Yes","Accessible","Remote")</f>
        <v>Accessible</v>
      </c>
      <c r="U184" s="1" t="str">
        <f>IF(Table13[[#This Row],[Reiew_Rating]]&gt;=4.7,"Yes","No")</f>
        <v>Yes</v>
      </c>
      <c r="V184" s="1" t="str">
        <f t="shared" si="8"/>
        <v>Heritage &amp; Culture</v>
      </c>
      <c r="W184" s="1" t="str">
        <f t="shared" si="9"/>
        <v>★★★★★</v>
      </c>
      <c r="X184" s="1" t="str">
        <f t="shared" si="10"/>
        <v>5 / 5 Stars</v>
      </c>
      <c r="Y184" s="1" t="str">
        <f t="shared" si="11"/>
        <v>Medium Traffic</v>
      </c>
    </row>
    <row r="185" spans="1:25" x14ac:dyDescent="0.3">
      <c r="A185" s="2" t="s">
        <v>306</v>
      </c>
      <c r="B185" s="2" t="s">
        <v>415</v>
      </c>
      <c r="C185" s="2" t="s">
        <v>420</v>
      </c>
      <c r="D185" s="2" t="s">
        <v>421</v>
      </c>
      <c r="E185" s="2" t="s">
        <v>59</v>
      </c>
      <c r="F185" s="1">
        <v>1784</v>
      </c>
      <c r="G185" s="1">
        <v>1.5</v>
      </c>
      <c r="H185" s="1">
        <v>4.4000000000000004</v>
      </c>
      <c r="I185" s="1" t="str">
        <f>IF(Table13[[#This Row],[Reiew_Rating]]&gt;=4.5,"Excellent",
IF(Table13[[#This Row],[Reiew_Rating]]&gt;=4,"Good","Average"))</f>
        <v>Good</v>
      </c>
      <c r="J185" s="1">
        <v>50</v>
      </c>
      <c r="K185" s="1" t="str">
        <f>IF(Table13[[#This Row],[Entrance_Fee_INR]]=0,"Free","Paid")</f>
        <v>Paid</v>
      </c>
      <c r="L185" s="2" t="s">
        <v>19</v>
      </c>
      <c r="M185" s="2" t="s">
        <v>32</v>
      </c>
      <c r="N185" s="2" t="s">
        <v>21</v>
      </c>
      <c r="O185" s="2" t="s">
        <v>29</v>
      </c>
      <c r="P185" s="3">
        <v>0.45</v>
      </c>
      <c r="Q185" s="2" t="s">
        <v>51</v>
      </c>
      <c r="R185" s="1" t="str">
        <f>IF(Table13[[#This Row],[Number_Review_Lakhs]]&gt;=1,"Highly Popular", IF(Table13[[#This Row],[Number_Review_Lakhs]]&gt;=0.5,"Popular","Less Popular"))</f>
        <v>Less Popular</v>
      </c>
      <c r="S185" s="1" t="str">
        <f>IF(Table13[[#This Row],[Visit_Time_Hrs]]&lt;=2,"Short Visit", IF(Table13[[#This Row],[Visit_Time_Hrs]]&lt;=5,"Medium Visit","Full Day"))</f>
        <v>Short Visit</v>
      </c>
      <c r="T185" s="1" t="str">
        <f>IF(Table13[[#This Row],[Airport_50km_Radius]]="Yes","Accessible","Remote")</f>
        <v>Accessible</v>
      </c>
      <c r="U185" s="1" t="str">
        <f>IF(Table13[[#This Row],[Reiew_Rating]]&gt;=4.7,"Yes","No")</f>
        <v>No</v>
      </c>
      <c r="V185" s="1" t="str">
        <f t="shared" si="8"/>
        <v>Heritage &amp; Culture</v>
      </c>
      <c r="W185" s="1" t="str">
        <f t="shared" si="9"/>
        <v>★★★★☆</v>
      </c>
      <c r="X185" s="1" t="str">
        <f t="shared" si="10"/>
        <v>4 / 5 Stars</v>
      </c>
      <c r="Y185" s="1" t="str">
        <f t="shared" si="11"/>
        <v>Medium Traffic</v>
      </c>
    </row>
    <row r="186" spans="1:25" x14ac:dyDescent="0.3">
      <c r="A186" s="2" t="s">
        <v>306</v>
      </c>
      <c r="B186" s="2" t="s">
        <v>415</v>
      </c>
      <c r="C186" s="2" t="s">
        <v>422</v>
      </c>
      <c r="D186" s="2" t="s">
        <v>423</v>
      </c>
      <c r="E186" s="2" t="s">
        <v>27</v>
      </c>
      <c r="F186" s="1">
        <v>1876</v>
      </c>
      <c r="G186" s="1">
        <v>1</v>
      </c>
      <c r="H186" s="1">
        <v>4.7</v>
      </c>
      <c r="I186" s="1" t="str">
        <f>IF(Table13[[#This Row],[Reiew_Rating]]&gt;=4.5,"Excellent",
IF(Table13[[#This Row],[Reiew_Rating]]&gt;=4,"Good","Average"))</f>
        <v>Excellent</v>
      </c>
      <c r="J186" s="1">
        <v>0</v>
      </c>
      <c r="K186" s="1" t="str">
        <f>IF(Table13[[#This Row],[Entrance_Fee_INR]]=0,"Free","Paid")</f>
        <v>Free</v>
      </c>
      <c r="L186" s="2" t="s">
        <v>19</v>
      </c>
      <c r="M186" s="2" t="s">
        <v>721</v>
      </c>
      <c r="N186" s="2" t="s">
        <v>28</v>
      </c>
      <c r="O186" s="2" t="s">
        <v>29</v>
      </c>
      <c r="P186" s="3">
        <v>0.13</v>
      </c>
      <c r="Q186" s="2" t="s">
        <v>51</v>
      </c>
      <c r="R186" s="1" t="str">
        <f>IF(Table13[[#This Row],[Number_Review_Lakhs]]&gt;=1,"Highly Popular", IF(Table13[[#This Row],[Number_Review_Lakhs]]&gt;=0.5,"Popular","Less Popular"))</f>
        <v>Less Popular</v>
      </c>
      <c r="S186" s="1" t="str">
        <f>IF(Table13[[#This Row],[Visit_Time_Hrs]]&lt;=2,"Short Visit", IF(Table13[[#This Row],[Visit_Time_Hrs]]&lt;=5,"Medium Visit","Full Day"))</f>
        <v>Short Visit</v>
      </c>
      <c r="T186" s="1" t="str">
        <f>IF(Table13[[#This Row],[Airport_50km_Radius]]="Yes","Accessible","Remote")</f>
        <v>Accessible</v>
      </c>
      <c r="U186" s="1" t="str">
        <f>IF(Table13[[#This Row],[Reiew_Rating]]&gt;=4.7,"Yes","No")</f>
        <v>Yes</v>
      </c>
      <c r="V186" s="1" t="str">
        <f t="shared" si="8"/>
        <v>Heritage &amp; Culture</v>
      </c>
      <c r="W186" s="1" t="str">
        <f t="shared" si="9"/>
        <v>★★★★★</v>
      </c>
      <c r="X186" s="1" t="str">
        <f t="shared" si="10"/>
        <v>5 / 5 Stars</v>
      </c>
      <c r="Y186" s="1" t="str">
        <f t="shared" si="11"/>
        <v>Low Traffic</v>
      </c>
    </row>
    <row r="187" spans="1:25" x14ac:dyDescent="0.3">
      <c r="A187" s="2" t="s">
        <v>306</v>
      </c>
      <c r="B187" s="2" t="s">
        <v>415</v>
      </c>
      <c r="C187" s="2" t="s">
        <v>424</v>
      </c>
      <c r="D187" s="2" t="s">
        <v>425</v>
      </c>
      <c r="E187" s="2" t="s">
        <v>210</v>
      </c>
      <c r="F187" s="1">
        <v>1870</v>
      </c>
      <c r="G187" s="1">
        <v>1</v>
      </c>
      <c r="H187" s="1">
        <v>4.8</v>
      </c>
      <c r="I187" s="1" t="str">
        <f>IF(Table13[[#This Row],[Reiew_Rating]]&gt;=4.5,"Excellent",
IF(Table13[[#This Row],[Reiew_Rating]]&gt;=4,"Good","Average"))</f>
        <v>Excellent</v>
      </c>
      <c r="J187" s="1">
        <v>0</v>
      </c>
      <c r="K187" s="1" t="str">
        <f>IF(Table13[[#This Row],[Entrance_Fee_INR]]=0,"Free","Paid")</f>
        <v>Free</v>
      </c>
      <c r="L187" s="2" t="s">
        <v>19</v>
      </c>
      <c r="M187" s="2" t="s">
        <v>40</v>
      </c>
      <c r="N187" s="2" t="s">
        <v>28</v>
      </c>
      <c r="O187" s="2" t="s">
        <v>29</v>
      </c>
      <c r="P187" s="3">
        <v>2.5000000000000001E-2</v>
      </c>
      <c r="Q187" s="2" t="s">
        <v>51</v>
      </c>
      <c r="R187" s="1" t="str">
        <f>IF(Table13[[#This Row],[Number_Review_Lakhs]]&gt;=1,"Highly Popular", IF(Table13[[#This Row],[Number_Review_Lakhs]]&gt;=0.5,"Popular","Less Popular"))</f>
        <v>Less Popular</v>
      </c>
      <c r="S187" s="1" t="str">
        <f>IF(Table13[[#This Row],[Visit_Time_Hrs]]&lt;=2,"Short Visit", IF(Table13[[#This Row],[Visit_Time_Hrs]]&lt;=5,"Medium Visit","Full Day"))</f>
        <v>Short Visit</v>
      </c>
      <c r="T187" s="1" t="str">
        <f>IF(Table13[[#This Row],[Airport_50km_Radius]]="Yes","Accessible","Remote")</f>
        <v>Accessible</v>
      </c>
      <c r="U187" s="1" t="str">
        <f>IF(Table13[[#This Row],[Reiew_Rating]]&gt;=4.7,"Yes","No")</f>
        <v>Yes</v>
      </c>
      <c r="V187" s="1" t="str">
        <f t="shared" si="8"/>
        <v>Heritage &amp; Culture</v>
      </c>
      <c r="W187" s="1" t="str">
        <f t="shared" si="9"/>
        <v>★★★★★</v>
      </c>
      <c r="X187" s="1" t="str">
        <f t="shared" si="10"/>
        <v>5 / 5 Stars</v>
      </c>
      <c r="Y187" s="1" t="str">
        <f t="shared" si="11"/>
        <v>Low Traffic</v>
      </c>
    </row>
    <row r="188" spans="1:25" x14ac:dyDescent="0.3">
      <c r="A188" s="2" t="s">
        <v>306</v>
      </c>
      <c r="B188" s="2" t="s">
        <v>415</v>
      </c>
      <c r="C188" s="2" t="s">
        <v>426</v>
      </c>
      <c r="D188" s="2" t="s">
        <v>427</v>
      </c>
      <c r="E188" s="2" t="s">
        <v>27</v>
      </c>
      <c r="F188" s="1">
        <v>1864</v>
      </c>
      <c r="G188" s="1">
        <v>1</v>
      </c>
      <c r="H188" s="1">
        <v>4.8</v>
      </c>
      <c r="I188" s="1" t="str">
        <f>IF(Table13[[#This Row],[Reiew_Rating]]&gt;=4.5,"Excellent",
IF(Table13[[#This Row],[Reiew_Rating]]&gt;=4,"Good","Average"))</f>
        <v>Excellent</v>
      </c>
      <c r="J188" s="1">
        <v>0</v>
      </c>
      <c r="K188" s="1" t="str">
        <f>IF(Table13[[#This Row],[Entrance_Fee_INR]]=0,"Free","Paid")</f>
        <v>Free</v>
      </c>
      <c r="L188" s="2" t="s">
        <v>19</v>
      </c>
      <c r="M188" s="2" t="s">
        <v>722</v>
      </c>
      <c r="N188" s="2" t="s">
        <v>28</v>
      </c>
      <c r="O188" s="2" t="s">
        <v>29</v>
      </c>
      <c r="P188" s="3">
        <v>0.37</v>
      </c>
      <c r="Q188" s="2" t="s">
        <v>51</v>
      </c>
      <c r="R188" s="1" t="str">
        <f>IF(Table13[[#This Row],[Number_Review_Lakhs]]&gt;=1,"Highly Popular", IF(Table13[[#This Row],[Number_Review_Lakhs]]&gt;=0.5,"Popular","Less Popular"))</f>
        <v>Less Popular</v>
      </c>
      <c r="S188" s="1" t="str">
        <f>IF(Table13[[#This Row],[Visit_Time_Hrs]]&lt;=2,"Short Visit", IF(Table13[[#This Row],[Visit_Time_Hrs]]&lt;=5,"Medium Visit","Full Day"))</f>
        <v>Short Visit</v>
      </c>
      <c r="T188" s="1" t="str">
        <f>IF(Table13[[#This Row],[Airport_50km_Radius]]="Yes","Accessible","Remote")</f>
        <v>Accessible</v>
      </c>
      <c r="U188" s="1" t="str">
        <f>IF(Table13[[#This Row],[Reiew_Rating]]&gt;=4.7,"Yes","No")</f>
        <v>Yes</v>
      </c>
      <c r="V188" s="1" t="str">
        <f t="shared" si="8"/>
        <v>Heritage &amp; Culture</v>
      </c>
      <c r="W188" s="1" t="str">
        <f t="shared" si="9"/>
        <v>★★★★★</v>
      </c>
      <c r="X188" s="1" t="str">
        <f t="shared" si="10"/>
        <v>5 / 5 Stars</v>
      </c>
      <c r="Y188" s="1" t="str">
        <f t="shared" si="11"/>
        <v>Low Traffic</v>
      </c>
    </row>
    <row r="189" spans="1:25" x14ac:dyDescent="0.3">
      <c r="A189" s="2" t="s">
        <v>306</v>
      </c>
      <c r="B189" s="2" t="s">
        <v>415</v>
      </c>
      <c r="C189" s="2" t="s">
        <v>428</v>
      </c>
      <c r="D189" s="2" t="s">
        <v>429</v>
      </c>
      <c r="E189" s="2" t="s">
        <v>430</v>
      </c>
      <c r="F189" s="1">
        <v>1405</v>
      </c>
      <c r="G189" s="1">
        <v>1</v>
      </c>
      <c r="H189" s="1">
        <v>4.5</v>
      </c>
      <c r="I189" s="1" t="str">
        <f>IF(Table13[[#This Row],[Reiew_Rating]]&gt;=4.5,"Excellent",
IF(Table13[[#This Row],[Reiew_Rating]]&gt;=4,"Good","Average"))</f>
        <v>Excellent</v>
      </c>
      <c r="J189" s="1">
        <v>0</v>
      </c>
      <c r="K189" s="1" t="str">
        <f>IF(Table13[[#This Row],[Entrance_Fee_INR]]=0,"Free","Paid")</f>
        <v>Free</v>
      </c>
      <c r="L189" s="2" t="s">
        <v>19</v>
      </c>
      <c r="M189" s="2" t="s">
        <v>720</v>
      </c>
      <c r="N189" s="2" t="s">
        <v>28</v>
      </c>
      <c r="O189" s="2" t="s">
        <v>19</v>
      </c>
      <c r="P189" s="3">
        <v>0.09</v>
      </c>
      <c r="Q189" s="2" t="s">
        <v>37</v>
      </c>
      <c r="R189" s="1" t="str">
        <f>IF(Table13[[#This Row],[Number_Review_Lakhs]]&gt;=1,"Highly Popular", IF(Table13[[#This Row],[Number_Review_Lakhs]]&gt;=0.5,"Popular","Less Popular"))</f>
        <v>Less Popular</v>
      </c>
      <c r="S189" s="1" t="str">
        <f>IF(Table13[[#This Row],[Visit_Time_Hrs]]&lt;=2,"Short Visit", IF(Table13[[#This Row],[Visit_Time_Hrs]]&lt;=5,"Medium Visit","Full Day"))</f>
        <v>Short Visit</v>
      </c>
      <c r="T189" s="1" t="str">
        <f>IF(Table13[[#This Row],[Airport_50km_Radius]]="Yes","Accessible","Remote")</f>
        <v>Accessible</v>
      </c>
      <c r="U189" s="1" t="str">
        <f>IF(Table13[[#This Row],[Reiew_Rating]]&gt;=4.7,"Yes","No")</f>
        <v>No</v>
      </c>
      <c r="V189" s="1" t="str">
        <f t="shared" si="8"/>
        <v>Heritage &amp; Culture</v>
      </c>
      <c r="W189" s="1" t="str">
        <f t="shared" si="9"/>
        <v>★★★★★</v>
      </c>
      <c r="X189" s="1" t="str">
        <f t="shared" si="10"/>
        <v>5 / 5 Stars</v>
      </c>
      <c r="Y189" s="1" t="str">
        <f t="shared" si="11"/>
        <v>Low Traffic</v>
      </c>
    </row>
    <row r="190" spans="1:25" x14ac:dyDescent="0.3">
      <c r="A190" s="2" t="s">
        <v>306</v>
      </c>
      <c r="B190" s="2" t="s">
        <v>415</v>
      </c>
      <c r="C190" s="2" t="s">
        <v>431</v>
      </c>
      <c r="D190" s="2" t="s">
        <v>432</v>
      </c>
      <c r="E190" s="2" t="s">
        <v>43</v>
      </c>
      <c r="F190" s="1">
        <v>1613</v>
      </c>
      <c r="G190" s="1">
        <v>1.5</v>
      </c>
      <c r="H190" s="1">
        <v>4.4000000000000004</v>
      </c>
      <c r="I190" s="1" t="str">
        <f>IF(Table13[[#This Row],[Reiew_Rating]]&gt;=4.5,"Excellent",
IF(Table13[[#This Row],[Reiew_Rating]]&gt;=4,"Good","Average"))</f>
        <v>Good</v>
      </c>
      <c r="J190" s="1">
        <v>15</v>
      </c>
      <c r="K190" s="1" t="str">
        <f>IF(Table13[[#This Row],[Entrance_Fee_INR]]=0,"Free","Paid")</f>
        <v>Paid</v>
      </c>
      <c r="L190" s="2" t="s">
        <v>19</v>
      </c>
      <c r="M190" s="2" t="s">
        <v>57</v>
      </c>
      <c r="N190" s="2" t="s">
        <v>21</v>
      </c>
      <c r="O190" s="2" t="s">
        <v>19</v>
      </c>
      <c r="P190" s="3">
        <v>0.25</v>
      </c>
      <c r="Q190" s="2" t="s">
        <v>51</v>
      </c>
      <c r="R190" s="1" t="str">
        <f>IF(Table13[[#This Row],[Number_Review_Lakhs]]&gt;=1,"Highly Popular", IF(Table13[[#This Row],[Number_Review_Lakhs]]&gt;=0.5,"Popular","Less Popular"))</f>
        <v>Less Popular</v>
      </c>
      <c r="S190" s="1" t="str">
        <f>IF(Table13[[#This Row],[Visit_Time_Hrs]]&lt;=2,"Short Visit", IF(Table13[[#This Row],[Visit_Time_Hrs]]&lt;=5,"Medium Visit","Full Day"))</f>
        <v>Short Visit</v>
      </c>
      <c r="T190" s="1" t="str">
        <f>IF(Table13[[#This Row],[Airport_50km_Radius]]="Yes","Accessible","Remote")</f>
        <v>Accessible</v>
      </c>
      <c r="U190" s="1" t="str">
        <f>IF(Table13[[#This Row],[Reiew_Rating]]&gt;=4.7,"Yes","No")</f>
        <v>No</v>
      </c>
      <c r="V190" s="1" t="str">
        <f t="shared" si="8"/>
        <v>Heritage &amp; Culture</v>
      </c>
      <c r="W190" s="1" t="str">
        <f t="shared" si="9"/>
        <v>★★★★☆</v>
      </c>
      <c r="X190" s="1" t="str">
        <f t="shared" si="10"/>
        <v>4 / 5 Stars</v>
      </c>
      <c r="Y190" s="1" t="str">
        <f t="shared" si="11"/>
        <v>Low Traffic</v>
      </c>
    </row>
    <row r="191" spans="1:25" x14ac:dyDescent="0.3">
      <c r="A191" s="2" t="s">
        <v>306</v>
      </c>
      <c r="B191" s="2" t="s">
        <v>415</v>
      </c>
      <c r="C191" s="2" t="s">
        <v>433</v>
      </c>
      <c r="D191" s="2" t="s">
        <v>434</v>
      </c>
      <c r="E191" s="2" t="s">
        <v>59</v>
      </c>
      <c r="F191" s="1">
        <v>-500</v>
      </c>
      <c r="G191" s="1">
        <v>1</v>
      </c>
      <c r="H191" s="1">
        <v>4.5999999999999996</v>
      </c>
      <c r="I191" s="1" t="str">
        <f>IF(Table13[[#This Row],[Reiew_Rating]]&gt;=4.5,"Excellent",
IF(Table13[[#This Row],[Reiew_Rating]]&gt;=4,"Good","Average"))</f>
        <v>Excellent</v>
      </c>
      <c r="J191" s="1">
        <v>5</v>
      </c>
      <c r="K191" s="1" t="str">
        <f>IF(Table13[[#This Row],[Entrance_Fee_INR]]=0,"Free","Paid")</f>
        <v>Paid</v>
      </c>
      <c r="L191" s="2" t="s">
        <v>19</v>
      </c>
      <c r="M191" s="2" t="s">
        <v>305</v>
      </c>
      <c r="N191" s="2" t="s">
        <v>21</v>
      </c>
      <c r="O191" s="2" t="s">
        <v>19</v>
      </c>
      <c r="P191" s="3">
        <v>6.5000000000000002E-2</v>
      </c>
      <c r="Q191" s="2" t="s">
        <v>51</v>
      </c>
      <c r="R191" s="1" t="str">
        <f>IF(Table13[[#This Row],[Number_Review_Lakhs]]&gt;=1,"Highly Popular", IF(Table13[[#This Row],[Number_Review_Lakhs]]&gt;=0.5,"Popular","Less Popular"))</f>
        <v>Less Popular</v>
      </c>
      <c r="S191" s="1" t="str">
        <f>IF(Table13[[#This Row],[Visit_Time_Hrs]]&lt;=2,"Short Visit", IF(Table13[[#This Row],[Visit_Time_Hrs]]&lt;=5,"Medium Visit","Full Day"))</f>
        <v>Short Visit</v>
      </c>
      <c r="T191" s="1" t="str">
        <f>IF(Table13[[#This Row],[Airport_50km_Radius]]="Yes","Accessible","Remote")</f>
        <v>Accessible</v>
      </c>
      <c r="U191" s="1" t="str">
        <f>IF(Table13[[#This Row],[Reiew_Rating]]&gt;=4.7,"Yes","No")</f>
        <v>No</v>
      </c>
      <c r="V191" s="1" t="str">
        <f t="shared" si="8"/>
        <v>Heritage &amp; Culture</v>
      </c>
      <c r="W191" s="1" t="str">
        <f t="shared" si="9"/>
        <v>★★★★★</v>
      </c>
      <c r="X191" s="1" t="str">
        <f t="shared" si="10"/>
        <v>5 / 5 Stars</v>
      </c>
      <c r="Y191" s="1" t="str">
        <f t="shared" si="11"/>
        <v>Low Traffic</v>
      </c>
    </row>
    <row r="192" spans="1:25" x14ac:dyDescent="0.3">
      <c r="A192" s="2" t="s">
        <v>306</v>
      </c>
      <c r="B192" s="2" t="s">
        <v>415</v>
      </c>
      <c r="C192" s="2" t="s">
        <v>435</v>
      </c>
      <c r="D192" s="2" t="s">
        <v>436</v>
      </c>
      <c r="E192" s="2" t="s">
        <v>59</v>
      </c>
      <c r="F192" s="1">
        <v>1571</v>
      </c>
      <c r="G192" s="1">
        <v>2</v>
      </c>
      <c r="H192" s="1">
        <v>4.4000000000000004</v>
      </c>
      <c r="I192" s="1" t="str">
        <f>IF(Table13[[#This Row],[Reiew_Rating]]&gt;=4.5,"Excellent",
IF(Table13[[#This Row],[Reiew_Rating]]&gt;=4,"Good","Average"))</f>
        <v>Good</v>
      </c>
      <c r="J192" s="1">
        <v>40</v>
      </c>
      <c r="K192" s="1" t="str">
        <f>IF(Table13[[#This Row],[Entrance_Fee_INR]]=0,"Free","Paid")</f>
        <v>Paid</v>
      </c>
      <c r="L192" s="2" t="s">
        <v>19</v>
      </c>
      <c r="M192" s="2" t="s">
        <v>722</v>
      </c>
      <c r="N192" s="2" t="s">
        <v>21</v>
      </c>
      <c r="O192" s="2" t="s">
        <v>19</v>
      </c>
      <c r="P192" s="3">
        <v>7.0000000000000007E-2</v>
      </c>
      <c r="Q192" s="2" t="s">
        <v>25</v>
      </c>
      <c r="R192" s="1" t="str">
        <f>IF(Table13[[#This Row],[Number_Review_Lakhs]]&gt;=1,"Highly Popular", IF(Table13[[#This Row],[Number_Review_Lakhs]]&gt;=0.5,"Popular","Less Popular"))</f>
        <v>Less Popular</v>
      </c>
      <c r="S192" s="1" t="str">
        <f>IF(Table13[[#This Row],[Visit_Time_Hrs]]&lt;=2,"Short Visit", IF(Table13[[#This Row],[Visit_Time_Hrs]]&lt;=5,"Medium Visit","Full Day"))</f>
        <v>Short Visit</v>
      </c>
      <c r="T192" s="1" t="str">
        <f>IF(Table13[[#This Row],[Airport_50km_Radius]]="Yes","Accessible","Remote")</f>
        <v>Accessible</v>
      </c>
      <c r="U192" s="1" t="str">
        <f>IF(Table13[[#This Row],[Reiew_Rating]]&gt;=4.7,"Yes","No")</f>
        <v>No</v>
      </c>
      <c r="V192" s="1" t="str">
        <f t="shared" si="8"/>
        <v>Heritage &amp; Culture</v>
      </c>
      <c r="W192" s="1" t="str">
        <f t="shared" si="9"/>
        <v>★★★★☆</v>
      </c>
      <c r="X192" s="1" t="str">
        <f t="shared" si="10"/>
        <v>4 / 5 Stars</v>
      </c>
      <c r="Y192" s="1" t="str">
        <f t="shared" si="11"/>
        <v>Low Traffic</v>
      </c>
    </row>
    <row r="193" spans="1:25" x14ac:dyDescent="0.3">
      <c r="A193" s="2" t="s">
        <v>306</v>
      </c>
      <c r="B193" s="2" t="s">
        <v>415</v>
      </c>
      <c r="C193" s="2" t="s">
        <v>437</v>
      </c>
      <c r="D193" s="2" t="s">
        <v>438</v>
      </c>
      <c r="E193" s="2" t="s">
        <v>153</v>
      </c>
      <c r="F193" s="1">
        <v>1990</v>
      </c>
      <c r="G193" s="1">
        <v>1.5</v>
      </c>
      <c r="H193" s="1">
        <v>4.3</v>
      </c>
      <c r="I193" s="1" t="str">
        <f>IF(Table13[[#This Row],[Reiew_Rating]]&gt;=4.5,"Excellent",
IF(Table13[[#This Row],[Reiew_Rating]]&gt;=4,"Good","Average"))</f>
        <v>Good</v>
      </c>
      <c r="J193" s="1">
        <v>30</v>
      </c>
      <c r="K193" s="1" t="str">
        <f>IF(Table13[[#This Row],[Entrance_Fee_INR]]=0,"Free","Paid")</f>
        <v>Paid</v>
      </c>
      <c r="L193" s="2" t="s">
        <v>19</v>
      </c>
      <c r="M193" s="2" t="s">
        <v>32</v>
      </c>
      <c r="N193" s="2" t="s">
        <v>73</v>
      </c>
      <c r="O193" s="2" t="s">
        <v>19</v>
      </c>
      <c r="P193" s="3">
        <v>3.5000000000000003E-2</v>
      </c>
      <c r="Q193" s="2" t="s">
        <v>51</v>
      </c>
      <c r="R193" s="1" t="str">
        <f>IF(Table13[[#This Row],[Number_Review_Lakhs]]&gt;=1,"Highly Popular", IF(Table13[[#This Row],[Number_Review_Lakhs]]&gt;=0.5,"Popular","Less Popular"))</f>
        <v>Less Popular</v>
      </c>
      <c r="S193" s="1" t="str">
        <f>IF(Table13[[#This Row],[Visit_Time_Hrs]]&lt;=2,"Short Visit", IF(Table13[[#This Row],[Visit_Time_Hrs]]&lt;=5,"Medium Visit","Full Day"))</f>
        <v>Short Visit</v>
      </c>
      <c r="T193" s="1" t="str">
        <f>IF(Table13[[#This Row],[Airport_50km_Radius]]="Yes","Accessible","Remote")</f>
        <v>Accessible</v>
      </c>
      <c r="U193" s="1" t="str">
        <f>IF(Table13[[#This Row],[Reiew_Rating]]&gt;=4.7,"Yes","No")</f>
        <v>No</v>
      </c>
      <c r="V193" s="1" t="str">
        <f t="shared" si="8"/>
        <v>Nature &amp; Wildlife</v>
      </c>
      <c r="W193" s="1" t="str">
        <f t="shared" si="9"/>
        <v>★★★★☆</v>
      </c>
      <c r="X193" s="1" t="str">
        <f t="shared" si="10"/>
        <v>4 / 5 Stars</v>
      </c>
      <c r="Y193" s="1" t="str">
        <f t="shared" si="11"/>
        <v>Low Traffic</v>
      </c>
    </row>
    <row r="194" spans="1:25" x14ac:dyDescent="0.3">
      <c r="A194" s="2" t="s">
        <v>306</v>
      </c>
      <c r="B194" s="2" t="s">
        <v>415</v>
      </c>
      <c r="C194" s="2" t="s">
        <v>439</v>
      </c>
      <c r="D194" s="2" t="s">
        <v>440</v>
      </c>
      <c r="E194" s="2" t="s">
        <v>43</v>
      </c>
      <c r="F194" s="1">
        <v>1524</v>
      </c>
      <c r="G194" s="1">
        <v>1</v>
      </c>
      <c r="H194" s="1">
        <v>4.0999999999999996</v>
      </c>
      <c r="I194" s="1" t="str">
        <f>IF(Table13[[#This Row],[Reiew_Rating]]&gt;=4.5,"Excellent",
IF(Table13[[#This Row],[Reiew_Rating]]&gt;=4,"Good","Average"))</f>
        <v>Good</v>
      </c>
      <c r="J194" s="1">
        <v>20</v>
      </c>
      <c r="K194" s="1" t="str">
        <f>IF(Table13[[#This Row],[Entrance_Fee_INR]]=0,"Free","Paid")</f>
        <v>Paid</v>
      </c>
      <c r="L194" s="2" t="s">
        <v>19</v>
      </c>
      <c r="M194" s="2" t="s">
        <v>720</v>
      </c>
      <c r="N194" s="2" t="s">
        <v>21</v>
      </c>
      <c r="O194" s="2" t="s">
        <v>19</v>
      </c>
      <c r="P194" s="3">
        <v>1.6500000000000001E-2</v>
      </c>
      <c r="Q194" s="2" t="s">
        <v>25</v>
      </c>
      <c r="R194" s="1" t="str">
        <f>IF(Table13[[#This Row],[Number_Review_Lakhs]]&gt;=1,"Highly Popular", IF(Table13[[#This Row],[Number_Review_Lakhs]]&gt;=0.5,"Popular","Less Popular"))</f>
        <v>Less Popular</v>
      </c>
      <c r="S194" s="1" t="str">
        <f>IF(Table13[[#This Row],[Visit_Time_Hrs]]&lt;=2,"Short Visit", IF(Table13[[#This Row],[Visit_Time_Hrs]]&lt;=5,"Medium Visit","Full Day"))</f>
        <v>Short Visit</v>
      </c>
      <c r="T194" s="1" t="str">
        <f>IF(Table13[[#This Row],[Airport_50km_Radius]]="Yes","Accessible","Remote")</f>
        <v>Accessible</v>
      </c>
      <c r="U194" s="1" t="str">
        <f>IF(Table13[[#This Row],[Reiew_Rating]]&gt;=4.7,"Yes","No")</f>
        <v>No</v>
      </c>
      <c r="V194" s="1" t="str">
        <f t="shared" ref="V194:V257" si="12">IF(OR(N194="Historical",N194="Artistic",N194="Religious",N194="Architectural"), "Heritage &amp; Culture",
IF(OR(N194="Environmental",N194="Botanical",N194="Scenic",N194="Wildlife",N194="Nature"), "Nature &amp; Wildlife",
IF(OR(N194="Recreational",N194="Market",N194="Entertainment"), "Leisure &amp; Commerce",
IF(N194="Scientific", "Science &amp; Education", "Other"))))</f>
        <v>Heritage &amp; Culture</v>
      </c>
      <c r="W194" s="1" t="str">
        <f t="shared" ref="W194:W257" si="13">REPT("★", ROUND(H194, 0)) &amp; REPT("☆", 5 - ROUND(H194, 0))</f>
        <v>★★★★☆</v>
      </c>
      <c r="X194" s="1" t="str">
        <f t="shared" ref="X194:X257" si="14">ROUND(H194, 0) &amp; " / 5 Stars"</f>
        <v>4 / 5 Stars</v>
      </c>
      <c r="Y194" s="1" t="str">
        <f t="shared" ref="Y194:Y257" si="15">IF(P194&gt;=1.5, "High Traffic", IF(P194&gt;=0.4, "Medium Traffic", "Low Traffic"))</f>
        <v>Low Traffic</v>
      </c>
    </row>
    <row r="195" spans="1:25" x14ac:dyDescent="0.3">
      <c r="A195" s="2" t="s">
        <v>306</v>
      </c>
      <c r="B195" s="2" t="s">
        <v>415</v>
      </c>
      <c r="C195" s="2" t="s">
        <v>441</v>
      </c>
      <c r="D195" s="2" t="s">
        <v>442</v>
      </c>
      <c r="E195" s="2" t="s">
        <v>27</v>
      </c>
      <c r="F195" s="1">
        <v>1624</v>
      </c>
      <c r="G195" s="1">
        <v>1</v>
      </c>
      <c r="H195" s="1">
        <v>4.8</v>
      </c>
      <c r="I195" s="1" t="str">
        <f>IF(Table13[[#This Row],[Reiew_Rating]]&gt;=4.5,"Excellent",
IF(Table13[[#This Row],[Reiew_Rating]]&gt;=4,"Good","Average"))</f>
        <v>Excellent</v>
      </c>
      <c r="J195" s="1">
        <v>0</v>
      </c>
      <c r="K195" s="1" t="str">
        <f>IF(Table13[[#This Row],[Entrance_Fee_INR]]=0,"Free","Paid")</f>
        <v>Free</v>
      </c>
      <c r="L195" s="2" t="s">
        <v>19</v>
      </c>
      <c r="M195" s="2" t="s">
        <v>57</v>
      </c>
      <c r="N195" s="2" t="s">
        <v>28</v>
      </c>
      <c r="O195" s="2" t="s">
        <v>29</v>
      </c>
      <c r="P195" s="3">
        <v>4.4999999999999998E-2</v>
      </c>
      <c r="Q195" s="2" t="s">
        <v>51</v>
      </c>
      <c r="R195" s="1" t="str">
        <f>IF(Table13[[#This Row],[Number_Review_Lakhs]]&gt;=1,"Highly Popular", IF(Table13[[#This Row],[Number_Review_Lakhs]]&gt;=0.5,"Popular","Less Popular"))</f>
        <v>Less Popular</v>
      </c>
      <c r="S195" s="1" t="str">
        <f>IF(Table13[[#This Row],[Visit_Time_Hrs]]&lt;=2,"Short Visit", IF(Table13[[#This Row],[Visit_Time_Hrs]]&lt;=5,"Medium Visit","Full Day"))</f>
        <v>Short Visit</v>
      </c>
      <c r="T195" s="1" t="str">
        <f>IF(Table13[[#This Row],[Airport_50km_Radius]]="Yes","Accessible","Remote")</f>
        <v>Accessible</v>
      </c>
      <c r="U195" s="1" t="str">
        <f>IF(Table13[[#This Row],[Reiew_Rating]]&gt;=4.7,"Yes","No")</f>
        <v>Yes</v>
      </c>
      <c r="V195" s="1" t="str">
        <f t="shared" si="12"/>
        <v>Heritage &amp; Culture</v>
      </c>
      <c r="W195" s="1" t="str">
        <f t="shared" si="13"/>
        <v>★★★★★</v>
      </c>
      <c r="X195" s="1" t="str">
        <f t="shared" si="14"/>
        <v>5 / 5 Stars</v>
      </c>
      <c r="Y195" s="1" t="str">
        <f t="shared" si="15"/>
        <v>Low Traffic</v>
      </c>
    </row>
    <row r="196" spans="1:25" x14ac:dyDescent="0.3">
      <c r="A196" s="2" t="s">
        <v>306</v>
      </c>
      <c r="B196" s="2" t="s">
        <v>415</v>
      </c>
      <c r="C196" s="2" t="s">
        <v>443</v>
      </c>
      <c r="D196" s="2" t="s">
        <v>444</v>
      </c>
      <c r="E196" s="2" t="s">
        <v>56</v>
      </c>
      <c r="F196" s="1">
        <v>1971</v>
      </c>
      <c r="G196" s="1">
        <v>2</v>
      </c>
      <c r="H196" s="1">
        <v>4.2</v>
      </c>
      <c r="I196" s="1" t="str">
        <f>IF(Table13[[#This Row],[Reiew_Rating]]&gt;=4.5,"Excellent",
IF(Table13[[#This Row],[Reiew_Rating]]&gt;=4,"Good","Average"))</f>
        <v>Good</v>
      </c>
      <c r="J196" s="1">
        <v>150</v>
      </c>
      <c r="K196" s="1" t="str">
        <f>IF(Table13[[#This Row],[Entrance_Fee_INR]]=0,"Free","Paid")</f>
        <v>Paid</v>
      </c>
      <c r="L196" s="2" t="s">
        <v>19</v>
      </c>
      <c r="M196" s="2" t="s">
        <v>32</v>
      </c>
      <c r="N196" s="2" t="s">
        <v>73</v>
      </c>
      <c r="O196" s="2" t="s">
        <v>19</v>
      </c>
      <c r="P196" s="3">
        <v>0.21</v>
      </c>
      <c r="Q196" s="2" t="s">
        <v>51</v>
      </c>
      <c r="R196" s="1" t="str">
        <f>IF(Table13[[#This Row],[Number_Review_Lakhs]]&gt;=1,"Highly Popular", IF(Table13[[#This Row],[Number_Review_Lakhs]]&gt;=0.5,"Popular","Less Popular"))</f>
        <v>Less Popular</v>
      </c>
      <c r="S196" s="1" t="str">
        <f>IF(Table13[[#This Row],[Visit_Time_Hrs]]&lt;=2,"Short Visit", IF(Table13[[#This Row],[Visit_Time_Hrs]]&lt;=5,"Medium Visit","Full Day"))</f>
        <v>Short Visit</v>
      </c>
      <c r="T196" s="1" t="str">
        <f>IF(Table13[[#This Row],[Airport_50km_Radius]]="Yes","Accessible","Remote")</f>
        <v>Accessible</v>
      </c>
      <c r="U196" s="1" t="str">
        <f>IF(Table13[[#This Row],[Reiew_Rating]]&gt;=4.7,"Yes","No")</f>
        <v>No</v>
      </c>
      <c r="V196" s="1" t="str">
        <f t="shared" si="12"/>
        <v>Nature &amp; Wildlife</v>
      </c>
      <c r="W196" s="1" t="str">
        <f t="shared" si="13"/>
        <v>★★★★☆</v>
      </c>
      <c r="X196" s="1" t="str">
        <f t="shared" si="14"/>
        <v>4 / 5 Stars</v>
      </c>
      <c r="Y196" s="1" t="str">
        <f t="shared" si="15"/>
        <v>Low Traffic</v>
      </c>
    </row>
    <row r="197" spans="1:25" x14ac:dyDescent="0.3">
      <c r="A197" s="2" t="s">
        <v>15</v>
      </c>
      <c r="B197" s="2" t="s">
        <v>445</v>
      </c>
      <c r="C197" s="2" t="s">
        <v>446</v>
      </c>
      <c r="D197" s="2" t="s">
        <v>447</v>
      </c>
      <c r="E197" s="2" t="s">
        <v>106</v>
      </c>
      <c r="F197" s="1">
        <v>1704</v>
      </c>
      <c r="G197" s="1">
        <v>2</v>
      </c>
      <c r="H197" s="1">
        <v>4.5999999999999996</v>
      </c>
      <c r="I197" s="1" t="str">
        <f>IF(Table13[[#This Row],[Reiew_Rating]]&gt;=4.5,"Excellent",
IF(Table13[[#This Row],[Reiew_Rating]]&gt;=4,"Good","Average"))</f>
        <v>Excellent</v>
      </c>
      <c r="J197" s="1">
        <v>0</v>
      </c>
      <c r="K197" s="1" t="str">
        <f>IF(Table13[[#This Row],[Entrance_Fee_INR]]=0,"Free","Paid")</f>
        <v>Free</v>
      </c>
      <c r="L197" s="2" t="s">
        <v>19</v>
      </c>
      <c r="M197" s="2" t="s">
        <v>32</v>
      </c>
      <c r="N197" s="2" t="s">
        <v>94</v>
      </c>
      <c r="O197" s="2" t="s">
        <v>19</v>
      </c>
      <c r="P197" s="3">
        <v>0.15</v>
      </c>
      <c r="Q197" s="2" t="s">
        <v>37</v>
      </c>
      <c r="R197" s="1" t="str">
        <f>IF(Table13[[#This Row],[Number_Review_Lakhs]]&gt;=1,"Highly Popular", IF(Table13[[#This Row],[Number_Review_Lakhs]]&gt;=0.5,"Popular","Less Popular"))</f>
        <v>Less Popular</v>
      </c>
      <c r="S197" s="1" t="str">
        <f>IF(Table13[[#This Row],[Visit_Time_Hrs]]&lt;=2,"Short Visit", IF(Table13[[#This Row],[Visit_Time_Hrs]]&lt;=5,"Medium Visit","Full Day"))</f>
        <v>Short Visit</v>
      </c>
      <c r="T197" s="1" t="str">
        <f>IF(Table13[[#This Row],[Airport_50km_Radius]]="Yes","Accessible","Remote")</f>
        <v>Accessible</v>
      </c>
      <c r="U197" s="1" t="str">
        <f>IF(Table13[[#This Row],[Reiew_Rating]]&gt;=4.7,"Yes","No")</f>
        <v>No</v>
      </c>
      <c r="V197" s="1" t="str">
        <f t="shared" si="12"/>
        <v>Nature &amp; Wildlife</v>
      </c>
      <c r="W197" s="1" t="str">
        <f t="shared" si="13"/>
        <v>★★★★★</v>
      </c>
      <c r="X197" s="1" t="str">
        <f t="shared" si="14"/>
        <v>5 / 5 Stars</v>
      </c>
      <c r="Y197" s="1" t="str">
        <f t="shared" si="15"/>
        <v>Low Traffic</v>
      </c>
    </row>
    <row r="198" spans="1:25" x14ac:dyDescent="0.3">
      <c r="A198" s="2" t="s">
        <v>15</v>
      </c>
      <c r="B198" s="2" t="s">
        <v>448</v>
      </c>
      <c r="C198" s="2" t="s">
        <v>449</v>
      </c>
      <c r="D198" s="2" t="s">
        <v>450</v>
      </c>
      <c r="E198" s="2" t="s">
        <v>106</v>
      </c>
      <c r="F198" s="1">
        <v>1829</v>
      </c>
      <c r="G198" s="1">
        <v>2</v>
      </c>
      <c r="H198" s="1">
        <v>4.9000000000000004</v>
      </c>
      <c r="I198" s="1" t="str">
        <f>IF(Table13[[#This Row],[Reiew_Rating]]&gt;=4.5,"Excellent",
IF(Table13[[#This Row],[Reiew_Rating]]&gt;=4,"Good","Average"))</f>
        <v>Excellent</v>
      </c>
      <c r="J198" s="1">
        <v>20</v>
      </c>
      <c r="K198" s="1" t="str">
        <f>IF(Table13[[#This Row],[Entrance_Fee_INR]]=0,"Free","Paid")</f>
        <v>Paid</v>
      </c>
      <c r="L198" s="2" t="s">
        <v>19</v>
      </c>
      <c r="M198" s="2" t="s">
        <v>32</v>
      </c>
      <c r="N198" s="2" t="s">
        <v>94</v>
      </c>
      <c r="O198" s="2" t="s">
        <v>19</v>
      </c>
      <c r="P198" s="3">
        <v>0.15</v>
      </c>
      <c r="Q198" s="2" t="s">
        <v>37</v>
      </c>
      <c r="R198" s="1" t="str">
        <f>IF(Table13[[#This Row],[Number_Review_Lakhs]]&gt;=1,"Highly Popular", IF(Table13[[#This Row],[Number_Review_Lakhs]]&gt;=0.5,"Popular","Less Popular"))</f>
        <v>Less Popular</v>
      </c>
      <c r="S198" s="1" t="str">
        <f>IF(Table13[[#This Row],[Visit_Time_Hrs]]&lt;=2,"Short Visit", IF(Table13[[#This Row],[Visit_Time_Hrs]]&lt;=5,"Medium Visit","Full Day"))</f>
        <v>Short Visit</v>
      </c>
      <c r="T198" s="1" t="str">
        <f>IF(Table13[[#This Row],[Airport_50km_Radius]]="Yes","Accessible","Remote")</f>
        <v>Accessible</v>
      </c>
      <c r="U198" s="1" t="str">
        <f>IF(Table13[[#This Row],[Reiew_Rating]]&gt;=4.7,"Yes","No")</f>
        <v>Yes</v>
      </c>
      <c r="V198" s="1" t="str">
        <f t="shared" si="12"/>
        <v>Nature &amp; Wildlife</v>
      </c>
      <c r="W198" s="1" t="str">
        <f t="shared" si="13"/>
        <v>★★★★★</v>
      </c>
      <c r="X198" s="1" t="str">
        <f t="shared" si="14"/>
        <v>5 / 5 Stars</v>
      </c>
      <c r="Y198" s="1" t="str">
        <f t="shared" si="15"/>
        <v>Low Traffic</v>
      </c>
    </row>
    <row r="199" spans="1:25" x14ac:dyDescent="0.3">
      <c r="A199" s="2" t="s">
        <v>15</v>
      </c>
      <c r="B199" s="2" t="s">
        <v>445</v>
      </c>
      <c r="C199" s="2" t="s">
        <v>451</v>
      </c>
      <c r="D199" s="2" t="s">
        <v>452</v>
      </c>
      <c r="E199" s="2" t="s">
        <v>300</v>
      </c>
      <c r="F199" s="1">
        <v>1436</v>
      </c>
      <c r="G199" s="1">
        <v>2</v>
      </c>
      <c r="H199" s="1">
        <v>4.5999999999999996</v>
      </c>
      <c r="I199" s="1" t="str">
        <f>IF(Table13[[#This Row],[Reiew_Rating]]&gt;=4.5,"Excellent",
IF(Table13[[#This Row],[Reiew_Rating]]&gt;=4,"Good","Average"))</f>
        <v>Excellent</v>
      </c>
      <c r="J199" s="1">
        <v>100</v>
      </c>
      <c r="K199" s="1" t="str">
        <f>IF(Table13[[#This Row],[Entrance_Fee_INR]]=0,"Free","Paid")</f>
        <v>Paid</v>
      </c>
      <c r="L199" s="2" t="s">
        <v>29</v>
      </c>
      <c r="M199" s="2" t="s">
        <v>720</v>
      </c>
      <c r="N199" s="2" t="s">
        <v>94</v>
      </c>
      <c r="O199" s="2" t="s">
        <v>19</v>
      </c>
      <c r="P199" s="3">
        <v>0.11</v>
      </c>
      <c r="Q199" s="2" t="s">
        <v>51</v>
      </c>
      <c r="R199" s="1" t="str">
        <f>IF(Table13[[#This Row],[Number_Review_Lakhs]]&gt;=1,"Highly Popular", IF(Table13[[#This Row],[Number_Review_Lakhs]]&gt;=0.5,"Popular","Less Popular"))</f>
        <v>Less Popular</v>
      </c>
      <c r="S199" s="1" t="str">
        <f>IF(Table13[[#This Row],[Visit_Time_Hrs]]&lt;=2,"Short Visit", IF(Table13[[#This Row],[Visit_Time_Hrs]]&lt;=5,"Medium Visit","Full Day"))</f>
        <v>Short Visit</v>
      </c>
      <c r="T199" s="1" t="str">
        <f>IF(Table13[[#This Row],[Airport_50km_Radius]]="Yes","Accessible","Remote")</f>
        <v>Remote</v>
      </c>
      <c r="U199" s="1" t="str">
        <f>IF(Table13[[#This Row],[Reiew_Rating]]&gt;=4.7,"Yes","No")</f>
        <v>No</v>
      </c>
      <c r="V199" s="1" t="str">
        <f t="shared" si="12"/>
        <v>Nature &amp; Wildlife</v>
      </c>
      <c r="W199" s="1" t="str">
        <f t="shared" si="13"/>
        <v>★★★★★</v>
      </c>
      <c r="X199" s="1" t="str">
        <f t="shared" si="14"/>
        <v>5 / 5 Stars</v>
      </c>
      <c r="Y199" s="1" t="str">
        <f t="shared" si="15"/>
        <v>Low Traffic</v>
      </c>
    </row>
    <row r="200" spans="1:25" x14ac:dyDescent="0.3">
      <c r="A200" s="2" t="s">
        <v>15</v>
      </c>
      <c r="B200" s="2" t="s">
        <v>445</v>
      </c>
      <c r="C200" s="2" t="s">
        <v>453</v>
      </c>
      <c r="D200" s="2" t="s">
        <v>454</v>
      </c>
      <c r="E200" s="2" t="s">
        <v>27</v>
      </c>
      <c r="F200" s="1">
        <v>1765</v>
      </c>
      <c r="G200" s="1">
        <v>5</v>
      </c>
      <c r="H200" s="1">
        <v>4.7</v>
      </c>
      <c r="I200" s="1" t="str">
        <f>IF(Table13[[#This Row],[Reiew_Rating]]&gt;=4.5,"Excellent",
IF(Table13[[#This Row],[Reiew_Rating]]&gt;=4,"Good","Average"))</f>
        <v>Excellent</v>
      </c>
      <c r="J200" s="1">
        <v>0</v>
      </c>
      <c r="K200" s="1" t="str">
        <f>IF(Table13[[#This Row],[Entrance_Fee_INR]]=0,"Free","Paid")</f>
        <v>Free</v>
      </c>
      <c r="L200" s="2" t="s">
        <v>19</v>
      </c>
      <c r="M200" s="2" t="s">
        <v>40</v>
      </c>
      <c r="N200" s="2" t="s">
        <v>28</v>
      </c>
      <c r="O200" s="2" t="s">
        <v>29</v>
      </c>
      <c r="P200" s="3">
        <v>0.55000000000000004</v>
      </c>
      <c r="Q200" s="2" t="s">
        <v>51</v>
      </c>
      <c r="R200" s="1" t="str">
        <f>IF(Table13[[#This Row],[Number_Review_Lakhs]]&gt;=1,"Highly Popular", IF(Table13[[#This Row],[Number_Review_Lakhs]]&gt;=0.5,"Popular","Less Popular"))</f>
        <v>Popular</v>
      </c>
      <c r="S200" s="1" t="str">
        <f>IF(Table13[[#This Row],[Visit_Time_Hrs]]&lt;=2,"Short Visit", IF(Table13[[#This Row],[Visit_Time_Hrs]]&lt;=5,"Medium Visit","Full Day"))</f>
        <v>Medium Visit</v>
      </c>
      <c r="T200" s="1" t="str">
        <f>IF(Table13[[#This Row],[Airport_50km_Radius]]="Yes","Accessible","Remote")</f>
        <v>Accessible</v>
      </c>
      <c r="U200" s="1" t="str">
        <f>IF(Table13[[#This Row],[Reiew_Rating]]&gt;=4.7,"Yes","No")</f>
        <v>Yes</v>
      </c>
      <c r="V200" s="1" t="str">
        <f t="shared" si="12"/>
        <v>Heritage &amp; Culture</v>
      </c>
      <c r="W200" s="1" t="str">
        <f t="shared" si="13"/>
        <v>★★★★★</v>
      </c>
      <c r="X200" s="1" t="str">
        <f t="shared" si="14"/>
        <v>5 / 5 Stars</v>
      </c>
      <c r="Y200" s="1" t="str">
        <f t="shared" si="15"/>
        <v>Medium Traffic</v>
      </c>
    </row>
    <row r="201" spans="1:25" x14ac:dyDescent="0.3">
      <c r="A201" s="2" t="s">
        <v>15</v>
      </c>
      <c r="B201" s="2" t="s">
        <v>445</v>
      </c>
      <c r="C201" s="2" t="s">
        <v>455</v>
      </c>
      <c r="D201" s="2" t="s">
        <v>456</v>
      </c>
      <c r="E201" s="2" t="s">
        <v>457</v>
      </c>
      <c r="F201" s="1">
        <v>1599</v>
      </c>
      <c r="G201" s="1">
        <v>2</v>
      </c>
      <c r="H201" s="1">
        <v>4.0999999999999996</v>
      </c>
      <c r="I201" s="1" t="str">
        <f>IF(Table13[[#This Row],[Reiew_Rating]]&gt;=4.5,"Excellent",
IF(Table13[[#This Row],[Reiew_Rating]]&gt;=4,"Good","Average"))</f>
        <v>Good</v>
      </c>
      <c r="J201" s="1">
        <v>0</v>
      </c>
      <c r="K201" s="1" t="str">
        <f>IF(Table13[[#This Row],[Entrance_Fee_INR]]=0,"Free","Paid")</f>
        <v>Free</v>
      </c>
      <c r="L201" s="2" t="s">
        <v>29</v>
      </c>
      <c r="M201" s="2" t="s">
        <v>721</v>
      </c>
      <c r="N201" s="2" t="s">
        <v>80</v>
      </c>
      <c r="O201" s="2" t="s">
        <v>19</v>
      </c>
      <c r="P201" s="3">
        <v>0.01</v>
      </c>
      <c r="Q201" s="2" t="s">
        <v>51</v>
      </c>
      <c r="R201" s="1" t="str">
        <f>IF(Table13[[#This Row],[Number_Review_Lakhs]]&gt;=1,"Highly Popular", IF(Table13[[#This Row],[Number_Review_Lakhs]]&gt;=0.5,"Popular","Less Popular"))</f>
        <v>Less Popular</v>
      </c>
      <c r="S201" s="1" t="str">
        <f>IF(Table13[[#This Row],[Visit_Time_Hrs]]&lt;=2,"Short Visit", IF(Table13[[#This Row],[Visit_Time_Hrs]]&lt;=5,"Medium Visit","Full Day"))</f>
        <v>Short Visit</v>
      </c>
      <c r="T201" s="1" t="str">
        <f>IF(Table13[[#This Row],[Airport_50km_Radius]]="Yes","Accessible","Remote")</f>
        <v>Remote</v>
      </c>
      <c r="U201" s="1" t="str">
        <f>IF(Table13[[#This Row],[Reiew_Rating]]&gt;=4.7,"Yes","No")</f>
        <v>No</v>
      </c>
      <c r="V201" s="1" t="str">
        <f t="shared" si="12"/>
        <v>Leisure &amp; Commerce</v>
      </c>
      <c r="W201" s="1" t="str">
        <f t="shared" si="13"/>
        <v>★★★★☆</v>
      </c>
      <c r="X201" s="1" t="str">
        <f t="shared" si="14"/>
        <v>4 / 5 Stars</v>
      </c>
      <c r="Y201" s="1" t="str">
        <f t="shared" si="15"/>
        <v>Low Traffic</v>
      </c>
    </row>
    <row r="202" spans="1:25" x14ac:dyDescent="0.3">
      <c r="A202" s="2" t="s">
        <v>15</v>
      </c>
      <c r="B202" s="2" t="s">
        <v>445</v>
      </c>
      <c r="C202" s="2" t="s">
        <v>458</v>
      </c>
      <c r="D202" s="2" t="s">
        <v>459</v>
      </c>
      <c r="E202" s="2" t="s">
        <v>27</v>
      </c>
      <c r="F202" s="1">
        <v>1656</v>
      </c>
      <c r="G202" s="1">
        <v>6</v>
      </c>
      <c r="H202" s="1">
        <v>4.5</v>
      </c>
      <c r="I202" s="1" t="str">
        <f>IF(Table13[[#This Row],[Reiew_Rating]]&gt;=4.5,"Excellent",
IF(Table13[[#This Row],[Reiew_Rating]]&gt;=4,"Good","Average"))</f>
        <v>Excellent</v>
      </c>
      <c r="J202" s="1">
        <v>0</v>
      </c>
      <c r="K202" s="1" t="str">
        <f>IF(Table13[[#This Row],[Entrance_Fee_INR]]=0,"Free","Paid")</f>
        <v>Free</v>
      </c>
      <c r="L202" s="2" t="s">
        <v>29</v>
      </c>
      <c r="M202" s="2" t="s">
        <v>305</v>
      </c>
      <c r="N202" s="2" t="s">
        <v>28</v>
      </c>
      <c r="O202" s="2" t="s">
        <v>19</v>
      </c>
      <c r="P202" s="3">
        <v>0.11</v>
      </c>
      <c r="Q202" s="2" t="s">
        <v>51</v>
      </c>
      <c r="R202" s="1" t="str">
        <f>IF(Table13[[#This Row],[Number_Review_Lakhs]]&gt;=1,"Highly Popular", IF(Table13[[#This Row],[Number_Review_Lakhs]]&gt;=0.5,"Popular","Less Popular"))</f>
        <v>Less Popular</v>
      </c>
      <c r="S202" s="1" t="str">
        <f>IF(Table13[[#This Row],[Visit_Time_Hrs]]&lt;=2,"Short Visit", IF(Table13[[#This Row],[Visit_Time_Hrs]]&lt;=5,"Medium Visit","Full Day"))</f>
        <v>Full Day</v>
      </c>
      <c r="T202" s="1" t="str">
        <f>IF(Table13[[#This Row],[Airport_50km_Radius]]="Yes","Accessible","Remote")</f>
        <v>Remote</v>
      </c>
      <c r="U202" s="1" t="str">
        <f>IF(Table13[[#This Row],[Reiew_Rating]]&gt;=4.7,"Yes","No")</f>
        <v>No</v>
      </c>
      <c r="V202" s="1" t="str">
        <f t="shared" si="12"/>
        <v>Heritage &amp; Culture</v>
      </c>
      <c r="W202" s="1" t="str">
        <f t="shared" si="13"/>
        <v>★★★★★</v>
      </c>
      <c r="X202" s="1" t="str">
        <f t="shared" si="14"/>
        <v>5 / 5 Stars</v>
      </c>
      <c r="Y202" s="1" t="str">
        <f t="shared" si="15"/>
        <v>Low Traffic</v>
      </c>
    </row>
    <row r="203" spans="1:25" x14ac:dyDescent="0.3">
      <c r="A203" s="2" t="s">
        <v>15</v>
      </c>
      <c r="B203" s="2" t="s">
        <v>448</v>
      </c>
      <c r="C203" s="2" t="s">
        <v>449</v>
      </c>
      <c r="D203" s="2" t="s">
        <v>460</v>
      </c>
      <c r="E203" s="2" t="s">
        <v>352</v>
      </c>
      <c r="F203" s="1">
        <v>1430</v>
      </c>
      <c r="G203" s="1">
        <v>1.5</v>
      </c>
      <c r="H203" s="1">
        <v>4.7</v>
      </c>
      <c r="I203" s="1" t="str">
        <f>IF(Table13[[#This Row],[Reiew_Rating]]&gt;=4.5,"Excellent",
IF(Table13[[#This Row],[Reiew_Rating]]&gt;=4,"Good","Average"))</f>
        <v>Excellent</v>
      </c>
      <c r="J203" s="1">
        <v>20</v>
      </c>
      <c r="K203" s="1" t="str">
        <f>IF(Table13[[#This Row],[Entrance_Fee_INR]]=0,"Free","Paid")</f>
        <v>Paid</v>
      </c>
      <c r="L203" s="2" t="s">
        <v>19</v>
      </c>
      <c r="M203" s="2" t="s">
        <v>722</v>
      </c>
      <c r="N203" s="2" t="s">
        <v>28</v>
      </c>
      <c r="O203" s="2" t="s">
        <v>29</v>
      </c>
      <c r="P203" s="3">
        <v>0.05</v>
      </c>
      <c r="Q203" s="2" t="s">
        <v>51</v>
      </c>
      <c r="R203" s="1" t="str">
        <f>IF(Table13[[#This Row],[Number_Review_Lakhs]]&gt;=1,"Highly Popular", IF(Table13[[#This Row],[Number_Review_Lakhs]]&gt;=0.5,"Popular","Less Popular"))</f>
        <v>Less Popular</v>
      </c>
      <c r="S203" s="1" t="str">
        <f>IF(Table13[[#This Row],[Visit_Time_Hrs]]&lt;=2,"Short Visit", IF(Table13[[#This Row],[Visit_Time_Hrs]]&lt;=5,"Medium Visit","Full Day"))</f>
        <v>Short Visit</v>
      </c>
      <c r="T203" s="1" t="str">
        <f>IF(Table13[[#This Row],[Airport_50km_Radius]]="Yes","Accessible","Remote")</f>
        <v>Accessible</v>
      </c>
      <c r="U203" s="1" t="str">
        <f>IF(Table13[[#This Row],[Reiew_Rating]]&gt;=4.7,"Yes","No")</f>
        <v>Yes</v>
      </c>
      <c r="V203" s="1" t="str">
        <f t="shared" si="12"/>
        <v>Heritage &amp; Culture</v>
      </c>
      <c r="W203" s="1" t="str">
        <f t="shared" si="13"/>
        <v>★★★★★</v>
      </c>
      <c r="X203" s="1" t="str">
        <f t="shared" si="14"/>
        <v>5 / 5 Stars</v>
      </c>
      <c r="Y203" s="1" t="str">
        <f t="shared" si="15"/>
        <v>Low Traffic</v>
      </c>
    </row>
    <row r="204" spans="1:25" x14ac:dyDescent="0.3">
      <c r="A204" s="2" t="s">
        <v>15</v>
      </c>
      <c r="B204" s="2" t="s">
        <v>448</v>
      </c>
      <c r="C204" s="2" t="s">
        <v>461</v>
      </c>
      <c r="D204" s="2" t="s">
        <v>461</v>
      </c>
      <c r="E204" s="2" t="s">
        <v>300</v>
      </c>
      <c r="F204" s="1">
        <v>1453</v>
      </c>
      <c r="G204" s="1">
        <v>2</v>
      </c>
      <c r="H204" s="1">
        <v>4.5</v>
      </c>
      <c r="I204" s="1" t="str">
        <f>IF(Table13[[#This Row],[Reiew_Rating]]&gt;=4.5,"Excellent",
IF(Table13[[#This Row],[Reiew_Rating]]&gt;=4,"Good","Average"))</f>
        <v>Excellent</v>
      </c>
      <c r="J204" s="1">
        <v>0</v>
      </c>
      <c r="K204" s="1" t="str">
        <f>IF(Table13[[#This Row],[Entrance_Fee_INR]]=0,"Free","Paid")</f>
        <v>Free</v>
      </c>
      <c r="L204" s="2" t="s">
        <v>29</v>
      </c>
      <c r="M204" s="2" t="s">
        <v>720</v>
      </c>
      <c r="N204" s="2" t="s">
        <v>94</v>
      </c>
      <c r="O204" s="2" t="s">
        <v>19</v>
      </c>
      <c r="P204" s="3">
        <v>0.1</v>
      </c>
      <c r="Q204" s="2" t="s">
        <v>51</v>
      </c>
      <c r="R204" s="1" t="str">
        <f>IF(Table13[[#This Row],[Number_Review_Lakhs]]&gt;=1,"Highly Popular", IF(Table13[[#This Row],[Number_Review_Lakhs]]&gt;=0.5,"Popular","Less Popular"))</f>
        <v>Less Popular</v>
      </c>
      <c r="S204" s="1" t="str">
        <f>IF(Table13[[#This Row],[Visit_Time_Hrs]]&lt;=2,"Short Visit", IF(Table13[[#This Row],[Visit_Time_Hrs]]&lt;=5,"Medium Visit","Full Day"))</f>
        <v>Short Visit</v>
      </c>
      <c r="T204" s="1" t="str">
        <f>IF(Table13[[#This Row],[Airport_50km_Radius]]="Yes","Accessible","Remote")</f>
        <v>Remote</v>
      </c>
      <c r="U204" s="1" t="str">
        <f>IF(Table13[[#This Row],[Reiew_Rating]]&gt;=4.7,"Yes","No")</f>
        <v>No</v>
      </c>
      <c r="V204" s="1" t="str">
        <f t="shared" si="12"/>
        <v>Nature &amp; Wildlife</v>
      </c>
      <c r="W204" s="1" t="str">
        <f t="shared" si="13"/>
        <v>★★★★★</v>
      </c>
      <c r="X204" s="1" t="str">
        <f t="shared" si="14"/>
        <v>5 / 5 Stars</v>
      </c>
      <c r="Y204" s="1" t="str">
        <f t="shared" si="15"/>
        <v>Low Traffic</v>
      </c>
    </row>
    <row r="205" spans="1:25" x14ac:dyDescent="0.3">
      <c r="A205" s="2" t="s">
        <v>15</v>
      </c>
      <c r="B205" s="2" t="s">
        <v>448</v>
      </c>
      <c r="C205" s="2" t="s">
        <v>462</v>
      </c>
      <c r="D205" s="2" t="s">
        <v>463</v>
      </c>
      <c r="E205" s="2" t="s">
        <v>18</v>
      </c>
      <c r="F205" s="1">
        <v>24</v>
      </c>
      <c r="G205" s="1">
        <v>1</v>
      </c>
      <c r="H205" s="1">
        <v>4.8</v>
      </c>
      <c r="I205" s="1" t="str">
        <f>IF(Table13[[#This Row],[Reiew_Rating]]&gt;=4.5,"Excellent",
IF(Table13[[#This Row],[Reiew_Rating]]&gt;=4,"Good","Average"))</f>
        <v>Excellent</v>
      </c>
      <c r="J205" s="1">
        <v>0</v>
      </c>
      <c r="K205" s="1" t="str">
        <f>IF(Table13[[#This Row],[Entrance_Fee_INR]]=0,"Free","Paid")</f>
        <v>Free</v>
      </c>
      <c r="L205" s="2" t="s">
        <v>29</v>
      </c>
      <c r="M205" s="2" t="s">
        <v>722</v>
      </c>
      <c r="N205" s="2" t="s">
        <v>21</v>
      </c>
      <c r="O205" s="2" t="s">
        <v>19</v>
      </c>
      <c r="P205" s="3">
        <v>1.0999999999999999E-2</v>
      </c>
      <c r="Q205" s="2" t="s">
        <v>51</v>
      </c>
      <c r="R205" s="1" t="str">
        <f>IF(Table13[[#This Row],[Number_Review_Lakhs]]&gt;=1,"Highly Popular", IF(Table13[[#This Row],[Number_Review_Lakhs]]&gt;=0.5,"Popular","Less Popular"))</f>
        <v>Less Popular</v>
      </c>
      <c r="S205" s="1" t="str">
        <f>IF(Table13[[#This Row],[Visit_Time_Hrs]]&lt;=2,"Short Visit", IF(Table13[[#This Row],[Visit_Time_Hrs]]&lt;=5,"Medium Visit","Full Day"))</f>
        <v>Short Visit</v>
      </c>
      <c r="T205" s="1" t="str">
        <f>IF(Table13[[#This Row],[Airport_50km_Radius]]="Yes","Accessible","Remote")</f>
        <v>Remote</v>
      </c>
      <c r="U205" s="1" t="str">
        <f>IF(Table13[[#This Row],[Reiew_Rating]]&gt;=4.7,"Yes","No")</f>
        <v>Yes</v>
      </c>
      <c r="V205" s="1" t="str">
        <f t="shared" si="12"/>
        <v>Heritage &amp; Culture</v>
      </c>
      <c r="W205" s="1" t="str">
        <f t="shared" si="13"/>
        <v>★★★★★</v>
      </c>
      <c r="X205" s="1" t="str">
        <f t="shared" si="14"/>
        <v>5 / 5 Stars</v>
      </c>
      <c r="Y205" s="1" t="str">
        <f t="shared" si="15"/>
        <v>Low Traffic</v>
      </c>
    </row>
    <row r="206" spans="1:25" x14ac:dyDescent="0.3">
      <c r="A206" s="2" t="s">
        <v>15</v>
      </c>
      <c r="B206" s="2" t="s">
        <v>448</v>
      </c>
      <c r="C206" s="2" t="s">
        <v>464</v>
      </c>
      <c r="D206" s="2" t="s">
        <v>465</v>
      </c>
      <c r="E206" s="2" t="s">
        <v>352</v>
      </c>
      <c r="F206" s="1">
        <v>1351</v>
      </c>
      <c r="G206" s="1">
        <v>1</v>
      </c>
      <c r="H206" s="1">
        <v>4.7</v>
      </c>
      <c r="I206" s="1" t="str">
        <f>IF(Table13[[#This Row],[Reiew_Rating]]&gt;=4.5,"Excellent",
IF(Table13[[#This Row],[Reiew_Rating]]&gt;=4,"Good","Average"))</f>
        <v>Excellent</v>
      </c>
      <c r="J206" s="1">
        <v>20</v>
      </c>
      <c r="K206" s="1" t="str">
        <f>IF(Table13[[#This Row],[Entrance_Fee_INR]]=0,"Free","Paid")</f>
        <v>Paid</v>
      </c>
      <c r="L206" s="2" t="s">
        <v>29</v>
      </c>
      <c r="M206" s="2" t="s">
        <v>720</v>
      </c>
      <c r="N206" s="2" t="s">
        <v>28</v>
      </c>
      <c r="O206" s="2" t="s">
        <v>29</v>
      </c>
      <c r="P206" s="3">
        <v>1.4999999999999999E-2</v>
      </c>
      <c r="Q206" s="2" t="s">
        <v>37</v>
      </c>
      <c r="R206" s="1" t="str">
        <f>IF(Table13[[#This Row],[Number_Review_Lakhs]]&gt;=1,"Highly Popular", IF(Table13[[#This Row],[Number_Review_Lakhs]]&gt;=0.5,"Popular","Less Popular"))</f>
        <v>Less Popular</v>
      </c>
      <c r="S206" s="1" t="str">
        <f>IF(Table13[[#This Row],[Visit_Time_Hrs]]&lt;=2,"Short Visit", IF(Table13[[#This Row],[Visit_Time_Hrs]]&lt;=5,"Medium Visit","Full Day"))</f>
        <v>Short Visit</v>
      </c>
      <c r="T206" s="1" t="str">
        <f>IF(Table13[[#This Row],[Airport_50km_Radius]]="Yes","Accessible","Remote")</f>
        <v>Remote</v>
      </c>
      <c r="U206" s="1" t="str">
        <f>IF(Table13[[#This Row],[Reiew_Rating]]&gt;=4.7,"Yes","No")</f>
        <v>Yes</v>
      </c>
      <c r="V206" s="1" t="str">
        <f t="shared" si="12"/>
        <v>Heritage &amp; Culture</v>
      </c>
      <c r="W206" s="1" t="str">
        <f t="shared" si="13"/>
        <v>★★★★★</v>
      </c>
      <c r="X206" s="1" t="str">
        <f t="shared" si="14"/>
        <v>5 / 5 Stars</v>
      </c>
      <c r="Y206" s="1" t="str">
        <f t="shared" si="15"/>
        <v>Low Traffic</v>
      </c>
    </row>
    <row r="207" spans="1:25" x14ac:dyDescent="0.3">
      <c r="A207" s="2" t="s">
        <v>15</v>
      </c>
      <c r="B207" s="2" t="s">
        <v>445</v>
      </c>
      <c r="C207" s="2" t="s">
        <v>466</v>
      </c>
      <c r="D207" s="2" t="s">
        <v>467</v>
      </c>
      <c r="E207" s="2" t="s">
        <v>72</v>
      </c>
      <c r="F207" s="1">
        <v>1981</v>
      </c>
      <c r="G207" s="1">
        <v>3</v>
      </c>
      <c r="H207" s="1">
        <v>4.3</v>
      </c>
      <c r="I207" s="1" t="str">
        <f>IF(Table13[[#This Row],[Reiew_Rating]]&gt;=4.5,"Excellent",
IF(Table13[[#This Row],[Reiew_Rating]]&gt;=4,"Good","Average"))</f>
        <v>Good</v>
      </c>
      <c r="J207" s="1">
        <v>100</v>
      </c>
      <c r="K207" s="1" t="str">
        <f>IF(Table13[[#This Row],[Entrance_Fee_INR]]=0,"Free","Paid")</f>
        <v>Paid</v>
      </c>
      <c r="L207" s="2" t="s">
        <v>29</v>
      </c>
      <c r="M207" s="2" t="s">
        <v>32</v>
      </c>
      <c r="N207" s="2" t="s">
        <v>73</v>
      </c>
      <c r="O207" s="2" t="s">
        <v>19</v>
      </c>
      <c r="P207" s="3">
        <v>0.01</v>
      </c>
      <c r="Q207" s="2" t="s">
        <v>51</v>
      </c>
      <c r="R207" s="1" t="str">
        <f>IF(Table13[[#This Row],[Number_Review_Lakhs]]&gt;=1,"Highly Popular", IF(Table13[[#This Row],[Number_Review_Lakhs]]&gt;=0.5,"Popular","Less Popular"))</f>
        <v>Less Popular</v>
      </c>
      <c r="S207" s="1" t="str">
        <f>IF(Table13[[#This Row],[Visit_Time_Hrs]]&lt;=2,"Short Visit", IF(Table13[[#This Row],[Visit_Time_Hrs]]&lt;=5,"Medium Visit","Full Day"))</f>
        <v>Medium Visit</v>
      </c>
      <c r="T207" s="1" t="str">
        <f>IF(Table13[[#This Row],[Airport_50km_Radius]]="Yes","Accessible","Remote")</f>
        <v>Remote</v>
      </c>
      <c r="U207" s="1" t="str">
        <f>IF(Table13[[#This Row],[Reiew_Rating]]&gt;=4.7,"Yes","No")</f>
        <v>No</v>
      </c>
      <c r="V207" s="1" t="str">
        <f t="shared" si="12"/>
        <v>Nature &amp; Wildlife</v>
      </c>
      <c r="W207" s="1" t="str">
        <f t="shared" si="13"/>
        <v>★★★★☆</v>
      </c>
      <c r="X207" s="1" t="str">
        <f t="shared" si="14"/>
        <v>4 / 5 Stars</v>
      </c>
      <c r="Y207" s="1" t="str">
        <f t="shared" si="15"/>
        <v>Low Traffic</v>
      </c>
    </row>
    <row r="208" spans="1:25" x14ac:dyDescent="0.3">
      <c r="A208" s="2" t="s">
        <v>15</v>
      </c>
      <c r="B208" s="2" t="s">
        <v>448</v>
      </c>
      <c r="C208" s="2" t="s">
        <v>468</v>
      </c>
      <c r="D208" s="2" t="s">
        <v>469</v>
      </c>
      <c r="E208" s="2" t="s">
        <v>72</v>
      </c>
      <c r="F208" s="1">
        <v>1981</v>
      </c>
      <c r="G208" s="1">
        <v>4</v>
      </c>
      <c r="H208" s="1">
        <v>4.4000000000000004</v>
      </c>
      <c r="I208" s="1" t="str">
        <f>IF(Table13[[#This Row],[Reiew_Rating]]&gt;=4.5,"Excellent",
IF(Table13[[#This Row],[Reiew_Rating]]&gt;=4,"Good","Average"))</f>
        <v>Good</v>
      </c>
      <c r="J208" s="1">
        <v>20</v>
      </c>
      <c r="K208" s="1" t="str">
        <f>IF(Table13[[#This Row],[Entrance_Fee_INR]]=0,"Free","Paid")</f>
        <v>Paid</v>
      </c>
      <c r="L208" s="2" t="s">
        <v>29</v>
      </c>
      <c r="M208" s="2" t="s">
        <v>305</v>
      </c>
      <c r="N208" s="2" t="s">
        <v>73</v>
      </c>
      <c r="O208" s="2" t="s">
        <v>19</v>
      </c>
      <c r="P208" s="3">
        <v>0.02</v>
      </c>
      <c r="Q208" s="2" t="s">
        <v>51</v>
      </c>
      <c r="R208" s="1" t="str">
        <f>IF(Table13[[#This Row],[Number_Review_Lakhs]]&gt;=1,"Highly Popular", IF(Table13[[#This Row],[Number_Review_Lakhs]]&gt;=0.5,"Popular","Less Popular"))</f>
        <v>Less Popular</v>
      </c>
      <c r="S208" s="1" t="str">
        <f>IF(Table13[[#This Row],[Visit_Time_Hrs]]&lt;=2,"Short Visit", IF(Table13[[#This Row],[Visit_Time_Hrs]]&lt;=5,"Medium Visit","Full Day"))</f>
        <v>Medium Visit</v>
      </c>
      <c r="T208" s="1" t="str">
        <f>IF(Table13[[#This Row],[Airport_50km_Radius]]="Yes","Accessible","Remote")</f>
        <v>Remote</v>
      </c>
      <c r="U208" s="1" t="str">
        <f>IF(Table13[[#This Row],[Reiew_Rating]]&gt;=4.7,"Yes","No")</f>
        <v>No</v>
      </c>
      <c r="V208" s="1" t="str">
        <f t="shared" si="12"/>
        <v>Nature &amp; Wildlife</v>
      </c>
      <c r="W208" s="1" t="str">
        <f t="shared" si="13"/>
        <v>★★★★☆</v>
      </c>
      <c r="X208" s="1" t="str">
        <f t="shared" si="14"/>
        <v>4 / 5 Stars</v>
      </c>
      <c r="Y208" s="1" t="str">
        <f t="shared" si="15"/>
        <v>Low Traffic</v>
      </c>
    </row>
    <row r="209" spans="1:25" x14ac:dyDescent="0.3">
      <c r="A209" s="2" t="s">
        <v>15</v>
      </c>
      <c r="B209" s="2" t="s">
        <v>448</v>
      </c>
      <c r="C209" s="2" t="s">
        <v>470</v>
      </c>
      <c r="D209" s="2" t="s">
        <v>471</v>
      </c>
      <c r="E209" s="2" t="s">
        <v>18</v>
      </c>
      <c r="F209" s="1">
        <v>1435</v>
      </c>
      <c r="G209" s="1">
        <v>1</v>
      </c>
      <c r="H209" s="1">
        <v>4.8</v>
      </c>
      <c r="I209" s="1" t="str">
        <f>IF(Table13[[#This Row],[Reiew_Rating]]&gt;=4.5,"Excellent",
IF(Table13[[#This Row],[Reiew_Rating]]&gt;=4,"Good","Average"))</f>
        <v>Excellent</v>
      </c>
      <c r="J209" s="1">
        <v>0</v>
      </c>
      <c r="K209" s="1" t="str">
        <f>IF(Table13[[#This Row],[Entrance_Fee_INR]]=0,"Free","Paid")</f>
        <v>Free</v>
      </c>
      <c r="L209" s="2" t="s">
        <v>29</v>
      </c>
      <c r="M209" s="2" t="s">
        <v>305</v>
      </c>
      <c r="N209" s="2" t="s">
        <v>21</v>
      </c>
      <c r="O209" s="2" t="s">
        <v>19</v>
      </c>
      <c r="P209" s="3">
        <v>1.2E-2</v>
      </c>
      <c r="Q209" s="2" t="s">
        <v>51</v>
      </c>
      <c r="R209" s="1" t="str">
        <f>IF(Table13[[#This Row],[Number_Review_Lakhs]]&gt;=1,"Highly Popular", IF(Table13[[#This Row],[Number_Review_Lakhs]]&gt;=0.5,"Popular","Less Popular"))</f>
        <v>Less Popular</v>
      </c>
      <c r="S209" s="1" t="str">
        <f>IF(Table13[[#This Row],[Visit_Time_Hrs]]&lt;=2,"Short Visit", IF(Table13[[#This Row],[Visit_Time_Hrs]]&lt;=5,"Medium Visit","Full Day"))</f>
        <v>Short Visit</v>
      </c>
      <c r="T209" s="1" t="str">
        <f>IF(Table13[[#This Row],[Airport_50km_Radius]]="Yes","Accessible","Remote")</f>
        <v>Remote</v>
      </c>
      <c r="U209" s="1" t="str">
        <f>IF(Table13[[#This Row],[Reiew_Rating]]&gt;=4.7,"Yes","No")</f>
        <v>Yes</v>
      </c>
      <c r="V209" s="1" t="str">
        <f t="shared" si="12"/>
        <v>Heritage &amp; Culture</v>
      </c>
      <c r="W209" s="1" t="str">
        <f t="shared" si="13"/>
        <v>★★★★★</v>
      </c>
      <c r="X209" s="1" t="str">
        <f t="shared" si="14"/>
        <v>5 / 5 Stars</v>
      </c>
      <c r="Y209" s="1" t="str">
        <f t="shared" si="15"/>
        <v>Low Traffic</v>
      </c>
    </row>
    <row r="210" spans="1:25" x14ac:dyDescent="0.3">
      <c r="A210" s="2" t="s">
        <v>15</v>
      </c>
      <c r="B210" s="2" t="s">
        <v>448</v>
      </c>
      <c r="C210" s="2" t="s">
        <v>449</v>
      </c>
      <c r="D210" s="2" t="s">
        <v>472</v>
      </c>
      <c r="E210" s="2" t="s">
        <v>473</v>
      </c>
      <c r="F210" s="1">
        <v>1747</v>
      </c>
      <c r="G210" s="1">
        <v>0.5</v>
      </c>
      <c r="H210" s="1">
        <v>3.7</v>
      </c>
      <c r="I210" s="1" t="str">
        <f>IF(Table13[[#This Row],[Reiew_Rating]]&gt;=4.5,"Excellent",
IF(Table13[[#This Row],[Reiew_Rating]]&gt;=4,"Good","Average"))</f>
        <v>Average</v>
      </c>
      <c r="J210" s="1">
        <v>0</v>
      </c>
      <c r="K210" s="1" t="str">
        <f>IF(Table13[[#This Row],[Entrance_Fee_INR]]=0,"Free","Paid")</f>
        <v>Free</v>
      </c>
      <c r="L210" s="2" t="s">
        <v>19</v>
      </c>
      <c r="M210" s="2" t="s">
        <v>722</v>
      </c>
      <c r="N210" s="2" t="s">
        <v>94</v>
      </c>
      <c r="O210" s="2" t="s">
        <v>19</v>
      </c>
      <c r="P210" s="3">
        <v>0.1</v>
      </c>
      <c r="Q210" s="2" t="s">
        <v>51</v>
      </c>
      <c r="R210" s="1" t="str">
        <f>IF(Table13[[#This Row],[Number_Review_Lakhs]]&gt;=1,"Highly Popular", IF(Table13[[#This Row],[Number_Review_Lakhs]]&gt;=0.5,"Popular","Less Popular"))</f>
        <v>Less Popular</v>
      </c>
      <c r="S210" s="1" t="str">
        <f>IF(Table13[[#This Row],[Visit_Time_Hrs]]&lt;=2,"Short Visit", IF(Table13[[#This Row],[Visit_Time_Hrs]]&lt;=5,"Medium Visit","Full Day"))</f>
        <v>Short Visit</v>
      </c>
      <c r="T210" s="1" t="str">
        <f>IF(Table13[[#This Row],[Airport_50km_Radius]]="Yes","Accessible","Remote")</f>
        <v>Accessible</v>
      </c>
      <c r="U210" s="1" t="str">
        <f>IF(Table13[[#This Row],[Reiew_Rating]]&gt;=4.7,"Yes","No")</f>
        <v>No</v>
      </c>
      <c r="V210" s="1" t="str">
        <f t="shared" si="12"/>
        <v>Nature &amp; Wildlife</v>
      </c>
      <c r="W210" s="1" t="str">
        <f t="shared" si="13"/>
        <v>★★★★☆</v>
      </c>
      <c r="X210" s="1" t="str">
        <f t="shared" si="14"/>
        <v>4 / 5 Stars</v>
      </c>
      <c r="Y210" s="1" t="str">
        <f t="shared" si="15"/>
        <v>Low Traffic</v>
      </c>
    </row>
    <row r="211" spans="1:25" x14ac:dyDescent="0.3">
      <c r="A211" s="2" t="s">
        <v>15</v>
      </c>
      <c r="B211" s="2" t="s">
        <v>448</v>
      </c>
      <c r="C211" s="2" t="s">
        <v>449</v>
      </c>
      <c r="D211" s="2" t="s">
        <v>474</v>
      </c>
      <c r="E211" s="2" t="s">
        <v>457</v>
      </c>
      <c r="F211" s="1">
        <v>1871</v>
      </c>
      <c r="G211" s="1">
        <v>1</v>
      </c>
      <c r="H211" s="1">
        <v>4.5</v>
      </c>
      <c r="I211" s="1" t="str">
        <f>IF(Table13[[#This Row],[Reiew_Rating]]&gt;=4.5,"Excellent",
IF(Table13[[#This Row],[Reiew_Rating]]&gt;=4,"Good","Average"))</f>
        <v>Excellent</v>
      </c>
      <c r="J211" s="1">
        <v>0</v>
      </c>
      <c r="K211" s="1" t="str">
        <f>IF(Table13[[#This Row],[Entrance_Fee_INR]]=0,"Free","Paid")</f>
        <v>Free</v>
      </c>
      <c r="L211" s="2" t="s">
        <v>19</v>
      </c>
      <c r="M211" s="2" t="s">
        <v>305</v>
      </c>
      <c r="N211" s="2" t="s">
        <v>345</v>
      </c>
      <c r="O211" s="2" t="s">
        <v>19</v>
      </c>
      <c r="P211" s="3">
        <v>0.05</v>
      </c>
      <c r="Q211" s="2" t="s">
        <v>25</v>
      </c>
      <c r="R211" s="1" t="str">
        <f>IF(Table13[[#This Row],[Number_Review_Lakhs]]&gt;=1,"Highly Popular", IF(Table13[[#This Row],[Number_Review_Lakhs]]&gt;=0.5,"Popular","Less Popular"))</f>
        <v>Less Popular</v>
      </c>
      <c r="S211" s="1" t="str">
        <f>IF(Table13[[#This Row],[Visit_Time_Hrs]]&lt;=2,"Short Visit", IF(Table13[[#This Row],[Visit_Time_Hrs]]&lt;=5,"Medium Visit","Full Day"))</f>
        <v>Short Visit</v>
      </c>
      <c r="T211" s="1" t="str">
        <f>IF(Table13[[#This Row],[Airport_50km_Radius]]="Yes","Accessible","Remote")</f>
        <v>Accessible</v>
      </c>
      <c r="U211" s="1" t="str">
        <f>IF(Table13[[#This Row],[Reiew_Rating]]&gt;=4.7,"Yes","No")</f>
        <v>No</v>
      </c>
      <c r="V211" s="1" t="str">
        <f t="shared" si="12"/>
        <v>Other</v>
      </c>
      <c r="W211" s="1" t="str">
        <f t="shared" si="13"/>
        <v>★★★★★</v>
      </c>
      <c r="X211" s="1" t="str">
        <f t="shared" si="14"/>
        <v>5 / 5 Stars</v>
      </c>
      <c r="Y211" s="1" t="str">
        <f t="shared" si="15"/>
        <v>Low Traffic</v>
      </c>
    </row>
    <row r="212" spans="1:25" x14ac:dyDescent="0.3">
      <c r="A212" s="2" t="s">
        <v>15</v>
      </c>
      <c r="B212" s="2" t="s">
        <v>448</v>
      </c>
      <c r="C212" s="2" t="s">
        <v>449</v>
      </c>
      <c r="D212" s="2" t="s">
        <v>460</v>
      </c>
      <c r="E212" s="2" t="s">
        <v>352</v>
      </c>
      <c r="F212" s="1">
        <v>1430</v>
      </c>
      <c r="G212" s="1">
        <v>1.5</v>
      </c>
      <c r="H212" s="1">
        <v>4.7</v>
      </c>
      <c r="I212" s="1" t="str">
        <f>IF(Table13[[#This Row],[Reiew_Rating]]&gt;=4.5,"Excellent",
IF(Table13[[#This Row],[Reiew_Rating]]&gt;=4,"Good","Average"))</f>
        <v>Excellent</v>
      </c>
      <c r="J212" s="1">
        <v>30</v>
      </c>
      <c r="K212" s="1" t="str">
        <f>IF(Table13[[#This Row],[Entrance_Fee_INR]]=0,"Free","Paid")</f>
        <v>Paid</v>
      </c>
      <c r="L212" s="2" t="s">
        <v>19</v>
      </c>
      <c r="M212" s="2" t="s">
        <v>720</v>
      </c>
      <c r="N212" s="2" t="s">
        <v>28</v>
      </c>
      <c r="O212" s="2" t="s">
        <v>29</v>
      </c>
      <c r="P212" s="3">
        <v>0.05</v>
      </c>
      <c r="Q212" s="2" t="s">
        <v>51</v>
      </c>
      <c r="R212" s="1" t="str">
        <f>IF(Table13[[#This Row],[Number_Review_Lakhs]]&gt;=1,"Highly Popular", IF(Table13[[#This Row],[Number_Review_Lakhs]]&gt;=0.5,"Popular","Less Popular"))</f>
        <v>Less Popular</v>
      </c>
      <c r="S212" s="1" t="str">
        <f>IF(Table13[[#This Row],[Visit_Time_Hrs]]&lt;=2,"Short Visit", IF(Table13[[#This Row],[Visit_Time_Hrs]]&lt;=5,"Medium Visit","Full Day"))</f>
        <v>Short Visit</v>
      </c>
      <c r="T212" s="1" t="str">
        <f>IF(Table13[[#This Row],[Airport_50km_Radius]]="Yes","Accessible","Remote")</f>
        <v>Accessible</v>
      </c>
      <c r="U212" s="1" t="str">
        <f>IF(Table13[[#This Row],[Reiew_Rating]]&gt;=4.7,"Yes","No")</f>
        <v>Yes</v>
      </c>
      <c r="V212" s="1" t="str">
        <f t="shared" si="12"/>
        <v>Heritage &amp; Culture</v>
      </c>
      <c r="W212" s="1" t="str">
        <f t="shared" si="13"/>
        <v>★★★★★</v>
      </c>
      <c r="X212" s="1" t="str">
        <f t="shared" si="14"/>
        <v>5 / 5 Stars</v>
      </c>
      <c r="Y212" s="1" t="str">
        <f t="shared" si="15"/>
        <v>Low Traffic</v>
      </c>
    </row>
    <row r="213" spans="1:25" x14ac:dyDescent="0.3">
      <c r="A213" s="2" t="s">
        <v>306</v>
      </c>
      <c r="B213" s="2" t="s">
        <v>415</v>
      </c>
      <c r="C213" s="2" t="s">
        <v>426</v>
      </c>
      <c r="D213" s="2" t="s">
        <v>475</v>
      </c>
      <c r="E213" s="2" t="s">
        <v>27</v>
      </c>
      <c r="F213" s="1">
        <v>2012</v>
      </c>
      <c r="G213" s="1">
        <v>1.5</v>
      </c>
      <c r="H213" s="1">
        <v>4.8</v>
      </c>
      <c r="I213" s="1" t="str">
        <f>IF(Table13[[#This Row],[Reiew_Rating]]&gt;=4.5,"Excellent",
IF(Table13[[#This Row],[Reiew_Rating]]&gt;=4,"Good","Average"))</f>
        <v>Excellent</v>
      </c>
      <c r="J213" s="1">
        <v>0</v>
      </c>
      <c r="K213" s="1" t="str">
        <f>IF(Table13[[#This Row],[Entrance_Fee_INR]]=0,"Free","Paid")</f>
        <v>Free</v>
      </c>
      <c r="L213" s="2" t="s">
        <v>19</v>
      </c>
      <c r="M213" s="2" t="s">
        <v>40</v>
      </c>
      <c r="N213" s="2" t="s">
        <v>28</v>
      </c>
      <c r="O213" s="2" t="s">
        <v>19</v>
      </c>
      <c r="P213" s="3">
        <v>0.49</v>
      </c>
      <c r="Q213" s="2" t="s">
        <v>22</v>
      </c>
      <c r="R213" s="1" t="str">
        <f>IF(Table13[[#This Row],[Number_Review_Lakhs]]&gt;=1,"Highly Popular", IF(Table13[[#This Row],[Number_Review_Lakhs]]&gt;=0.5,"Popular","Less Popular"))</f>
        <v>Less Popular</v>
      </c>
      <c r="S213" s="1" t="str">
        <f>IF(Table13[[#This Row],[Visit_Time_Hrs]]&lt;=2,"Short Visit", IF(Table13[[#This Row],[Visit_Time_Hrs]]&lt;=5,"Medium Visit","Full Day"))</f>
        <v>Short Visit</v>
      </c>
      <c r="T213" s="1" t="str">
        <f>IF(Table13[[#This Row],[Airport_50km_Radius]]="Yes","Accessible","Remote")</f>
        <v>Accessible</v>
      </c>
      <c r="U213" s="1" t="str">
        <f>IF(Table13[[#This Row],[Reiew_Rating]]&gt;=4.7,"Yes","No")</f>
        <v>Yes</v>
      </c>
      <c r="V213" s="1" t="str">
        <f t="shared" si="12"/>
        <v>Heritage &amp; Culture</v>
      </c>
      <c r="W213" s="1" t="str">
        <f t="shared" si="13"/>
        <v>★★★★★</v>
      </c>
      <c r="X213" s="1" t="str">
        <f t="shared" si="14"/>
        <v>5 / 5 Stars</v>
      </c>
      <c r="Y213" s="1" t="str">
        <f t="shared" si="15"/>
        <v>Medium Traffic</v>
      </c>
    </row>
    <row r="214" spans="1:25" x14ac:dyDescent="0.3">
      <c r="A214" s="2" t="s">
        <v>306</v>
      </c>
      <c r="B214" s="2" t="s">
        <v>415</v>
      </c>
      <c r="C214" s="2" t="s">
        <v>476</v>
      </c>
      <c r="D214" s="2" t="s">
        <v>477</v>
      </c>
      <c r="E214" s="2" t="s">
        <v>213</v>
      </c>
      <c r="F214" s="1">
        <v>1950</v>
      </c>
      <c r="G214" s="1">
        <v>1</v>
      </c>
      <c r="H214" s="1">
        <v>4.8</v>
      </c>
      <c r="I214" s="1" t="str">
        <f>IF(Table13[[#This Row],[Reiew_Rating]]&gt;=4.5,"Excellent",
IF(Table13[[#This Row],[Reiew_Rating]]&gt;=4,"Good","Average"))</f>
        <v>Excellent</v>
      </c>
      <c r="J214" s="1">
        <v>0</v>
      </c>
      <c r="K214" s="1" t="str">
        <f>IF(Table13[[#This Row],[Entrance_Fee_INR]]=0,"Free","Paid")</f>
        <v>Free</v>
      </c>
      <c r="L214" s="2" t="s">
        <v>19</v>
      </c>
      <c r="M214" s="2" t="s">
        <v>721</v>
      </c>
      <c r="N214" s="2" t="s">
        <v>21</v>
      </c>
      <c r="O214" s="2" t="s">
        <v>19</v>
      </c>
      <c r="P214" s="3">
        <v>0.03</v>
      </c>
      <c r="Q214" s="2" t="s">
        <v>37</v>
      </c>
      <c r="R214" s="1" t="str">
        <f>IF(Table13[[#This Row],[Number_Review_Lakhs]]&gt;=1,"Highly Popular", IF(Table13[[#This Row],[Number_Review_Lakhs]]&gt;=0.5,"Popular","Less Popular"))</f>
        <v>Less Popular</v>
      </c>
      <c r="S214" s="1" t="str">
        <f>IF(Table13[[#This Row],[Visit_Time_Hrs]]&lt;=2,"Short Visit", IF(Table13[[#This Row],[Visit_Time_Hrs]]&lt;=5,"Medium Visit","Full Day"))</f>
        <v>Short Visit</v>
      </c>
      <c r="T214" s="1" t="str">
        <f>IF(Table13[[#This Row],[Airport_50km_Radius]]="Yes","Accessible","Remote")</f>
        <v>Accessible</v>
      </c>
      <c r="U214" s="1" t="str">
        <f>IF(Table13[[#This Row],[Reiew_Rating]]&gt;=4.7,"Yes","No")</f>
        <v>Yes</v>
      </c>
      <c r="V214" s="1" t="str">
        <f t="shared" si="12"/>
        <v>Heritage &amp; Culture</v>
      </c>
      <c r="W214" s="1" t="str">
        <f t="shared" si="13"/>
        <v>★★★★★</v>
      </c>
      <c r="X214" s="1" t="str">
        <f t="shared" si="14"/>
        <v>5 / 5 Stars</v>
      </c>
      <c r="Y214" s="1" t="str">
        <f t="shared" si="15"/>
        <v>Low Traffic</v>
      </c>
    </row>
    <row r="215" spans="1:25" x14ac:dyDescent="0.3">
      <c r="A215" s="2" t="s">
        <v>306</v>
      </c>
      <c r="B215" s="2" t="s">
        <v>415</v>
      </c>
      <c r="C215" s="2" t="s">
        <v>422</v>
      </c>
      <c r="D215" s="2" t="s">
        <v>478</v>
      </c>
      <c r="E215" s="2" t="s">
        <v>479</v>
      </c>
      <c r="F215" s="1">
        <v>1696</v>
      </c>
      <c r="G215" s="1">
        <v>1</v>
      </c>
      <c r="H215" s="1">
        <v>4.0999999999999996</v>
      </c>
      <c r="I215" s="1" t="str">
        <f>IF(Table13[[#This Row],[Reiew_Rating]]&gt;=4.5,"Excellent",
IF(Table13[[#This Row],[Reiew_Rating]]&gt;=4,"Good","Average"))</f>
        <v>Good</v>
      </c>
      <c r="J215" s="1">
        <v>0</v>
      </c>
      <c r="K215" s="1" t="str">
        <f>IF(Table13[[#This Row],[Entrance_Fee_INR]]=0,"Free","Paid")</f>
        <v>Free</v>
      </c>
      <c r="L215" s="2" t="s">
        <v>19</v>
      </c>
      <c r="M215" s="2" t="s">
        <v>40</v>
      </c>
      <c r="N215" s="2" t="s">
        <v>169</v>
      </c>
      <c r="O215" s="2" t="s">
        <v>19</v>
      </c>
      <c r="P215" s="3">
        <v>0.01</v>
      </c>
      <c r="Q215" s="2" t="s">
        <v>37</v>
      </c>
      <c r="R215" s="1" t="str">
        <f>IF(Table13[[#This Row],[Number_Review_Lakhs]]&gt;=1,"Highly Popular", IF(Table13[[#This Row],[Number_Review_Lakhs]]&gt;=0.5,"Popular","Less Popular"))</f>
        <v>Less Popular</v>
      </c>
      <c r="S215" s="1" t="str">
        <f>IF(Table13[[#This Row],[Visit_Time_Hrs]]&lt;=2,"Short Visit", IF(Table13[[#This Row],[Visit_Time_Hrs]]&lt;=5,"Medium Visit","Full Day"))</f>
        <v>Short Visit</v>
      </c>
      <c r="T215" s="1" t="str">
        <f>IF(Table13[[#This Row],[Airport_50km_Radius]]="Yes","Accessible","Remote")</f>
        <v>Accessible</v>
      </c>
      <c r="U215" s="1" t="str">
        <f>IF(Table13[[#This Row],[Reiew_Rating]]&gt;=4.7,"Yes","No")</f>
        <v>No</v>
      </c>
      <c r="V215" s="1" t="str">
        <f t="shared" si="12"/>
        <v>Other</v>
      </c>
      <c r="W215" s="1" t="str">
        <f t="shared" si="13"/>
        <v>★★★★☆</v>
      </c>
      <c r="X215" s="1" t="str">
        <f t="shared" si="14"/>
        <v>4 / 5 Stars</v>
      </c>
      <c r="Y215" s="1" t="str">
        <f t="shared" si="15"/>
        <v>Low Traffic</v>
      </c>
    </row>
    <row r="216" spans="1:25" x14ac:dyDescent="0.3">
      <c r="A216" s="2" t="s">
        <v>306</v>
      </c>
      <c r="B216" s="2" t="s">
        <v>415</v>
      </c>
      <c r="C216" s="2" t="s">
        <v>422</v>
      </c>
      <c r="D216" s="2" t="s">
        <v>480</v>
      </c>
      <c r="E216" s="2" t="s">
        <v>27</v>
      </c>
      <c r="F216" s="1">
        <v>1947</v>
      </c>
      <c r="G216" s="1">
        <v>1</v>
      </c>
      <c r="H216" s="1">
        <v>4.8</v>
      </c>
      <c r="I216" s="1" t="str">
        <f>IF(Table13[[#This Row],[Reiew_Rating]]&gt;=4.5,"Excellent",
IF(Table13[[#This Row],[Reiew_Rating]]&gt;=4,"Good","Average"))</f>
        <v>Excellent</v>
      </c>
      <c r="J216" s="1">
        <v>0</v>
      </c>
      <c r="K216" s="1" t="str">
        <f>IF(Table13[[#This Row],[Entrance_Fee_INR]]=0,"Free","Paid")</f>
        <v>Free</v>
      </c>
      <c r="L216" s="2" t="s">
        <v>19</v>
      </c>
      <c r="M216" s="2" t="s">
        <v>40</v>
      </c>
      <c r="N216" s="2" t="s">
        <v>28</v>
      </c>
      <c r="O216" s="2" t="s">
        <v>19</v>
      </c>
      <c r="P216" s="3">
        <v>0.1</v>
      </c>
      <c r="Q216" s="2" t="s">
        <v>37</v>
      </c>
      <c r="R216" s="1" t="str">
        <f>IF(Table13[[#This Row],[Number_Review_Lakhs]]&gt;=1,"Highly Popular", IF(Table13[[#This Row],[Number_Review_Lakhs]]&gt;=0.5,"Popular","Less Popular"))</f>
        <v>Less Popular</v>
      </c>
      <c r="S216" s="1" t="str">
        <f>IF(Table13[[#This Row],[Visit_Time_Hrs]]&lt;=2,"Short Visit", IF(Table13[[#This Row],[Visit_Time_Hrs]]&lt;=5,"Medium Visit","Full Day"))</f>
        <v>Short Visit</v>
      </c>
      <c r="T216" s="1" t="str">
        <f>IF(Table13[[#This Row],[Airport_50km_Radius]]="Yes","Accessible","Remote")</f>
        <v>Accessible</v>
      </c>
      <c r="U216" s="1" t="str">
        <f>IF(Table13[[#This Row],[Reiew_Rating]]&gt;=4.7,"Yes","No")</f>
        <v>Yes</v>
      </c>
      <c r="V216" s="1" t="str">
        <f t="shared" si="12"/>
        <v>Heritage &amp; Culture</v>
      </c>
      <c r="W216" s="1" t="str">
        <f t="shared" si="13"/>
        <v>★★★★★</v>
      </c>
      <c r="X216" s="1" t="str">
        <f t="shared" si="14"/>
        <v>5 / 5 Stars</v>
      </c>
      <c r="Y216" s="1" t="str">
        <f t="shared" si="15"/>
        <v>Low Traffic</v>
      </c>
    </row>
    <row r="217" spans="1:25" x14ac:dyDescent="0.3">
      <c r="A217" s="2" t="s">
        <v>117</v>
      </c>
      <c r="B217" s="2" t="s">
        <v>118</v>
      </c>
      <c r="C217" s="2" t="s">
        <v>481</v>
      </c>
      <c r="D217" s="2" t="s">
        <v>482</v>
      </c>
      <c r="E217" s="2" t="s">
        <v>483</v>
      </c>
      <c r="F217" s="1">
        <v>1407</v>
      </c>
      <c r="G217" s="1">
        <v>1</v>
      </c>
      <c r="H217" s="1">
        <v>4.5</v>
      </c>
      <c r="I217" s="1" t="str">
        <f>IF(Table13[[#This Row],[Reiew_Rating]]&gt;=4.5,"Excellent",
IF(Table13[[#This Row],[Reiew_Rating]]&gt;=4,"Good","Average"))</f>
        <v>Excellent</v>
      </c>
      <c r="J217" s="1">
        <v>0</v>
      </c>
      <c r="K217" s="1" t="str">
        <f>IF(Table13[[#This Row],[Entrance_Fee_INR]]=0,"Free","Paid")</f>
        <v>Free</v>
      </c>
      <c r="L217" s="2" t="s">
        <v>29</v>
      </c>
      <c r="M217" s="2" t="s">
        <v>305</v>
      </c>
      <c r="N217" s="2" t="s">
        <v>94</v>
      </c>
      <c r="O217" s="2" t="s">
        <v>19</v>
      </c>
      <c r="P217" s="3">
        <v>2.5000000000000001E-2</v>
      </c>
      <c r="Q217" s="2" t="s">
        <v>51</v>
      </c>
      <c r="R217" s="1" t="str">
        <f>IF(Table13[[#This Row],[Number_Review_Lakhs]]&gt;=1,"Highly Popular", IF(Table13[[#This Row],[Number_Review_Lakhs]]&gt;=0.5,"Popular","Less Popular"))</f>
        <v>Less Popular</v>
      </c>
      <c r="S217" s="1" t="str">
        <f>IF(Table13[[#This Row],[Visit_Time_Hrs]]&lt;=2,"Short Visit", IF(Table13[[#This Row],[Visit_Time_Hrs]]&lt;=5,"Medium Visit","Full Day"))</f>
        <v>Short Visit</v>
      </c>
      <c r="T217" s="1" t="str">
        <f>IF(Table13[[#This Row],[Airport_50km_Radius]]="Yes","Accessible","Remote")</f>
        <v>Remote</v>
      </c>
      <c r="U217" s="1" t="str">
        <f>IF(Table13[[#This Row],[Reiew_Rating]]&gt;=4.7,"Yes","No")</f>
        <v>No</v>
      </c>
      <c r="V217" s="1" t="str">
        <f t="shared" si="12"/>
        <v>Nature &amp; Wildlife</v>
      </c>
      <c r="W217" s="1" t="str">
        <f t="shared" si="13"/>
        <v>★★★★★</v>
      </c>
      <c r="X217" s="1" t="str">
        <f t="shared" si="14"/>
        <v>5 / 5 Stars</v>
      </c>
      <c r="Y217" s="1" t="str">
        <f t="shared" si="15"/>
        <v>Low Traffic</v>
      </c>
    </row>
    <row r="218" spans="1:25" x14ac:dyDescent="0.3">
      <c r="A218" s="2" t="s">
        <v>117</v>
      </c>
      <c r="B218" s="2" t="s">
        <v>118</v>
      </c>
      <c r="C218" s="2" t="s">
        <v>484</v>
      </c>
      <c r="D218" s="2" t="s">
        <v>485</v>
      </c>
      <c r="E218" s="2" t="s">
        <v>190</v>
      </c>
      <c r="F218" s="1">
        <v>1941</v>
      </c>
      <c r="G218" s="1">
        <v>3</v>
      </c>
      <c r="H218" s="1">
        <v>4.4000000000000004</v>
      </c>
      <c r="I218" s="1" t="str">
        <f>IF(Table13[[#This Row],[Reiew_Rating]]&gt;=4.5,"Excellent",
IF(Table13[[#This Row],[Reiew_Rating]]&gt;=4,"Good","Average"))</f>
        <v>Good</v>
      </c>
      <c r="J218" s="1">
        <v>250</v>
      </c>
      <c r="K218" s="1" t="str">
        <f>IF(Table13[[#This Row],[Entrance_Fee_INR]]=0,"Free","Paid")</f>
        <v>Paid</v>
      </c>
      <c r="L218" s="2" t="s">
        <v>19</v>
      </c>
      <c r="M218" s="2" t="s">
        <v>722</v>
      </c>
      <c r="N218" s="2" t="s">
        <v>73</v>
      </c>
      <c r="O218" s="2" t="s">
        <v>19</v>
      </c>
      <c r="P218" s="3">
        <v>3.5000000000000003E-2</v>
      </c>
      <c r="Q218" s="2" t="s">
        <v>51</v>
      </c>
      <c r="R218" s="1" t="str">
        <f>IF(Table13[[#This Row],[Number_Review_Lakhs]]&gt;=1,"Highly Popular", IF(Table13[[#This Row],[Number_Review_Lakhs]]&gt;=0.5,"Popular","Less Popular"))</f>
        <v>Less Popular</v>
      </c>
      <c r="S218" s="1" t="str">
        <f>IF(Table13[[#This Row],[Visit_Time_Hrs]]&lt;=2,"Short Visit", IF(Table13[[#This Row],[Visit_Time_Hrs]]&lt;=5,"Medium Visit","Full Day"))</f>
        <v>Medium Visit</v>
      </c>
      <c r="T218" s="1" t="str">
        <f>IF(Table13[[#This Row],[Airport_50km_Radius]]="Yes","Accessible","Remote")</f>
        <v>Accessible</v>
      </c>
      <c r="U218" s="1" t="str">
        <f>IF(Table13[[#This Row],[Reiew_Rating]]&gt;=4.7,"Yes","No")</f>
        <v>No</v>
      </c>
      <c r="V218" s="1" t="str">
        <f t="shared" si="12"/>
        <v>Nature &amp; Wildlife</v>
      </c>
      <c r="W218" s="1" t="str">
        <f t="shared" si="13"/>
        <v>★★★★☆</v>
      </c>
      <c r="X218" s="1" t="str">
        <f t="shared" si="14"/>
        <v>4 / 5 Stars</v>
      </c>
      <c r="Y218" s="1" t="str">
        <f t="shared" si="15"/>
        <v>Low Traffic</v>
      </c>
    </row>
    <row r="219" spans="1:25" x14ac:dyDescent="0.3">
      <c r="A219" s="2" t="s">
        <v>117</v>
      </c>
      <c r="B219" s="2" t="s">
        <v>118</v>
      </c>
      <c r="C219" s="2" t="s">
        <v>486</v>
      </c>
      <c r="D219" s="2" t="s">
        <v>487</v>
      </c>
      <c r="E219" s="2" t="s">
        <v>72</v>
      </c>
      <c r="F219" s="1">
        <v>1984</v>
      </c>
      <c r="G219" s="1">
        <v>4</v>
      </c>
      <c r="H219" s="1">
        <v>4.4000000000000004</v>
      </c>
      <c r="I219" s="1" t="str">
        <f>IF(Table13[[#This Row],[Reiew_Rating]]&gt;=4.5,"Excellent",
IF(Table13[[#This Row],[Reiew_Rating]]&gt;=4,"Good","Average"))</f>
        <v>Good</v>
      </c>
      <c r="J219" s="1">
        <v>60</v>
      </c>
      <c r="K219" s="1" t="str">
        <f>IF(Table13[[#This Row],[Entrance_Fee_INR]]=0,"Free","Paid")</f>
        <v>Paid</v>
      </c>
      <c r="L219" s="2" t="s">
        <v>29</v>
      </c>
      <c r="M219" s="2" t="s">
        <v>40</v>
      </c>
      <c r="N219" s="2" t="s">
        <v>73</v>
      </c>
      <c r="O219" s="2" t="s">
        <v>19</v>
      </c>
      <c r="P219" s="3">
        <v>6.5000000000000002E-2</v>
      </c>
      <c r="Q219" s="2" t="s">
        <v>51</v>
      </c>
      <c r="R219" s="1" t="str">
        <f>IF(Table13[[#This Row],[Number_Review_Lakhs]]&gt;=1,"Highly Popular", IF(Table13[[#This Row],[Number_Review_Lakhs]]&gt;=0.5,"Popular","Less Popular"))</f>
        <v>Less Popular</v>
      </c>
      <c r="S219" s="1" t="str">
        <f>IF(Table13[[#This Row],[Visit_Time_Hrs]]&lt;=2,"Short Visit", IF(Table13[[#This Row],[Visit_Time_Hrs]]&lt;=5,"Medium Visit","Full Day"))</f>
        <v>Medium Visit</v>
      </c>
      <c r="T219" s="1" t="str">
        <f>IF(Table13[[#This Row],[Airport_50km_Radius]]="Yes","Accessible","Remote")</f>
        <v>Remote</v>
      </c>
      <c r="U219" s="1" t="str">
        <f>IF(Table13[[#This Row],[Reiew_Rating]]&gt;=4.7,"Yes","No")</f>
        <v>No</v>
      </c>
      <c r="V219" s="1" t="str">
        <f t="shared" si="12"/>
        <v>Nature &amp; Wildlife</v>
      </c>
      <c r="W219" s="1" t="str">
        <f t="shared" si="13"/>
        <v>★★★★☆</v>
      </c>
      <c r="X219" s="1" t="str">
        <f t="shared" si="14"/>
        <v>4 / 5 Stars</v>
      </c>
      <c r="Y219" s="1" t="str">
        <f t="shared" si="15"/>
        <v>Low Traffic</v>
      </c>
    </row>
    <row r="220" spans="1:25" x14ac:dyDescent="0.3">
      <c r="A220" s="2" t="s">
        <v>117</v>
      </c>
      <c r="B220" s="2" t="s">
        <v>118</v>
      </c>
      <c r="C220" s="2" t="s">
        <v>488</v>
      </c>
      <c r="D220" s="2" t="s">
        <v>489</v>
      </c>
      <c r="E220" s="2" t="s">
        <v>79</v>
      </c>
      <c r="F220" s="1">
        <v>1682</v>
      </c>
      <c r="G220" s="1">
        <v>1.5</v>
      </c>
      <c r="H220" s="1">
        <v>4.5</v>
      </c>
      <c r="I220" s="1" t="str">
        <f>IF(Table13[[#This Row],[Reiew_Rating]]&gt;=4.5,"Excellent",
IF(Table13[[#This Row],[Reiew_Rating]]&gt;=4,"Good","Average"))</f>
        <v>Excellent</v>
      </c>
      <c r="J220" s="1">
        <v>0</v>
      </c>
      <c r="K220" s="1" t="str">
        <f>IF(Table13[[#This Row],[Entrance_Fee_INR]]=0,"Free","Paid")</f>
        <v>Free</v>
      </c>
      <c r="L220" s="2" t="s">
        <v>29</v>
      </c>
      <c r="M220" s="2" t="s">
        <v>57</v>
      </c>
      <c r="N220" s="2" t="s">
        <v>80</v>
      </c>
      <c r="O220" s="2" t="s">
        <v>19</v>
      </c>
      <c r="P220" s="3">
        <v>0.09</v>
      </c>
      <c r="Q220" s="2" t="s">
        <v>37</v>
      </c>
      <c r="R220" s="1" t="str">
        <f>IF(Table13[[#This Row],[Number_Review_Lakhs]]&gt;=1,"Highly Popular", IF(Table13[[#This Row],[Number_Review_Lakhs]]&gt;=0.5,"Popular","Less Popular"))</f>
        <v>Less Popular</v>
      </c>
      <c r="S220" s="1" t="str">
        <f>IF(Table13[[#This Row],[Visit_Time_Hrs]]&lt;=2,"Short Visit", IF(Table13[[#This Row],[Visit_Time_Hrs]]&lt;=5,"Medium Visit","Full Day"))</f>
        <v>Short Visit</v>
      </c>
      <c r="T220" s="1" t="str">
        <f>IF(Table13[[#This Row],[Airport_50km_Radius]]="Yes","Accessible","Remote")</f>
        <v>Remote</v>
      </c>
      <c r="U220" s="1" t="str">
        <f>IF(Table13[[#This Row],[Reiew_Rating]]&gt;=4.7,"Yes","No")</f>
        <v>No</v>
      </c>
      <c r="V220" s="1" t="str">
        <f t="shared" si="12"/>
        <v>Leisure &amp; Commerce</v>
      </c>
      <c r="W220" s="1" t="str">
        <f t="shared" si="13"/>
        <v>★★★★★</v>
      </c>
      <c r="X220" s="1" t="str">
        <f t="shared" si="14"/>
        <v>5 / 5 Stars</v>
      </c>
      <c r="Y220" s="1" t="str">
        <f t="shared" si="15"/>
        <v>Low Traffic</v>
      </c>
    </row>
    <row r="221" spans="1:25" x14ac:dyDescent="0.3">
      <c r="A221" s="2" t="s">
        <v>117</v>
      </c>
      <c r="B221" s="2" t="s">
        <v>118</v>
      </c>
      <c r="C221" s="2" t="s">
        <v>490</v>
      </c>
      <c r="D221" s="2" t="s">
        <v>491</v>
      </c>
      <c r="E221" s="2" t="s">
        <v>91</v>
      </c>
      <c r="F221" s="1">
        <v>1837</v>
      </c>
      <c r="G221" s="1">
        <v>1.5</v>
      </c>
      <c r="H221" s="1">
        <v>4.5</v>
      </c>
      <c r="I221" s="1" t="str">
        <f>IF(Table13[[#This Row],[Reiew_Rating]]&gt;=4.5,"Excellent",
IF(Table13[[#This Row],[Reiew_Rating]]&gt;=4,"Good","Average"))</f>
        <v>Excellent</v>
      </c>
      <c r="J221" s="1">
        <v>10</v>
      </c>
      <c r="K221" s="1" t="str">
        <f>IF(Table13[[#This Row],[Entrance_Fee_INR]]=0,"Free","Paid")</f>
        <v>Paid</v>
      </c>
      <c r="L221" s="2" t="s">
        <v>19</v>
      </c>
      <c r="M221" s="2" t="s">
        <v>57</v>
      </c>
      <c r="N221" s="2" t="s">
        <v>21</v>
      </c>
      <c r="O221" s="2" t="s">
        <v>19</v>
      </c>
      <c r="P221" s="3">
        <v>0.18</v>
      </c>
      <c r="Q221" s="2" t="s">
        <v>37</v>
      </c>
      <c r="R221" s="1" t="str">
        <f>IF(Table13[[#This Row],[Number_Review_Lakhs]]&gt;=1,"Highly Popular", IF(Table13[[#This Row],[Number_Review_Lakhs]]&gt;=0.5,"Popular","Less Popular"))</f>
        <v>Less Popular</v>
      </c>
      <c r="S221" s="1" t="str">
        <f>IF(Table13[[#This Row],[Visit_Time_Hrs]]&lt;=2,"Short Visit", IF(Table13[[#This Row],[Visit_Time_Hrs]]&lt;=5,"Medium Visit","Full Day"))</f>
        <v>Short Visit</v>
      </c>
      <c r="T221" s="1" t="str">
        <f>IF(Table13[[#This Row],[Airport_50km_Radius]]="Yes","Accessible","Remote")</f>
        <v>Accessible</v>
      </c>
      <c r="U221" s="1" t="str">
        <f>IF(Table13[[#This Row],[Reiew_Rating]]&gt;=4.7,"Yes","No")</f>
        <v>No</v>
      </c>
      <c r="V221" s="1" t="str">
        <f t="shared" si="12"/>
        <v>Heritage &amp; Culture</v>
      </c>
      <c r="W221" s="1" t="str">
        <f t="shared" si="13"/>
        <v>★★★★★</v>
      </c>
      <c r="X221" s="1" t="str">
        <f t="shared" si="14"/>
        <v>5 / 5 Stars</v>
      </c>
      <c r="Y221" s="1" t="str">
        <f t="shared" si="15"/>
        <v>Low Traffic</v>
      </c>
    </row>
    <row r="222" spans="1:25" x14ac:dyDescent="0.3">
      <c r="A222" s="2" t="s">
        <v>117</v>
      </c>
      <c r="B222" s="2" t="s">
        <v>118</v>
      </c>
      <c r="C222" s="2" t="s">
        <v>492</v>
      </c>
      <c r="D222" s="2" t="s">
        <v>493</v>
      </c>
      <c r="E222" s="2" t="s">
        <v>27</v>
      </c>
      <c r="F222" s="1">
        <v>1959</v>
      </c>
      <c r="G222" s="1">
        <v>0.5</v>
      </c>
      <c r="H222" s="1">
        <v>4.7</v>
      </c>
      <c r="I222" s="1" t="str">
        <f>IF(Table13[[#This Row],[Reiew_Rating]]&gt;=4.5,"Excellent",
IF(Table13[[#This Row],[Reiew_Rating]]&gt;=4,"Good","Average"))</f>
        <v>Excellent</v>
      </c>
      <c r="J222" s="1">
        <v>0</v>
      </c>
      <c r="K222" s="1" t="str">
        <f>IF(Table13[[#This Row],[Entrance_Fee_INR]]=0,"Free","Paid")</f>
        <v>Free</v>
      </c>
      <c r="L222" s="2" t="s">
        <v>19</v>
      </c>
      <c r="M222" s="2" t="s">
        <v>722</v>
      </c>
      <c r="N222" s="2" t="s">
        <v>28</v>
      </c>
      <c r="O222" s="2" t="s">
        <v>29</v>
      </c>
      <c r="P222" s="3">
        <v>4.4999999999999998E-2</v>
      </c>
      <c r="Q222" s="2" t="s">
        <v>51</v>
      </c>
      <c r="R222" s="1" t="str">
        <f>IF(Table13[[#This Row],[Number_Review_Lakhs]]&gt;=1,"Highly Popular", IF(Table13[[#This Row],[Number_Review_Lakhs]]&gt;=0.5,"Popular","Less Popular"))</f>
        <v>Less Popular</v>
      </c>
      <c r="S222" s="1" t="str">
        <f>IF(Table13[[#This Row],[Visit_Time_Hrs]]&lt;=2,"Short Visit", IF(Table13[[#This Row],[Visit_Time_Hrs]]&lt;=5,"Medium Visit","Full Day"))</f>
        <v>Short Visit</v>
      </c>
      <c r="T222" s="1" t="str">
        <f>IF(Table13[[#This Row],[Airport_50km_Radius]]="Yes","Accessible","Remote")</f>
        <v>Accessible</v>
      </c>
      <c r="U222" s="1" t="str">
        <f>IF(Table13[[#This Row],[Reiew_Rating]]&gt;=4.7,"Yes","No")</f>
        <v>Yes</v>
      </c>
      <c r="V222" s="1" t="str">
        <f t="shared" si="12"/>
        <v>Heritage &amp; Culture</v>
      </c>
      <c r="W222" s="1" t="str">
        <f t="shared" si="13"/>
        <v>★★★★★</v>
      </c>
      <c r="X222" s="1" t="str">
        <f t="shared" si="14"/>
        <v>5 / 5 Stars</v>
      </c>
      <c r="Y222" s="1" t="str">
        <f t="shared" si="15"/>
        <v>Low Traffic</v>
      </c>
    </row>
    <row r="223" spans="1:25" x14ac:dyDescent="0.3">
      <c r="A223" s="2" t="s">
        <v>117</v>
      </c>
      <c r="B223" s="2" t="s">
        <v>118</v>
      </c>
      <c r="C223" s="2" t="s">
        <v>494</v>
      </c>
      <c r="D223" s="2" t="s">
        <v>495</v>
      </c>
      <c r="E223" s="2" t="s">
        <v>27</v>
      </c>
      <c r="F223" s="1">
        <v>1814</v>
      </c>
      <c r="G223" s="1">
        <v>0.5</v>
      </c>
      <c r="H223" s="1">
        <v>4.5999999999999996</v>
      </c>
      <c r="I223" s="1" t="str">
        <f>IF(Table13[[#This Row],[Reiew_Rating]]&gt;=4.5,"Excellent",
IF(Table13[[#This Row],[Reiew_Rating]]&gt;=4,"Good","Average"))</f>
        <v>Excellent</v>
      </c>
      <c r="J223" s="1">
        <v>0</v>
      </c>
      <c r="K223" s="1" t="str">
        <f>IF(Table13[[#This Row],[Entrance_Fee_INR]]=0,"Free","Paid")</f>
        <v>Free</v>
      </c>
      <c r="L223" s="2" t="s">
        <v>19</v>
      </c>
      <c r="M223" s="2" t="s">
        <v>721</v>
      </c>
      <c r="N223" s="2" t="s">
        <v>98</v>
      </c>
      <c r="O223" s="2" t="s">
        <v>29</v>
      </c>
      <c r="P223" s="3">
        <v>7.0000000000000007E-2</v>
      </c>
      <c r="Q223" s="2" t="s">
        <v>51</v>
      </c>
      <c r="R223" s="1" t="str">
        <f>IF(Table13[[#This Row],[Number_Review_Lakhs]]&gt;=1,"Highly Popular", IF(Table13[[#This Row],[Number_Review_Lakhs]]&gt;=0.5,"Popular","Less Popular"))</f>
        <v>Less Popular</v>
      </c>
      <c r="S223" s="1" t="str">
        <f>IF(Table13[[#This Row],[Visit_Time_Hrs]]&lt;=2,"Short Visit", IF(Table13[[#This Row],[Visit_Time_Hrs]]&lt;=5,"Medium Visit","Full Day"))</f>
        <v>Short Visit</v>
      </c>
      <c r="T223" s="1" t="str">
        <f>IF(Table13[[#This Row],[Airport_50km_Radius]]="Yes","Accessible","Remote")</f>
        <v>Accessible</v>
      </c>
      <c r="U223" s="1" t="str">
        <f>IF(Table13[[#This Row],[Reiew_Rating]]&gt;=4.7,"Yes","No")</f>
        <v>No</v>
      </c>
      <c r="V223" s="1" t="str">
        <f t="shared" si="12"/>
        <v>Heritage &amp; Culture</v>
      </c>
      <c r="W223" s="1" t="str">
        <f t="shared" si="13"/>
        <v>★★★★★</v>
      </c>
      <c r="X223" s="1" t="str">
        <f t="shared" si="14"/>
        <v>5 / 5 Stars</v>
      </c>
      <c r="Y223" s="1" t="str">
        <f t="shared" si="15"/>
        <v>Low Traffic</v>
      </c>
    </row>
    <row r="224" spans="1:25" x14ac:dyDescent="0.3">
      <c r="A224" s="2" t="s">
        <v>117</v>
      </c>
      <c r="B224" s="2" t="s">
        <v>118</v>
      </c>
      <c r="C224" s="2" t="s">
        <v>496</v>
      </c>
      <c r="D224" s="2" t="s">
        <v>497</v>
      </c>
      <c r="E224" s="2" t="s">
        <v>72</v>
      </c>
      <c r="F224" s="1">
        <v>1949</v>
      </c>
      <c r="G224" s="1">
        <v>3</v>
      </c>
      <c r="H224" s="1">
        <v>4.4000000000000004</v>
      </c>
      <c r="I224" s="1" t="str">
        <f>IF(Table13[[#This Row],[Reiew_Rating]]&gt;=4.5,"Excellent",
IF(Table13[[#This Row],[Reiew_Rating]]&gt;=4,"Good","Average"))</f>
        <v>Good</v>
      </c>
      <c r="J224" s="1">
        <v>100</v>
      </c>
      <c r="K224" s="1" t="str">
        <f>IF(Table13[[#This Row],[Entrance_Fee_INR]]=0,"Free","Paid")</f>
        <v>Paid</v>
      </c>
      <c r="L224" s="2" t="s">
        <v>19</v>
      </c>
      <c r="M224" s="2" t="s">
        <v>57</v>
      </c>
      <c r="N224" s="2" t="s">
        <v>73</v>
      </c>
      <c r="O224" s="2" t="s">
        <v>19</v>
      </c>
      <c r="P224" s="3">
        <v>7.0000000000000007E-2</v>
      </c>
      <c r="Q224" s="2" t="s">
        <v>51</v>
      </c>
      <c r="R224" s="1" t="str">
        <f>IF(Table13[[#This Row],[Number_Review_Lakhs]]&gt;=1,"Highly Popular", IF(Table13[[#This Row],[Number_Review_Lakhs]]&gt;=0.5,"Popular","Less Popular"))</f>
        <v>Less Popular</v>
      </c>
      <c r="S224" s="1" t="str">
        <f>IF(Table13[[#This Row],[Visit_Time_Hrs]]&lt;=2,"Short Visit", IF(Table13[[#This Row],[Visit_Time_Hrs]]&lt;=5,"Medium Visit","Full Day"))</f>
        <v>Medium Visit</v>
      </c>
      <c r="T224" s="1" t="str">
        <f>IF(Table13[[#This Row],[Airport_50km_Radius]]="Yes","Accessible","Remote")</f>
        <v>Accessible</v>
      </c>
      <c r="U224" s="1" t="str">
        <f>IF(Table13[[#This Row],[Reiew_Rating]]&gt;=4.7,"Yes","No")</f>
        <v>No</v>
      </c>
      <c r="V224" s="1" t="str">
        <f t="shared" si="12"/>
        <v>Nature &amp; Wildlife</v>
      </c>
      <c r="W224" s="1" t="str">
        <f t="shared" si="13"/>
        <v>★★★★☆</v>
      </c>
      <c r="X224" s="1" t="str">
        <f t="shared" si="14"/>
        <v>4 / 5 Stars</v>
      </c>
      <c r="Y224" s="1" t="str">
        <f t="shared" si="15"/>
        <v>Low Traffic</v>
      </c>
    </row>
    <row r="225" spans="1:25" x14ac:dyDescent="0.3">
      <c r="A225" s="2" t="s">
        <v>117</v>
      </c>
      <c r="B225" s="2" t="s">
        <v>118</v>
      </c>
      <c r="C225" s="2" t="s">
        <v>498</v>
      </c>
      <c r="D225" s="2" t="s">
        <v>499</v>
      </c>
      <c r="E225" s="2" t="s">
        <v>91</v>
      </c>
      <c r="F225" s="1">
        <v>1887</v>
      </c>
      <c r="G225" s="1">
        <v>1</v>
      </c>
      <c r="H225" s="1">
        <v>4.5</v>
      </c>
      <c r="I225" s="1" t="str">
        <f>IF(Table13[[#This Row],[Reiew_Rating]]&gt;=4.5,"Excellent",
IF(Table13[[#This Row],[Reiew_Rating]]&gt;=4,"Good","Average"))</f>
        <v>Excellent</v>
      </c>
      <c r="J225" s="1">
        <v>20</v>
      </c>
      <c r="K225" s="1" t="str">
        <f>IF(Table13[[#This Row],[Entrance_Fee_INR]]=0,"Free","Paid")</f>
        <v>Paid</v>
      </c>
      <c r="L225" s="2" t="s">
        <v>19</v>
      </c>
      <c r="M225" s="2" t="s">
        <v>57</v>
      </c>
      <c r="N225" s="2" t="s">
        <v>21</v>
      </c>
      <c r="O225" s="2" t="s">
        <v>19</v>
      </c>
      <c r="P225" s="3">
        <v>0.09</v>
      </c>
      <c r="Q225" s="2" t="s">
        <v>51</v>
      </c>
      <c r="R225" s="1" t="str">
        <f>IF(Table13[[#This Row],[Number_Review_Lakhs]]&gt;=1,"Highly Popular", IF(Table13[[#This Row],[Number_Review_Lakhs]]&gt;=0.5,"Popular","Less Popular"))</f>
        <v>Less Popular</v>
      </c>
      <c r="S225" s="1" t="str">
        <f>IF(Table13[[#This Row],[Visit_Time_Hrs]]&lt;=2,"Short Visit", IF(Table13[[#This Row],[Visit_Time_Hrs]]&lt;=5,"Medium Visit","Full Day"))</f>
        <v>Short Visit</v>
      </c>
      <c r="T225" s="1" t="str">
        <f>IF(Table13[[#This Row],[Airport_50km_Radius]]="Yes","Accessible","Remote")</f>
        <v>Accessible</v>
      </c>
      <c r="U225" s="1" t="str">
        <f>IF(Table13[[#This Row],[Reiew_Rating]]&gt;=4.7,"Yes","No")</f>
        <v>No</v>
      </c>
      <c r="V225" s="1" t="str">
        <f t="shared" si="12"/>
        <v>Heritage &amp; Culture</v>
      </c>
      <c r="W225" s="1" t="str">
        <f t="shared" si="13"/>
        <v>★★★★★</v>
      </c>
      <c r="X225" s="1" t="str">
        <f t="shared" si="14"/>
        <v>5 / 5 Stars</v>
      </c>
      <c r="Y225" s="1" t="str">
        <f t="shared" si="15"/>
        <v>Low Traffic</v>
      </c>
    </row>
    <row r="226" spans="1:25" x14ac:dyDescent="0.3">
      <c r="A226" s="2" t="s">
        <v>117</v>
      </c>
      <c r="B226" s="2" t="s">
        <v>118</v>
      </c>
      <c r="C226" s="2" t="s">
        <v>500</v>
      </c>
      <c r="D226" s="2" t="s">
        <v>501</v>
      </c>
      <c r="E226" s="2" t="s">
        <v>457</v>
      </c>
      <c r="F226" s="1">
        <v>1719</v>
      </c>
      <c r="G226" s="1">
        <v>2.5</v>
      </c>
      <c r="H226" s="1">
        <v>4.5</v>
      </c>
      <c r="I226" s="1" t="str">
        <f>IF(Table13[[#This Row],[Reiew_Rating]]&gt;=4.5,"Excellent",
IF(Table13[[#This Row],[Reiew_Rating]]&gt;=4,"Good","Average"))</f>
        <v>Excellent</v>
      </c>
      <c r="J226" s="1">
        <v>0</v>
      </c>
      <c r="K226" s="1" t="str">
        <f>IF(Table13[[#This Row],[Entrance_Fee_INR]]=0,"Free","Paid")</f>
        <v>Free</v>
      </c>
      <c r="L226" s="2" t="s">
        <v>29</v>
      </c>
      <c r="M226" s="2" t="s">
        <v>720</v>
      </c>
      <c r="N226" s="2" t="s">
        <v>94</v>
      </c>
      <c r="O226" s="2" t="s">
        <v>19</v>
      </c>
      <c r="P226" s="3">
        <v>0.15</v>
      </c>
      <c r="Q226" s="2" t="s">
        <v>51</v>
      </c>
      <c r="R226" s="1" t="str">
        <f>IF(Table13[[#This Row],[Number_Review_Lakhs]]&gt;=1,"Highly Popular", IF(Table13[[#This Row],[Number_Review_Lakhs]]&gt;=0.5,"Popular","Less Popular"))</f>
        <v>Less Popular</v>
      </c>
      <c r="S226" s="1" t="str">
        <f>IF(Table13[[#This Row],[Visit_Time_Hrs]]&lt;=2,"Short Visit", IF(Table13[[#This Row],[Visit_Time_Hrs]]&lt;=5,"Medium Visit","Full Day"))</f>
        <v>Medium Visit</v>
      </c>
      <c r="T226" s="1" t="str">
        <f>IF(Table13[[#This Row],[Airport_50km_Radius]]="Yes","Accessible","Remote")</f>
        <v>Remote</v>
      </c>
      <c r="U226" s="1" t="str">
        <f>IF(Table13[[#This Row],[Reiew_Rating]]&gt;=4.7,"Yes","No")</f>
        <v>No</v>
      </c>
      <c r="V226" s="1" t="str">
        <f t="shared" si="12"/>
        <v>Nature &amp; Wildlife</v>
      </c>
      <c r="W226" s="1" t="str">
        <f t="shared" si="13"/>
        <v>★★★★★</v>
      </c>
      <c r="X226" s="1" t="str">
        <f t="shared" si="14"/>
        <v>5 / 5 Stars</v>
      </c>
      <c r="Y226" s="1" t="str">
        <f t="shared" si="15"/>
        <v>Low Traffic</v>
      </c>
    </row>
    <row r="227" spans="1:25" x14ac:dyDescent="0.3">
      <c r="A227" s="2" t="s">
        <v>117</v>
      </c>
      <c r="B227" s="2" t="s">
        <v>502</v>
      </c>
      <c r="C227" s="2" t="s">
        <v>503</v>
      </c>
      <c r="D227" s="2" t="s">
        <v>504</v>
      </c>
      <c r="E227" s="2" t="s">
        <v>27</v>
      </c>
      <c r="F227" s="1" t="s">
        <v>505</v>
      </c>
      <c r="G227" s="1">
        <v>2</v>
      </c>
      <c r="H227" s="1">
        <v>4.7</v>
      </c>
      <c r="I227" s="1" t="str">
        <f>IF(Table13[[#This Row],[Reiew_Rating]]&gt;=4.5,"Excellent",
IF(Table13[[#This Row],[Reiew_Rating]]&gt;=4,"Good","Average"))</f>
        <v>Excellent</v>
      </c>
      <c r="J227" s="1">
        <v>0</v>
      </c>
      <c r="K227" s="1" t="str">
        <f>IF(Table13[[#This Row],[Entrance_Fee_INR]]=0,"Free","Paid")</f>
        <v>Free</v>
      </c>
      <c r="L227" s="2" t="s">
        <v>19</v>
      </c>
      <c r="M227" s="2" t="s">
        <v>40</v>
      </c>
      <c r="N227" s="2" t="s">
        <v>28</v>
      </c>
      <c r="O227" s="2" t="s">
        <v>29</v>
      </c>
      <c r="P227" s="3">
        <v>1</v>
      </c>
      <c r="Q227" s="2" t="s">
        <v>51</v>
      </c>
      <c r="R227" s="1" t="str">
        <f>IF(Table13[[#This Row],[Number_Review_Lakhs]]&gt;=1,"Highly Popular", IF(Table13[[#This Row],[Number_Review_Lakhs]]&gt;=0.5,"Popular","Less Popular"))</f>
        <v>Highly Popular</v>
      </c>
      <c r="S227" s="1" t="str">
        <f>IF(Table13[[#This Row],[Visit_Time_Hrs]]&lt;=2,"Short Visit", IF(Table13[[#This Row],[Visit_Time_Hrs]]&lt;=5,"Medium Visit","Full Day"))</f>
        <v>Short Visit</v>
      </c>
      <c r="T227" s="1" t="str">
        <f>IF(Table13[[#This Row],[Airport_50km_Radius]]="Yes","Accessible","Remote")</f>
        <v>Accessible</v>
      </c>
      <c r="U227" s="1" t="str">
        <f>IF(Table13[[#This Row],[Reiew_Rating]]&gt;=4.7,"Yes","No")</f>
        <v>Yes</v>
      </c>
      <c r="V227" s="1" t="str">
        <f t="shared" si="12"/>
        <v>Heritage &amp; Culture</v>
      </c>
      <c r="W227" s="1" t="str">
        <f t="shared" si="13"/>
        <v>★★★★★</v>
      </c>
      <c r="X227" s="1" t="str">
        <f t="shared" si="14"/>
        <v>5 / 5 Stars</v>
      </c>
      <c r="Y227" s="1" t="str">
        <f t="shared" si="15"/>
        <v>Medium Traffic</v>
      </c>
    </row>
    <row r="228" spans="1:25" x14ac:dyDescent="0.3">
      <c r="A228" s="2" t="s">
        <v>117</v>
      </c>
      <c r="B228" s="2" t="s">
        <v>502</v>
      </c>
      <c r="C228" s="2" t="s">
        <v>506</v>
      </c>
      <c r="D228" s="2" t="s">
        <v>507</v>
      </c>
      <c r="E228" s="2" t="s">
        <v>27</v>
      </c>
      <c r="F228" s="1">
        <v>1250</v>
      </c>
      <c r="G228" s="1">
        <v>1.5</v>
      </c>
      <c r="H228" s="1">
        <v>4.7</v>
      </c>
      <c r="I228" s="1" t="str">
        <f>IF(Table13[[#This Row],[Reiew_Rating]]&gt;=4.5,"Excellent",
IF(Table13[[#This Row],[Reiew_Rating]]&gt;=4,"Good","Average"))</f>
        <v>Excellent</v>
      </c>
      <c r="J228" s="1">
        <v>40</v>
      </c>
      <c r="K228" s="1" t="str">
        <f>IF(Table13[[#This Row],[Entrance_Fee_INR]]=0,"Free","Paid")</f>
        <v>Paid</v>
      </c>
      <c r="L228" s="2" t="s">
        <v>19</v>
      </c>
      <c r="M228" s="2" t="s">
        <v>720</v>
      </c>
      <c r="N228" s="2" t="s">
        <v>21</v>
      </c>
      <c r="O228" s="2" t="s">
        <v>19</v>
      </c>
      <c r="P228" s="3">
        <v>0.83</v>
      </c>
      <c r="Q228" s="2" t="s">
        <v>51</v>
      </c>
      <c r="R228" s="1" t="str">
        <f>IF(Table13[[#This Row],[Number_Review_Lakhs]]&gt;=1,"Highly Popular", IF(Table13[[#This Row],[Number_Review_Lakhs]]&gt;=0.5,"Popular","Less Popular"))</f>
        <v>Popular</v>
      </c>
      <c r="S228" s="1" t="str">
        <f>IF(Table13[[#This Row],[Visit_Time_Hrs]]&lt;=2,"Short Visit", IF(Table13[[#This Row],[Visit_Time_Hrs]]&lt;=5,"Medium Visit","Full Day"))</f>
        <v>Short Visit</v>
      </c>
      <c r="T228" s="1" t="str">
        <f>IF(Table13[[#This Row],[Airport_50km_Radius]]="Yes","Accessible","Remote")</f>
        <v>Accessible</v>
      </c>
      <c r="U228" s="1" t="str">
        <f>IF(Table13[[#This Row],[Reiew_Rating]]&gt;=4.7,"Yes","No")</f>
        <v>Yes</v>
      </c>
      <c r="V228" s="1" t="str">
        <f t="shared" si="12"/>
        <v>Heritage &amp; Culture</v>
      </c>
      <c r="W228" s="1" t="str">
        <f t="shared" si="13"/>
        <v>★★★★★</v>
      </c>
      <c r="X228" s="1" t="str">
        <f t="shared" si="14"/>
        <v>5 / 5 Stars</v>
      </c>
      <c r="Y228" s="1" t="str">
        <f t="shared" si="15"/>
        <v>Medium Traffic</v>
      </c>
    </row>
    <row r="229" spans="1:25" x14ac:dyDescent="0.3">
      <c r="A229" s="2" t="s">
        <v>117</v>
      </c>
      <c r="B229" s="2" t="s">
        <v>502</v>
      </c>
      <c r="C229" s="2" t="s">
        <v>508</v>
      </c>
      <c r="D229" s="2" t="s">
        <v>509</v>
      </c>
      <c r="E229" s="2" t="s">
        <v>27</v>
      </c>
      <c r="F229" s="1" t="s">
        <v>510</v>
      </c>
      <c r="G229" s="1">
        <v>1</v>
      </c>
      <c r="H229" s="1">
        <v>4.5999999999999996</v>
      </c>
      <c r="I229" s="1" t="str">
        <f>IF(Table13[[#This Row],[Reiew_Rating]]&gt;=4.5,"Excellent",
IF(Table13[[#This Row],[Reiew_Rating]]&gt;=4,"Good","Average"))</f>
        <v>Excellent</v>
      </c>
      <c r="J229" s="1">
        <v>0</v>
      </c>
      <c r="K229" s="1" t="str">
        <f>IF(Table13[[#This Row],[Entrance_Fee_INR]]=0,"Free","Paid")</f>
        <v>Free</v>
      </c>
      <c r="L229" s="2" t="s">
        <v>19</v>
      </c>
      <c r="M229" s="2" t="s">
        <v>57</v>
      </c>
      <c r="N229" s="2" t="s">
        <v>28</v>
      </c>
      <c r="O229" s="2" t="s">
        <v>29</v>
      </c>
      <c r="P229" s="3">
        <v>0.35</v>
      </c>
      <c r="Q229" s="2" t="s">
        <v>51</v>
      </c>
      <c r="R229" s="1" t="str">
        <f>IF(Table13[[#This Row],[Number_Review_Lakhs]]&gt;=1,"Highly Popular", IF(Table13[[#This Row],[Number_Review_Lakhs]]&gt;=0.5,"Popular","Less Popular"))</f>
        <v>Less Popular</v>
      </c>
      <c r="S229" s="1" t="str">
        <f>IF(Table13[[#This Row],[Visit_Time_Hrs]]&lt;=2,"Short Visit", IF(Table13[[#This Row],[Visit_Time_Hrs]]&lt;=5,"Medium Visit","Full Day"))</f>
        <v>Short Visit</v>
      </c>
      <c r="T229" s="1" t="str">
        <f>IF(Table13[[#This Row],[Airport_50km_Radius]]="Yes","Accessible","Remote")</f>
        <v>Accessible</v>
      </c>
      <c r="U229" s="1" t="str">
        <f>IF(Table13[[#This Row],[Reiew_Rating]]&gt;=4.7,"Yes","No")</f>
        <v>No</v>
      </c>
      <c r="V229" s="1" t="str">
        <f t="shared" si="12"/>
        <v>Heritage &amp; Culture</v>
      </c>
      <c r="W229" s="1" t="str">
        <f t="shared" si="13"/>
        <v>★★★★★</v>
      </c>
      <c r="X229" s="1" t="str">
        <f t="shared" si="14"/>
        <v>5 / 5 Stars</v>
      </c>
      <c r="Y229" s="1" t="str">
        <f t="shared" si="15"/>
        <v>Low Traffic</v>
      </c>
    </row>
    <row r="230" spans="1:25" x14ac:dyDescent="0.3">
      <c r="A230" s="2" t="s">
        <v>117</v>
      </c>
      <c r="B230" s="2" t="s">
        <v>502</v>
      </c>
      <c r="C230" s="2" t="s">
        <v>511</v>
      </c>
      <c r="D230" s="2" t="s">
        <v>512</v>
      </c>
      <c r="E230" s="2" t="s">
        <v>142</v>
      </c>
      <c r="F230" s="1">
        <v>1774</v>
      </c>
      <c r="G230" s="1">
        <v>1.5</v>
      </c>
      <c r="H230" s="1">
        <v>4.5</v>
      </c>
      <c r="I230" s="1" t="str">
        <f>IF(Table13[[#This Row],[Reiew_Rating]]&gt;=4.5,"Excellent",
IF(Table13[[#This Row],[Reiew_Rating]]&gt;=4,"Good","Average"))</f>
        <v>Excellent</v>
      </c>
      <c r="J230" s="1">
        <v>0</v>
      </c>
      <c r="K230" s="1" t="str">
        <f>IF(Table13[[#This Row],[Entrance_Fee_INR]]=0,"Free","Paid")</f>
        <v>Free</v>
      </c>
      <c r="L230" s="2" t="s">
        <v>29</v>
      </c>
      <c r="M230" s="2" t="s">
        <v>40</v>
      </c>
      <c r="N230" s="2" t="s">
        <v>94</v>
      </c>
      <c r="O230" s="2" t="s">
        <v>19</v>
      </c>
      <c r="P230" s="3">
        <v>1.2</v>
      </c>
      <c r="Q230" s="2" t="s">
        <v>51</v>
      </c>
      <c r="R230" s="1" t="str">
        <f>IF(Table13[[#This Row],[Number_Review_Lakhs]]&gt;=1,"Highly Popular", IF(Table13[[#This Row],[Number_Review_Lakhs]]&gt;=0.5,"Popular","Less Popular"))</f>
        <v>Highly Popular</v>
      </c>
      <c r="S230" s="1" t="str">
        <f>IF(Table13[[#This Row],[Visit_Time_Hrs]]&lt;=2,"Short Visit", IF(Table13[[#This Row],[Visit_Time_Hrs]]&lt;=5,"Medium Visit","Full Day"))</f>
        <v>Short Visit</v>
      </c>
      <c r="T230" s="1" t="str">
        <f>IF(Table13[[#This Row],[Airport_50km_Radius]]="Yes","Accessible","Remote")</f>
        <v>Remote</v>
      </c>
      <c r="U230" s="1" t="str">
        <f>IF(Table13[[#This Row],[Reiew_Rating]]&gt;=4.7,"Yes","No")</f>
        <v>No</v>
      </c>
      <c r="V230" s="1" t="str">
        <f t="shared" si="12"/>
        <v>Nature &amp; Wildlife</v>
      </c>
      <c r="W230" s="1" t="str">
        <f t="shared" si="13"/>
        <v>★★★★★</v>
      </c>
      <c r="X230" s="1" t="str">
        <f t="shared" si="14"/>
        <v>5 / 5 Stars</v>
      </c>
      <c r="Y230" s="1" t="str">
        <f t="shared" si="15"/>
        <v>Medium Traffic</v>
      </c>
    </row>
    <row r="231" spans="1:25" x14ac:dyDescent="0.3">
      <c r="A231" s="2" t="s">
        <v>117</v>
      </c>
      <c r="B231" s="2" t="s">
        <v>502</v>
      </c>
      <c r="C231" s="2" t="s">
        <v>513</v>
      </c>
      <c r="D231" s="2" t="s">
        <v>514</v>
      </c>
      <c r="E231" s="2" t="s">
        <v>43</v>
      </c>
      <c r="F231" s="1">
        <v>-987</v>
      </c>
      <c r="G231" s="1">
        <v>1</v>
      </c>
      <c r="H231" s="1">
        <v>4.5</v>
      </c>
      <c r="I231" s="1" t="str">
        <f>IF(Table13[[#This Row],[Reiew_Rating]]&gt;=4.5,"Excellent",
IF(Table13[[#This Row],[Reiew_Rating]]&gt;=4,"Good","Average"))</f>
        <v>Excellent</v>
      </c>
      <c r="J231" s="1">
        <v>0</v>
      </c>
      <c r="K231" s="1" t="str">
        <f>IF(Table13[[#This Row],[Entrance_Fee_INR]]=0,"Free","Paid")</f>
        <v>Free</v>
      </c>
      <c r="L231" s="2" t="s">
        <v>19</v>
      </c>
      <c r="M231" s="2" t="s">
        <v>722</v>
      </c>
      <c r="N231" s="2" t="s">
        <v>21</v>
      </c>
      <c r="O231" s="2" t="s">
        <v>19</v>
      </c>
      <c r="P231" s="3">
        <v>0.13</v>
      </c>
      <c r="Q231" s="2" t="s">
        <v>51</v>
      </c>
      <c r="R231" s="1" t="str">
        <f>IF(Table13[[#This Row],[Number_Review_Lakhs]]&gt;=1,"Highly Popular", IF(Table13[[#This Row],[Number_Review_Lakhs]]&gt;=0.5,"Popular","Less Popular"))</f>
        <v>Less Popular</v>
      </c>
      <c r="S231" s="1" t="str">
        <f>IF(Table13[[#This Row],[Visit_Time_Hrs]]&lt;=2,"Short Visit", IF(Table13[[#This Row],[Visit_Time_Hrs]]&lt;=5,"Medium Visit","Full Day"))</f>
        <v>Short Visit</v>
      </c>
      <c r="T231" s="1" t="str">
        <f>IF(Table13[[#This Row],[Airport_50km_Radius]]="Yes","Accessible","Remote")</f>
        <v>Accessible</v>
      </c>
      <c r="U231" s="1" t="str">
        <f>IF(Table13[[#This Row],[Reiew_Rating]]&gt;=4.7,"Yes","No")</f>
        <v>No</v>
      </c>
      <c r="V231" s="1" t="str">
        <f t="shared" si="12"/>
        <v>Heritage &amp; Culture</v>
      </c>
      <c r="W231" s="1" t="str">
        <f t="shared" si="13"/>
        <v>★★★★★</v>
      </c>
      <c r="X231" s="1" t="str">
        <f t="shared" si="14"/>
        <v>5 / 5 Stars</v>
      </c>
      <c r="Y231" s="1" t="str">
        <f t="shared" si="15"/>
        <v>Low Traffic</v>
      </c>
    </row>
    <row r="232" spans="1:25" x14ac:dyDescent="0.3">
      <c r="A232" s="2" t="s">
        <v>117</v>
      </c>
      <c r="B232" s="2" t="s">
        <v>502</v>
      </c>
      <c r="C232" s="2" t="s">
        <v>515</v>
      </c>
      <c r="D232" s="2" t="s">
        <v>516</v>
      </c>
      <c r="E232" s="2" t="s">
        <v>517</v>
      </c>
      <c r="F232" s="1">
        <v>1957</v>
      </c>
      <c r="G232" s="1">
        <v>1</v>
      </c>
      <c r="H232" s="1">
        <v>4.5</v>
      </c>
      <c r="I232" s="1" t="str">
        <f>IF(Table13[[#This Row],[Reiew_Rating]]&gt;=4.5,"Excellent",
IF(Table13[[#This Row],[Reiew_Rating]]&gt;=4,"Good","Average"))</f>
        <v>Excellent</v>
      </c>
      <c r="J232" s="1">
        <v>0</v>
      </c>
      <c r="K232" s="1" t="str">
        <f>IF(Table13[[#This Row],[Entrance_Fee_INR]]=0,"Free","Paid")</f>
        <v>Free</v>
      </c>
      <c r="L232" s="2" t="s">
        <v>29</v>
      </c>
      <c r="M232" s="2" t="s">
        <v>32</v>
      </c>
      <c r="N232" s="2" t="s">
        <v>518</v>
      </c>
      <c r="O232" s="2" t="s">
        <v>19</v>
      </c>
      <c r="P232" s="3">
        <v>0.01</v>
      </c>
      <c r="Q232" s="2" t="s">
        <v>51</v>
      </c>
      <c r="R232" s="1" t="str">
        <f>IF(Table13[[#This Row],[Number_Review_Lakhs]]&gt;=1,"Highly Popular", IF(Table13[[#This Row],[Number_Review_Lakhs]]&gt;=0.5,"Popular","Less Popular"))</f>
        <v>Less Popular</v>
      </c>
      <c r="S232" s="1" t="str">
        <f>IF(Table13[[#This Row],[Visit_Time_Hrs]]&lt;=2,"Short Visit", IF(Table13[[#This Row],[Visit_Time_Hrs]]&lt;=5,"Medium Visit","Full Day"))</f>
        <v>Short Visit</v>
      </c>
      <c r="T232" s="1" t="str">
        <f>IF(Table13[[#This Row],[Airport_50km_Radius]]="Yes","Accessible","Remote")</f>
        <v>Remote</v>
      </c>
      <c r="U232" s="1" t="str">
        <f>IF(Table13[[#This Row],[Reiew_Rating]]&gt;=4.7,"Yes","No")</f>
        <v>No</v>
      </c>
      <c r="V232" s="1" t="str">
        <f t="shared" si="12"/>
        <v>Other</v>
      </c>
      <c r="W232" s="1" t="str">
        <f t="shared" si="13"/>
        <v>★★★★★</v>
      </c>
      <c r="X232" s="1" t="str">
        <f t="shared" si="14"/>
        <v>5 / 5 Stars</v>
      </c>
      <c r="Y232" s="1" t="str">
        <f t="shared" si="15"/>
        <v>Low Traffic</v>
      </c>
    </row>
    <row r="233" spans="1:25" x14ac:dyDescent="0.3">
      <c r="A233" s="2" t="s">
        <v>117</v>
      </c>
      <c r="B233" s="2" t="s">
        <v>502</v>
      </c>
      <c r="C233" s="2" t="s">
        <v>519</v>
      </c>
      <c r="D233" s="2" t="s">
        <v>520</v>
      </c>
      <c r="E233" s="2" t="s">
        <v>106</v>
      </c>
      <c r="F233" s="1">
        <v>1497</v>
      </c>
      <c r="G233" s="1">
        <v>2</v>
      </c>
      <c r="H233" s="1">
        <v>3.9</v>
      </c>
      <c r="I233" s="1" t="str">
        <f>IF(Table13[[#This Row],[Reiew_Rating]]&gt;=4.5,"Excellent",
IF(Table13[[#This Row],[Reiew_Rating]]&gt;=4,"Good","Average"))</f>
        <v>Average</v>
      </c>
      <c r="J233" s="1">
        <v>0</v>
      </c>
      <c r="K233" s="1" t="str">
        <f>IF(Table13[[#This Row],[Entrance_Fee_INR]]=0,"Free","Paid")</f>
        <v>Free</v>
      </c>
      <c r="L233" s="2" t="s">
        <v>19</v>
      </c>
      <c r="M233" s="2" t="s">
        <v>40</v>
      </c>
      <c r="N233" s="2" t="s">
        <v>94</v>
      </c>
      <c r="O233" s="2" t="s">
        <v>19</v>
      </c>
      <c r="P233" s="3">
        <v>0.1</v>
      </c>
      <c r="Q233" s="2" t="s">
        <v>37</v>
      </c>
      <c r="R233" s="1" t="str">
        <f>IF(Table13[[#This Row],[Number_Review_Lakhs]]&gt;=1,"Highly Popular", IF(Table13[[#This Row],[Number_Review_Lakhs]]&gt;=0.5,"Popular","Less Popular"))</f>
        <v>Less Popular</v>
      </c>
      <c r="S233" s="1" t="str">
        <f>IF(Table13[[#This Row],[Visit_Time_Hrs]]&lt;=2,"Short Visit", IF(Table13[[#This Row],[Visit_Time_Hrs]]&lt;=5,"Medium Visit","Full Day"))</f>
        <v>Short Visit</v>
      </c>
      <c r="T233" s="1" t="str">
        <f>IF(Table13[[#This Row],[Airport_50km_Radius]]="Yes","Accessible","Remote")</f>
        <v>Accessible</v>
      </c>
      <c r="U233" s="1" t="str">
        <f>IF(Table13[[#This Row],[Reiew_Rating]]&gt;=4.7,"Yes","No")</f>
        <v>No</v>
      </c>
      <c r="V233" s="1" t="str">
        <f t="shared" si="12"/>
        <v>Nature &amp; Wildlife</v>
      </c>
      <c r="W233" s="1" t="str">
        <f t="shared" si="13"/>
        <v>★★★★☆</v>
      </c>
      <c r="X233" s="1" t="str">
        <f t="shared" si="14"/>
        <v>4 / 5 Stars</v>
      </c>
      <c r="Y233" s="1" t="str">
        <f t="shared" si="15"/>
        <v>Low Traffic</v>
      </c>
    </row>
    <row r="234" spans="1:25" x14ac:dyDescent="0.3">
      <c r="A234" s="2" t="s">
        <v>117</v>
      </c>
      <c r="B234" s="2" t="s">
        <v>502</v>
      </c>
      <c r="C234" s="2" t="s">
        <v>521</v>
      </c>
      <c r="D234" s="2" t="s">
        <v>522</v>
      </c>
      <c r="E234" s="2" t="s">
        <v>27</v>
      </c>
      <c r="F234" s="1" t="s">
        <v>523</v>
      </c>
      <c r="G234" s="1">
        <v>1</v>
      </c>
      <c r="H234" s="1">
        <v>4.5999999999999996</v>
      </c>
      <c r="I234" s="1" t="str">
        <f>IF(Table13[[#This Row],[Reiew_Rating]]&gt;=4.5,"Excellent",
IF(Table13[[#This Row],[Reiew_Rating]]&gt;=4,"Good","Average"))</f>
        <v>Excellent</v>
      </c>
      <c r="J234" s="1">
        <v>0</v>
      </c>
      <c r="K234" s="1" t="str">
        <f>IF(Table13[[#This Row],[Entrance_Fee_INR]]=0,"Free","Paid")</f>
        <v>Free</v>
      </c>
      <c r="L234" s="2" t="s">
        <v>19</v>
      </c>
      <c r="M234" s="2" t="s">
        <v>40</v>
      </c>
      <c r="N234" s="2" t="s">
        <v>28</v>
      </c>
      <c r="O234" s="2" t="s">
        <v>29</v>
      </c>
      <c r="P234" s="3">
        <v>0.01</v>
      </c>
      <c r="Q234" s="2" t="s">
        <v>51</v>
      </c>
      <c r="R234" s="1" t="str">
        <f>IF(Table13[[#This Row],[Number_Review_Lakhs]]&gt;=1,"Highly Popular", IF(Table13[[#This Row],[Number_Review_Lakhs]]&gt;=0.5,"Popular","Less Popular"))</f>
        <v>Less Popular</v>
      </c>
      <c r="S234" s="1" t="str">
        <f>IF(Table13[[#This Row],[Visit_Time_Hrs]]&lt;=2,"Short Visit", IF(Table13[[#This Row],[Visit_Time_Hrs]]&lt;=5,"Medium Visit","Full Day"))</f>
        <v>Short Visit</v>
      </c>
      <c r="T234" s="1" t="str">
        <f>IF(Table13[[#This Row],[Airport_50km_Radius]]="Yes","Accessible","Remote")</f>
        <v>Accessible</v>
      </c>
      <c r="U234" s="1" t="str">
        <f>IF(Table13[[#This Row],[Reiew_Rating]]&gt;=4.7,"Yes","No")</f>
        <v>No</v>
      </c>
      <c r="V234" s="1" t="str">
        <f t="shared" si="12"/>
        <v>Heritage &amp; Culture</v>
      </c>
      <c r="W234" s="1" t="str">
        <f t="shared" si="13"/>
        <v>★★★★★</v>
      </c>
      <c r="X234" s="1" t="str">
        <f t="shared" si="14"/>
        <v>5 / 5 Stars</v>
      </c>
      <c r="Y234" s="1" t="str">
        <f t="shared" si="15"/>
        <v>Low Traffic</v>
      </c>
    </row>
    <row r="235" spans="1:25" x14ac:dyDescent="0.3">
      <c r="A235" s="2" t="s">
        <v>117</v>
      </c>
      <c r="B235" s="2" t="s">
        <v>502</v>
      </c>
      <c r="C235" s="2" t="s">
        <v>524</v>
      </c>
      <c r="D235" s="2" t="s">
        <v>525</v>
      </c>
      <c r="E235" s="2" t="s">
        <v>142</v>
      </c>
      <c r="F235" s="1">
        <v>1674</v>
      </c>
      <c r="G235" s="1">
        <v>1</v>
      </c>
      <c r="H235" s="1">
        <v>4.3</v>
      </c>
      <c r="I235" s="1" t="str">
        <f>IF(Table13[[#This Row],[Reiew_Rating]]&gt;=4.5,"Excellent",
IF(Table13[[#This Row],[Reiew_Rating]]&gt;=4,"Good","Average"))</f>
        <v>Good</v>
      </c>
      <c r="J235" s="1">
        <v>0</v>
      </c>
      <c r="K235" s="1" t="str">
        <f>IF(Table13[[#This Row],[Entrance_Fee_INR]]=0,"Free","Paid")</f>
        <v>Free</v>
      </c>
      <c r="L235" s="2" t="s">
        <v>29</v>
      </c>
      <c r="M235" s="2" t="s">
        <v>305</v>
      </c>
      <c r="N235" s="2" t="s">
        <v>94</v>
      </c>
      <c r="O235" s="2" t="s">
        <v>19</v>
      </c>
      <c r="P235" s="3">
        <v>1.7999999999999999E-2</v>
      </c>
      <c r="Q235" s="2" t="s">
        <v>37</v>
      </c>
      <c r="R235" s="1" t="str">
        <f>IF(Table13[[#This Row],[Number_Review_Lakhs]]&gt;=1,"Highly Popular", IF(Table13[[#This Row],[Number_Review_Lakhs]]&gt;=0.5,"Popular","Less Popular"))</f>
        <v>Less Popular</v>
      </c>
      <c r="S235" s="1" t="str">
        <f>IF(Table13[[#This Row],[Visit_Time_Hrs]]&lt;=2,"Short Visit", IF(Table13[[#This Row],[Visit_Time_Hrs]]&lt;=5,"Medium Visit","Full Day"))</f>
        <v>Short Visit</v>
      </c>
      <c r="T235" s="1" t="str">
        <f>IF(Table13[[#This Row],[Airport_50km_Radius]]="Yes","Accessible","Remote")</f>
        <v>Remote</v>
      </c>
      <c r="U235" s="1" t="str">
        <f>IF(Table13[[#This Row],[Reiew_Rating]]&gt;=4.7,"Yes","No")</f>
        <v>No</v>
      </c>
      <c r="V235" s="1" t="str">
        <f t="shared" si="12"/>
        <v>Nature &amp; Wildlife</v>
      </c>
      <c r="W235" s="1" t="str">
        <f t="shared" si="13"/>
        <v>★★★★☆</v>
      </c>
      <c r="X235" s="1" t="str">
        <f t="shared" si="14"/>
        <v>4 / 5 Stars</v>
      </c>
      <c r="Y235" s="1" t="str">
        <f t="shared" si="15"/>
        <v>Low Traffic</v>
      </c>
    </row>
    <row r="236" spans="1:25" x14ac:dyDescent="0.3">
      <c r="A236" s="2" t="s">
        <v>117</v>
      </c>
      <c r="B236" s="2" t="s">
        <v>502</v>
      </c>
      <c r="C236" s="2" t="s">
        <v>526</v>
      </c>
      <c r="D236" s="2" t="s">
        <v>527</v>
      </c>
      <c r="E236" s="2" t="s">
        <v>79</v>
      </c>
      <c r="F236" s="1">
        <v>1483</v>
      </c>
      <c r="G236" s="1">
        <v>1.5</v>
      </c>
      <c r="H236" s="1">
        <v>4.2</v>
      </c>
      <c r="I236" s="1" t="str">
        <f>IF(Table13[[#This Row],[Reiew_Rating]]&gt;=4.5,"Excellent",
IF(Table13[[#This Row],[Reiew_Rating]]&gt;=4,"Good","Average"))</f>
        <v>Good</v>
      </c>
      <c r="J236" s="1">
        <v>0</v>
      </c>
      <c r="K236" s="1" t="str">
        <f>IF(Table13[[#This Row],[Entrance_Fee_INR]]=0,"Free","Paid")</f>
        <v>Free</v>
      </c>
      <c r="L236" s="2" t="s">
        <v>19</v>
      </c>
      <c r="M236" s="2" t="s">
        <v>40</v>
      </c>
      <c r="N236" s="2" t="s">
        <v>80</v>
      </c>
      <c r="O236" s="2" t="s">
        <v>19</v>
      </c>
      <c r="P236" s="3">
        <v>1.4E-2</v>
      </c>
      <c r="Q236" s="2" t="s">
        <v>37</v>
      </c>
      <c r="R236" s="1" t="str">
        <f>IF(Table13[[#This Row],[Number_Review_Lakhs]]&gt;=1,"Highly Popular", IF(Table13[[#This Row],[Number_Review_Lakhs]]&gt;=0.5,"Popular","Less Popular"))</f>
        <v>Less Popular</v>
      </c>
      <c r="S236" s="1" t="str">
        <f>IF(Table13[[#This Row],[Visit_Time_Hrs]]&lt;=2,"Short Visit", IF(Table13[[#This Row],[Visit_Time_Hrs]]&lt;=5,"Medium Visit","Full Day"))</f>
        <v>Short Visit</v>
      </c>
      <c r="T236" s="1" t="str">
        <f>IF(Table13[[#This Row],[Airport_50km_Radius]]="Yes","Accessible","Remote")</f>
        <v>Accessible</v>
      </c>
      <c r="U236" s="1" t="str">
        <f>IF(Table13[[#This Row],[Reiew_Rating]]&gt;=4.7,"Yes","No")</f>
        <v>No</v>
      </c>
      <c r="V236" s="1" t="str">
        <f t="shared" si="12"/>
        <v>Leisure &amp; Commerce</v>
      </c>
      <c r="W236" s="1" t="str">
        <f t="shared" si="13"/>
        <v>★★★★☆</v>
      </c>
      <c r="X236" s="1" t="str">
        <f t="shared" si="14"/>
        <v>4 / 5 Stars</v>
      </c>
      <c r="Y236" s="1" t="str">
        <f t="shared" si="15"/>
        <v>Low Traffic</v>
      </c>
    </row>
    <row r="237" spans="1:25" x14ac:dyDescent="0.3">
      <c r="A237" s="2" t="s">
        <v>117</v>
      </c>
      <c r="B237" s="2" t="s">
        <v>502</v>
      </c>
      <c r="C237" s="2" t="s">
        <v>528</v>
      </c>
      <c r="D237" s="2" t="s">
        <v>529</v>
      </c>
      <c r="E237" s="2" t="s">
        <v>142</v>
      </c>
      <c r="F237" s="1">
        <v>1929</v>
      </c>
      <c r="G237" s="1">
        <v>1</v>
      </c>
      <c r="H237" s="1">
        <v>4.4000000000000004</v>
      </c>
      <c r="I237" s="1" t="str">
        <f>IF(Table13[[#This Row],[Reiew_Rating]]&gt;=4.5,"Excellent",
IF(Table13[[#This Row],[Reiew_Rating]]&gt;=4,"Good","Average"))</f>
        <v>Good</v>
      </c>
      <c r="J237" s="1">
        <v>0</v>
      </c>
      <c r="K237" s="1" t="str">
        <f>IF(Table13[[#This Row],[Entrance_Fee_INR]]=0,"Free","Paid")</f>
        <v>Free</v>
      </c>
      <c r="L237" s="2" t="s">
        <v>29</v>
      </c>
      <c r="M237" s="2" t="s">
        <v>720</v>
      </c>
      <c r="N237" s="2" t="s">
        <v>94</v>
      </c>
      <c r="O237" s="2" t="s">
        <v>19</v>
      </c>
      <c r="P237" s="3">
        <v>5.5E-2</v>
      </c>
      <c r="Q237" s="2" t="s">
        <v>51</v>
      </c>
      <c r="R237" s="1" t="str">
        <f>IF(Table13[[#This Row],[Number_Review_Lakhs]]&gt;=1,"Highly Popular", IF(Table13[[#This Row],[Number_Review_Lakhs]]&gt;=0.5,"Popular","Less Popular"))</f>
        <v>Less Popular</v>
      </c>
      <c r="S237" s="1" t="str">
        <f>IF(Table13[[#This Row],[Visit_Time_Hrs]]&lt;=2,"Short Visit", IF(Table13[[#This Row],[Visit_Time_Hrs]]&lt;=5,"Medium Visit","Full Day"))</f>
        <v>Short Visit</v>
      </c>
      <c r="T237" s="1" t="str">
        <f>IF(Table13[[#This Row],[Airport_50km_Radius]]="Yes","Accessible","Remote")</f>
        <v>Remote</v>
      </c>
      <c r="U237" s="1" t="str">
        <f>IF(Table13[[#This Row],[Reiew_Rating]]&gt;=4.7,"Yes","No")</f>
        <v>No</v>
      </c>
      <c r="V237" s="1" t="str">
        <f t="shared" si="12"/>
        <v>Nature &amp; Wildlife</v>
      </c>
      <c r="W237" s="1" t="str">
        <f t="shared" si="13"/>
        <v>★★★★☆</v>
      </c>
      <c r="X237" s="1" t="str">
        <f t="shared" si="14"/>
        <v>4 / 5 Stars</v>
      </c>
      <c r="Y237" s="1" t="str">
        <f t="shared" si="15"/>
        <v>Low Traffic</v>
      </c>
    </row>
    <row r="238" spans="1:25" x14ac:dyDescent="0.3">
      <c r="A238" s="2" t="s">
        <v>87</v>
      </c>
      <c r="B238" s="2" t="s">
        <v>530</v>
      </c>
      <c r="C238" s="2" t="s">
        <v>531</v>
      </c>
      <c r="D238" s="2" t="s">
        <v>532</v>
      </c>
      <c r="E238" s="2" t="s">
        <v>79</v>
      </c>
      <c r="F238" s="1">
        <v>1413</v>
      </c>
      <c r="G238" s="1">
        <v>1.5</v>
      </c>
      <c r="H238" s="1">
        <v>3.9</v>
      </c>
      <c r="I238" s="1" t="str">
        <f>IF(Table13[[#This Row],[Reiew_Rating]]&gt;=4.5,"Excellent",
IF(Table13[[#This Row],[Reiew_Rating]]&gt;=4,"Good","Average"))</f>
        <v>Average</v>
      </c>
      <c r="J238" s="1">
        <v>0</v>
      </c>
      <c r="K238" s="1" t="str">
        <f>IF(Table13[[#This Row],[Entrance_Fee_INR]]=0,"Free","Paid")</f>
        <v>Free</v>
      </c>
      <c r="L238" s="2" t="s">
        <v>19</v>
      </c>
      <c r="M238" s="2" t="s">
        <v>721</v>
      </c>
      <c r="N238" s="2" t="s">
        <v>80</v>
      </c>
      <c r="O238" s="2" t="s">
        <v>19</v>
      </c>
      <c r="P238" s="3">
        <v>0.1</v>
      </c>
      <c r="Q238" s="2" t="s">
        <v>37</v>
      </c>
      <c r="R238" s="1" t="str">
        <f>IF(Table13[[#This Row],[Number_Review_Lakhs]]&gt;=1,"Highly Popular", IF(Table13[[#This Row],[Number_Review_Lakhs]]&gt;=0.5,"Popular","Less Popular"))</f>
        <v>Less Popular</v>
      </c>
      <c r="S238" s="1" t="str">
        <f>IF(Table13[[#This Row],[Visit_Time_Hrs]]&lt;=2,"Short Visit", IF(Table13[[#This Row],[Visit_Time_Hrs]]&lt;=5,"Medium Visit","Full Day"))</f>
        <v>Short Visit</v>
      </c>
      <c r="T238" s="1" t="str">
        <f>IF(Table13[[#This Row],[Airport_50km_Radius]]="Yes","Accessible","Remote")</f>
        <v>Accessible</v>
      </c>
      <c r="U238" s="1" t="str">
        <f>IF(Table13[[#This Row],[Reiew_Rating]]&gt;=4.7,"Yes","No")</f>
        <v>No</v>
      </c>
      <c r="V238" s="1" t="str">
        <f t="shared" si="12"/>
        <v>Leisure &amp; Commerce</v>
      </c>
      <c r="W238" s="1" t="str">
        <f t="shared" si="13"/>
        <v>★★★★☆</v>
      </c>
      <c r="X238" s="1" t="str">
        <f t="shared" si="14"/>
        <v>4 / 5 Stars</v>
      </c>
      <c r="Y238" s="1" t="str">
        <f t="shared" si="15"/>
        <v>Low Traffic</v>
      </c>
    </row>
    <row r="239" spans="1:25" x14ac:dyDescent="0.3">
      <c r="A239" s="2" t="s">
        <v>87</v>
      </c>
      <c r="B239" s="2" t="s">
        <v>530</v>
      </c>
      <c r="C239" s="2" t="s">
        <v>533</v>
      </c>
      <c r="D239" s="2" t="s">
        <v>534</v>
      </c>
      <c r="E239" s="2" t="s">
        <v>27</v>
      </c>
      <c r="F239" s="1" t="s">
        <v>535</v>
      </c>
      <c r="G239" s="1">
        <v>2</v>
      </c>
      <c r="H239" s="1">
        <v>4.7</v>
      </c>
      <c r="I239" s="1" t="str">
        <f>IF(Table13[[#This Row],[Reiew_Rating]]&gt;=4.5,"Excellent",
IF(Table13[[#This Row],[Reiew_Rating]]&gt;=4,"Good","Average"))</f>
        <v>Excellent</v>
      </c>
      <c r="J239" s="1">
        <v>0</v>
      </c>
      <c r="K239" s="1" t="str">
        <f>IF(Table13[[#This Row],[Entrance_Fee_INR]]=0,"Free","Paid")</f>
        <v>Free</v>
      </c>
      <c r="L239" s="2" t="s">
        <v>19</v>
      </c>
      <c r="M239" s="2" t="s">
        <v>32</v>
      </c>
      <c r="N239" s="2" t="s">
        <v>28</v>
      </c>
      <c r="O239" s="2" t="s">
        <v>29</v>
      </c>
      <c r="P239" s="3">
        <v>0.65</v>
      </c>
      <c r="Q239" s="2" t="s">
        <v>51</v>
      </c>
      <c r="R239" s="1" t="str">
        <f>IF(Table13[[#This Row],[Number_Review_Lakhs]]&gt;=1,"Highly Popular", IF(Table13[[#This Row],[Number_Review_Lakhs]]&gt;=0.5,"Popular","Less Popular"))</f>
        <v>Popular</v>
      </c>
      <c r="S239" s="1" t="str">
        <f>IF(Table13[[#This Row],[Visit_Time_Hrs]]&lt;=2,"Short Visit", IF(Table13[[#This Row],[Visit_Time_Hrs]]&lt;=5,"Medium Visit","Full Day"))</f>
        <v>Short Visit</v>
      </c>
      <c r="T239" s="1" t="str">
        <f>IF(Table13[[#This Row],[Airport_50km_Radius]]="Yes","Accessible","Remote")</f>
        <v>Accessible</v>
      </c>
      <c r="U239" s="1" t="str">
        <f>IF(Table13[[#This Row],[Reiew_Rating]]&gt;=4.7,"Yes","No")</f>
        <v>Yes</v>
      </c>
      <c r="V239" s="1" t="str">
        <f t="shared" si="12"/>
        <v>Heritage &amp; Culture</v>
      </c>
      <c r="W239" s="1" t="str">
        <f t="shared" si="13"/>
        <v>★★★★★</v>
      </c>
      <c r="X239" s="1" t="str">
        <f t="shared" si="14"/>
        <v>5 / 5 Stars</v>
      </c>
      <c r="Y239" s="1" t="str">
        <f t="shared" si="15"/>
        <v>Medium Traffic</v>
      </c>
    </row>
    <row r="240" spans="1:25" x14ac:dyDescent="0.3">
      <c r="A240" s="2" t="s">
        <v>87</v>
      </c>
      <c r="B240" s="2" t="s">
        <v>530</v>
      </c>
      <c r="C240" s="2" t="s">
        <v>536</v>
      </c>
      <c r="D240" s="2" t="s">
        <v>537</v>
      </c>
      <c r="E240" s="2" t="s">
        <v>27</v>
      </c>
      <c r="F240" s="1" t="s">
        <v>505</v>
      </c>
      <c r="G240" s="1">
        <v>1.5</v>
      </c>
      <c r="H240" s="1">
        <v>4.5999999999999996</v>
      </c>
      <c r="I240" s="1" t="str">
        <f>IF(Table13[[#This Row],[Reiew_Rating]]&gt;=4.5,"Excellent",
IF(Table13[[#This Row],[Reiew_Rating]]&gt;=4,"Good","Average"))</f>
        <v>Excellent</v>
      </c>
      <c r="J240" s="1">
        <v>0</v>
      </c>
      <c r="K240" s="1" t="str">
        <f>IF(Table13[[#This Row],[Entrance_Fee_INR]]=0,"Free","Paid")</f>
        <v>Free</v>
      </c>
      <c r="L240" s="2" t="s">
        <v>29</v>
      </c>
      <c r="M240" s="2" t="s">
        <v>722</v>
      </c>
      <c r="N240" s="2" t="s">
        <v>28</v>
      </c>
      <c r="O240" s="2" t="s">
        <v>29</v>
      </c>
      <c r="P240" s="3">
        <v>0.01</v>
      </c>
      <c r="Q240" s="2" t="s">
        <v>51</v>
      </c>
      <c r="R240" s="1" t="str">
        <f>IF(Table13[[#This Row],[Number_Review_Lakhs]]&gt;=1,"Highly Popular", IF(Table13[[#This Row],[Number_Review_Lakhs]]&gt;=0.5,"Popular","Less Popular"))</f>
        <v>Less Popular</v>
      </c>
      <c r="S240" s="1" t="str">
        <f>IF(Table13[[#This Row],[Visit_Time_Hrs]]&lt;=2,"Short Visit", IF(Table13[[#This Row],[Visit_Time_Hrs]]&lt;=5,"Medium Visit","Full Day"))</f>
        <v>Short Visit</v>
      </c>
      <c r="T240" s="1" t="str">
        <f>IF(Table13[[#This Row],[Airport_50km_Radius]]="Yes","Accessible","Remote")</f>
        <v>Remote</v>
      </c>
      <c r="U240" s="1" t="str">
        <f>IF(Table13[[#This Row],[Reiew_Rating]]&gt;=4.7,"Yes","No")</f>
        <v>No</v>
      </c>
      <c r="V240" s="1" t="str">
        <f t="shared" si="12"/>
        <v>Heritage &amp; Culture</v>
      </c>
      <c r="W240" s="1" t="str">
        <f t="shared" si="13"/>
        <v>★★★★★</v>
      </c>
      <c r="X240" s="1" t="str">
        <f t="shared" si="14"/>
        <v>5 / 5 Stars</v>
      </c>
      <c r="Y240" s="1" t="str">
        <f t="shared" si="15"/>
        <v>Low Traffic</v>
      </c>
    </row>
    <row r="241" spans="1:25" x14ac:dyDescent="0.3">
      <c r="A241" s="2" t="s">
        <v>87</v>
      </c>
      <c r="B241" s="2" t="s">
        <v>530</v>
      </c>
      <c r="C241" s="2" t="s">
        <v>538</v>
      </c>
      <c r="D241" s="2" t="s">
        <v>539</v>
      </c>
      <c r="E241" s="2" t="s">
        <v>213</v>
      </c>
      <c r="F241" s="1">
        <v>1970</v>
      </c>
      <c r="G241" s="1">
        <v>1</v>
      </c>
      <c r="H241" s="1">
        <v>4.5999999999999996</v>
      </c>
      <c r="I241" s="1" t="str">
        <f>IF(Table13[[#This Row],[Reiew_Rating]]&gt;=4.5,"Excellent",
IF(Table13[[#This Row],[Reiew_Rating]]&gt;=4,"Good","Average"))</f>
        <v>Excellent</v>
      </c>
      <c r="J241" s="1">
        <v>20</v>
      </c>
      <c r="K241" s="1" t="str">
        <f>IF(Table13[[#This Row],[Entrance_Fee_INR]]=0,"Free","Paid")</f>
        <v>Paid</v>
      </c>
      <c r="L241" s="2" t="s">
        <v>19</v>
      </c>
      <c r="M241" s="2" t="s">
        <v>720</v>
      </c>
      <c r="N241" s="2" t="s">
        <v>21</v>
      </c>
      <c r="O241" s="2" t="s">
        <v>29</v>
      </c>
      <c r="P241" s="3">
        <v>0.47</v>
      </c>
      <c r="Q241" s="2" t="s">
        <v>37</v>
      </c>
      <c r="R241" s="1" t="str">
        <f>IF(Table13[[#This Row],[Number_Review_Lakhs]]&gt;=1,"Highly Popular", IF(Table13[[#This Row],[Number_Review_Lakhs]]&gt;=0.5,"Popular","Less Popular"))</f>
        <v>Less Popular</v>
      </c>
      <c r="S241" s="1" t="str">
        <f>IF(Table13[[#This Row],[Visit_Time_Hrs]]&lt;=2,"Short Visit", IF(Table13[[#This Row],[Visit_Time_Hrs]]&lt;=5,"Medium Visit","Full Day"))</f>
        <v>Short Visit</v>
      </c>
      <c r="T241" s="1" t="str">
        <f>IF(Table13[[#This Row],[Airport_50km_Radius]]="Yes","Accessible","Remote")</f>
        <v>Accessible</v>
      </c>
      <c r="U241" s="1" t="str">
        <f>IF(Table13[[#This Row],[Reiew_Rating]]&gt;=4.7,"Yes","No")</f>
        <v>No</v>
      </c>
      <c r="V241" s="1" t="str">
        <f t="shared" si="12"/>
        <v>Heritage &amp; Culture</v>
      </c>
      <c r="W241" s="1" t="str">
        <f t="shared" si="13"/>
        <v>★★★★★</v>
      </c>
      <c r="X241" s="1" t="str">
        <f t="shared" si="14"/>
        <v>5 / 5 Stars</v>
      </c>
      <c r="Y241" s="1" t="str">
        <f t="shared" si="15"/>
        <v>Medium Traffic</v>
      </c>
    </row>
    <row r="242" spans="1:25" x14ac:dyDescent="0.3">
      <c r="A242" s="2" t="s">
        <v>87</v>
      </c>
      <c r="B242" s="2" t="s">
        <v>530</v>
      </c>
      <c r="C242" s="2" t="s">
        <v>540</v>
      </c>
      <c r="D242" s="2" t="s">
        <v>541</v>
      </c>
      <c r="E242" s="2" t="s">
        <v>106</v>
      </c>
      <c r="F242" s="1">
        <v>1824</v>
      </c>
      <c r="G242" s="1">
        <v>1</v>
      </c>
      <c r="H242" s="1">
        <v>4.0999999999999996</v>
      </c>
      <c r="I242" s="1" t="str">
        <f>IF(Table13[[#This Row],[Reiew_Rating]]&gt;=4.5,"Excellent",
IF(Table13[[#This Row],[Reiew_Rating]]&gt;=4,"Good","Average"))</f>
        <v>Good</v>
      </c>
      <c r="J242" s="1">
        <v>10</v>
      </c>
      <c r="K242" s="1" t="str">
        <f>IF(Table13[[#This Row],[Entrance_Fee_INR]]=0,"Free","Paid")</f>
        <v>Paid</v>
      </c>
      <c r="L242" s="2" t="s">
        <v>19</v>
      </c>
      <c r="M242" s="2" t="s">
        <v>305</v>
      </c>
      <c r="N242" s="2" t="s">
        <v>80</v>
      </c>
      <c r="O242" s="2" t="s">
        <v>19</v>
      </c>
      <c r="P242" s="3">
        <v>0.61</v>
      </c>
      <c r="Q242" s="2" t="s">
        <v>37</v>
      </c>
      <c r="R242" s="1" t="str">
        <f>IF(Table13[[#This Row],[Number_Review_Lakhs]]&gt;=1,"Highly Popular", IF(Table13[[#This Row],[Number_Review_Lakhs]]&gt;=0.5,"Popular","Less Popular"))</f>
        <v>Popular</v>
      </c>
      <c r="S242" s="1" t="str">
        <f>IF(Table13[[#This Row],[Visit_Time_Hrs]]&lt;=2,"Short Visit", IF(Table13[[#This Row],[Visit_Time_Hrs]]&lt;=5,"Medium Visit","Full Day"))</f>
        <v>Short Visit</v>
      </c>
      <c r="T242" s="1" t="str">
        <f>IF(Table13[[#This Row],[Airport_50km_Radius]]="Yes","Accessible","Remote")</f>
        <v>Accessible</v>
      </c>
      <c r="U242" s="1" t="str">
        <f>IF(Table13[[#This Row],[Reiew_Rating]]&gt;=4.7,"Yes","No")</f>
        <v>No</v>
      </c>
      <c r="V242" s="1" t="str">
        <f t="shared" si="12"/>
        <v>Leisure &amp; Commerce</v>
      </c>
      <c r="W242" s="1" t="str">
        <f t="shared" si="13"/>
        <v>★★★★☆</v>
      </c>
      <c r="X242" s="1" t="str">
        <f t="shared" si="14"/>
        <v>4 / 5 Stars</v>
      </c>
      <c r="Y242" s="1" t="str">
        <f t="shared" si="15"/>
        <v>Medium Traffic</v>
      </c>
    </row>
    <row r="243" spans="1:25" x14ac:dyDescent="0.3">
      <c r="A243" s="2" t="s">
        <v>87</v>
      </c>
      <c r="B243" s="2" t="s">
        <v>530</v>
      </c>
      <c r="C243" s="2" t="s">
        <v>542</v>
      </c>
      <c r="D243" s="2" t="s">
        <v>543</v>
      </c>
      <c r="E243" s="2" t="s">
        <v>27</v>
      </c>
      <c r="F243" s="1" t="s">
        <v>505</v>
      </c>
      <c r="G243" s="1">
        <v>1</v>
      </c>
      <c r="H243" s="1">
        <v>4.7</v>
      </c>
      <c r="I243" s="1" t="str">
        <f>IF(Table13[[#This Row],[Reiew_Rating]]&gt;=4.5,"Excellent",
IF(Table13[[#This Row],[Reiew_Rating]]&gt;=4,"Good","Average"))</f>
        <v>Excellent</v>
      </c>
      <c r="J243" s="1">
        <v>0</v>
      </c>
      <c r="K243" s="1" t="str">
        <f>IF(Table13[[#This Row],[Entrance_Fee_INR]]=0,"Free","Paid")</f>
        <v>Free</v>
      </c>
      <c r="L243" s="2" t="s">
        <v>19</v>
      </c>
      <c r="M243" s="2" t="s">
        <v>721</v>
      </c>
      <c r="N243" s="2" t="s">
        <v>28</v>
      </c>
      <c r="O243" s="2" t="s">
        <v>29</v>
      </c>
      <c r="P243" s="3">
        <v>0.3</v>
      </c>
      <c r="Q243" s="2" t="s">
        <v>51</v>
      </c>
      <c r="R243" s="1" t="str">
        <f>IF(Table13[[#This Row],[Number_Review_Lakhs]]&gt;=1,"Highly Popular", IF(Table13[[#This Row],[Number_Review_Lakhs]]&gt;=0.5,"Popular","Less Popular"))</f>
        <v>Less Popular</v>
      </c>
      <c r="S243" s="1" t="str">
        <f>IF(Table13[[#This Row],[Visit_Time_Hrs]]&lt;=2,"Short Visit", IF(Table13[[#This Row],[Visit_Time_Hrs]]&lt;=5,"Medium Visit","Full Day"))</f>
        <v>Short Visit</v>
      </c>
      <c r="T243" s="1" t="str">
        <f>IF(Table13[[#This Row],[Airport_50km_Radius]]="Yes","Accessible","Remote")</f>
        <v>Accessible</v>
      </c>
      <c r="U243" s="1" t="str">
        <f>IF(Table13[[#This Row],[Reiew_Rating]]&gt;=4.7,"Yes","No")</f>
        <v>Yes</v>
      </c>
      <c r="V243" s="1" t="str">
        <f t="shared" si="12"/>
        <v>Heritage &amp; Culture</v>
      </c>
      <c r="W243" s="1" t="str">
        <f t="shared" si="13"/>
        <v>★★★★★</v>
      </c>
      <c r="X243" s="1" t="str">
        <f t="shared" si="14"/>
        <v>5 / 5 Stars</v>
      </c>
      <c r="Y243" s="1" t="str">
        <f t="shared" si="15"/>
        <v>Low Traffic</v>
      </c>
    </row>
    <row r="244" spans="1:25" x14ac:dyDescent="0.3">
      <c r="A244" s="2" t="s">
        <v>87</v>
      </c>
      <c r="B244" s="2" t="s">
        <v>530</v>
      </c>
      <c r="C244" s="2" t="s">
        <v>544</v>
      </c>
      <c r="D244" s="2" t="s">
        <v>545</v>
      </c>
      <c r="E244" s="2" t="s">
        <v>106</v>
      </c>
      <c r="F244" s="1">
        <v>1863</v>
      </c>
      <c r="G244" s="1">
        <v>2</v>
      </c>
      <c r="H244" s="1">
        <v>3.9</v>
      </c>
      <c r="I244" s="1" t="str">
        <f>IF(Table13[[#This Row],[Reiew_Rating]]&gt;=4.5,"Excellent",
IF(Table13[[#This Row],[Reiew_Rating]]&gt;=4,"Good","Average"))</f>
        <v>Average</v>
      </c>
      <c r="J244" s="1">
        <v>0</v>
      </c>
      <c r="K244" s="1" t="str">
        <f>IF(Table13[[#This Row],[Entrance_Fee_INR]]=0,"Free","Paid")</f>
        <v>Free</v>
      </c>
      <c r="L244" s="2" t="s">
        <v>29</v>
      </c>
      <c r="M244" s="2" t="s">
        <v>57</v>
      </c>
      <c r="N244" s="2" t="s">
        <v>80</v>
      </c>
      <c r="O244" s="2" t="s">
        <v>19</v>
      </c>
      <c r="P244" s="3">
        <v>0.1</v>
      </c>
      <c r="Q244" s="2" t="s">
        <v>37</v>
      </c>
      <c r="R244" s="1" t="str">
        <f>IF(Table13[[#This Row],[Number_Review_Lakhs]]&gt;=1,"Highly Popular", IF(Table13[[#This Row],[Number_Review_Lakhs]]&gt;=0.5,"Popular","Less Popular"))</f>
        <v>Less Popular</v>
      </c>
      <c r="S244" s="1" t="str">
        <f>IF(Table13[[#This Row],[Visit_Time_Hrs]]&lt;=2,"Short Visit", IF(Table13[[#This Row],[Visit_Time_Hrs]]&lt;=5,"Medium Visit","Full Day"))</f>
        <v>Short Visit</v>
      </c>
      <c r="T244" s="1" t="str">
        <f>IF(Table13[[#This Row],[Airport_50km_Radius]]="Yes","Accessible","Remote")</f>
        <v>Remote</v>
      </c>
      <c r="U244" s="1" t="str">
        <f>IF(Table13[[#This Row],[Reiew_Rating]]&gt;=4.7,"Yes","No")</f>
        <v>No</v>
      </c>
      <c r="V244" s="1" t="str">
        <f t="shared" si="12"/>
        <v>Leisure &amp; Commerce</v>
      </c>
      <c r="W244" s="1" t="str">
        <f t="shared" si="13"/>
        <v>★★★★☆</v>
      </c>
      <c r="X244" s="1" t="str">
        <f t="shared" si="14"/>
        <v>4 / 5 Stars</v>
      </c>
      <c r="Y244" s="1" t="str">
        <f t="shared" si="15"/>
        <v>Low Traffic</v>
      </c>
    </row>
    <row r="245" spans="1:25" x14ac:dyDescent="0.3">
      <c r="A245" s="2" t="s">
        <v>87</v>
      </c>
      <c r="B245" s="2" t="s">
        <v>530</v>
      </c>
      <c r="C245" s="2" t="s">
        <v>546</v>
      </c>
      <c r="D245" s="2" t="s">
        <v>547</v>
      </c>
      <c r="E245" s="2" t="s">
        <v>27</v>
      </c>
      <c r="F245" s="1">
        <v>110</v>
      </c>
      <c r="G245" s="1">
        <v>1.5</v>
      </c>
      <c r="H245" s="1">
        <v>4.8</v>
      </c>
      <c r="I245" s="1" t="str">
        <f>IF(Table13[[#This Row],[Reiew_Rating]]&gt;=4.5,"Excellent",
IF(Table13[[#This Row],[Reiew_Rating]]&gt;=4,"Good","Average"))</f>
        <v>Excellent</v>
      </c>
      <c r="J245" s="1">
        <v>0</v>
      </c>
      <c r="K245" s="1" t="str">
        <f>IF(Table13[[#This Row],[Entrance_Fee_INR]]=0,"Free","Paid")</f>
        <v>Free</v>
      </c>
      <c r="L245" s="2" t="s">
        <v>19</v>
      </c>
      <c r="M245" s="2" t="s">
        <v>57</v>
      </c>
      <c r="N245" s="2" t="s">
        <v>28</v>
      </c>
      <c r="O245" s="2" t="s">
        <v>29</v>
      </c>
      <c r="P245" s="3">
        <v>0.35</v>
      </c>
      <c r="Q245" s="2" t="s">
        <v>51</v>
      </c>
      <c r="R245" s="1" t="str">
        <f>IF(Table13[[#This Row],[Number_Review_Lakhs]]&gt;=1,"Highly Popular", IF(Table13[[#This Row],[Number_Review_Lakhs]]&gt;=0.5,"Popular","Less Popular"))</f>
        <v>Less Popular</v>
      </c>
      <c r="S245" s="1" t="str">
        <f>IF(Table13[[#This Row],[Visit_Time_Hrs]]&lt;=2,"Short Visit", IF(Table13[[#This Row],[Visit_Time_Hrs]]&lt;=5,"Medium Visit","Full Day"))</f>
        <v>Short Visit</v>
      </c>
      <c r="T245" s="1" t="str">
        <f>IF(Table13[[#This Row],[Airport_50km_Radius]]="Yes","Accessible","Remote")</f>
        <v>Accessible</v>
      </c>
      <c r="U245" s="1" t="str">
        <f>IF(Table13[[#This Row],[Reiew_Rating]]&gt;=4.7,"Yes","No")</f>
        <v>Yes</v>
      </c>
      <c r="V245" s="1" t="str">
        <f t="shared" si="12"/>
        <v>Heritage &amp; Culture</v>
      </c>
      <c r="W245" s="1" t="str">
        <f t="shared" si="13"/>
        <v>★★★★★</v>
      </c>
      <c r="X245" s="1" t="str">
        <f t="shared" si="14"/>
        <v>5 / 5 Stars</v>
      </c>
      <c r="Y245" s="1" t="str">
        <f t="shared" si="15"/>
        <v>Low Traffic</v>
      </c>
    </row>
    <row r="246" spans="1:25" x14ac:dyDescent="0.3">
      <c r="A246" s="2" t="s">
        <v>87</v>
      </c>
      <c r="B246" s="2" t="s">
        <v>530</v>
      </c>
      <c r="C246" s="2" t="s">
        <v>548</v>
      </c>
      <c r="D246" s="2" t="s">
        <v>549</v>
      </c>
      <c r="E246" s="2" t="s">
        <v>27</v>
      </c>
      <c r="F246" s="1" t="s">
        <v>550</v>
      </c>
      <c r="G246" s="1">
        <v>1</v>
      </c>
      <c r="H246" s="1">
        <v>4.5999999999999996</v>
      </c>
      <c r="I246" s="1" t="str">
        <f>IF(Table13[[#This Row],[Reiew_Rating]]&gt;=4.5,"Excellent",
IF(Table13[[#This Row],[Reiew_Rating]]&gt;=4,"Good","Average"))</f>
        <v>Excellent</v>
      </c>
      <c r="J246" s="1">
        <v>40</v>
      </c>
      <c r="K246" s="1" t="str">
        <f>IF(Table13[[#This Row],[Entrance_Fee_INR]]=0,"Free","Paid")</f>
        <v>Paid</v>
      </c>
      <c r="L246" s="2" t="s">
        <v>19</v>
      </c>
      <c r="M246" s="2" t="s">
        <v>305</v>
      </c>
      <c r="N246" s="2" t="s">
        <v>21</v>
      </c>
      <c r="O246" s="2" t="s">
        <v>29</v>
      </c>
      <c r="P246" s="3">
        <v>0.09</v>
      </c>
      <c r="Q246" s="2" t="s">
        <v>51</v>
      </c>
      <c r="R246" s="1" t="str">
        <f>IF(Table13[[#This Row],[Number_Review_Lakhs]]&gt;=1,"Highly Popular", IF(Table13[[#This Row],[Number_Review_Lakhs]]&gt;=0.5,"Popular","Less Popular"))</f>
        <v>Less Popular</v>
      </c>
      <c r="S246" s="1" t="str">
        <f>IF(Table13[[#This Row],[Visit_Time_Hrs]]&lt;=2,"Short Visit", IF(Table13[[#This Row],[Visit_Time_Hrs]]&lt;=5,"Medium Visit","Full Day"))</f>
        <v>Short Visit</v>
      </c>
      <c r="T246" s="1" t="str">
        <f>IF(Table13[[#This Row],[Airport_50km_Radius]]="Yes","Accessible","Remote")</f>
        <v>Accessible</v>
      </c>
      <c r="U246" s="1" t="str">
        <f>IF(Table13[[#This Row],[Reiew_Rating]]&gt;=4.7,"Yes","No")</f>
        <v>No</v>
      </c>
      <c r="V246" s="1" t="str">
        <f t="shared" si="12"/>
        <v>Heritage &amp; Culture</v>
      </c>
      <c r="W246" s="1" t="str">
        <f t="shared" si="13"/>
        <v>★★★★★</v>
      </c>
      <c r="X246" s="1" t="str">
        <f t="shared" si="14"/>
        <v>5 / 5 Stars</v>
      </c>
      <c r="Y246" s="1" t="str">
        <f t="shared" si="15"/>
        <v>Low Traffic</v>
      </c>
    </row>
    <row r="247" spans="1:25" x14ac:dyDescent="0.3">
      <c r="A247" s="2" t="s">
        <v>87</v>
      </c>
      <c r="B247" s="2" t="s">
        <v>530</v>
      </c>
      <c r="C247" s="2" t="s">
        <v>551</v>
      </c>
      <c r="D247" s="2" t="s">
        <v>552</v>
      </c>
      <c r="E247" s="2" t="s">
        <v>106</v>
      </c>
      <c r="F247" s="1">
        <v>1465</v>
      </c>
      <c r="G247" s="1">
        <v>1</v>
      </c>
      <c r="H247" s="1">
        <v>4.2</v>
      </c>
      <c r="I247" s="1" t="str">
        <f>IF(Table13[[#This Row],[Reiew_Rating]]&gt;=4.5,"Excellent",
IF(Table13[[#This Row],[Reiew_Rating]]&gt;=4,"Good","Average"))</f>
        <v>Good</v>
      </c>
      <c r="J247" s="1">
        <v>0</v>
      </c>
      <c r="K247" s="1" t="str">
        <f>IF(Table13[[#This Row],[Entrance_Fee_INR]]=0,"Free","Paid")</f>
        <v>Free</v>
      </c>
      <c r="L247" s="2" t="s">
        <v>29</v>
      </c>
      <c r="M247" s="2" t="s">
        <v>305</v>
      </c>
      <c r="N247" s="2" t="s">
        <v>80</v>
      </c>
      <c r="O247" s="2" t="s">
        <v>19</v>
      </c>
      <c r="P247" s="3">
        <v>1.9E-2</v>
      </c>
      <c r="Q247" s="2" t="s">
        <v>37</v>
      </c>
      <c r="R247" s="1" t="str">
        <f>IF(Table13[[#This Row],[Number_Review_Lakhs]]&gt;=1,"Highly Popular", IF(Table13[[#This Row],[Number_Review_Lakhs]]&gt;=0.5,"Popular","Less Popular"))</f>
        <v>Less Popular</v>
      </c>
      <c r="S247" s="1" t="str">
        <f>IF(Table13[[#This Row],[Visit_Time_Hrs]]&lt;=2,"Short Visit", IF(Table13[[#This Row],[Visit_Time_Hrs]]&lt;=5,"Medium Visit","Full Day"))</f>
        <v>Short Visit</v>
      </c>
      <c r="T247" s="1" t="str">
        <f>IF(Table13[[#This Row],[Airport_50km_Radius]]="Yes","Accessible","Remote")</f>
        <v>Remote</v>
      </c>
      <c r="U247" s="1" t="str">
        <f>IF(Table13[[#This Row],[Reiew_Rating]]&gt;=4.7,"Yes","No")</f>
        <v>No</v>
      </c>
      <c r="V247" s="1" t="str">
        <f t="shared" si="12"/>
        <v>Leisure &amp; Commerce</v>
      </c>
      <c r="W247" s="1" t="str">
        <f t="shared" si="13"/>
        <v>★★★★☆</v>
      </c>
      <c r="X247" s="1" t="str">
        <f t="shared" si="14"/>
        <v>4 / 5 Stars</v>
      </c>
      <c r="Y247" s="1" t="str">
        <f t="shared" si="15"/>
        <v>Low Traffic</v>
      </c>
    </row>
    <row r="248" spans="1:25" x14ac:dyDescent="0.3">
      <c r="A248" s="2" t="s">
        <v>87</v>
      </c>
      <c r="B248" s="2" t="s">
        <v>530</v>
      </c>
      <c r="C248" s="2" t="s">
        <v>553</v>
      </c>
      <c r="D248" s="2" t="s">
        <v>554</v>
      </c>
      <c r="E248" s="2" t="s">
        <v>27</v>
      </c>
      <c r="F248" s="1" t="s">
        <v>550</v>
      </c>
      <c r="G248" s="1">
        <v>1</v>
      </c>
      <c r="H248" s="1">
        <v>4.5999999999999996</v>
      </c>
      <c r="I248" s="1" t="str">
        <f>IF(Table13[[#This Row],[Reiew_Rating]]&gt;=4.5,"Excellent",
IF(Table13[[#This Row],[Reiew_Rating]]&gt;=4,"Good","Average"))</f>
        <v>Excellent</v>
      </c>
      <c r="J248" s="1">
        <v>0</v>
      </c>
      <c r="K248" s="1" t="str">
        <f>IF(Table13[[#This Row],[Entrance_Fee_INR]]=0,"Free","Paid")</f>
        <v>Free</v>
      </c>
      <c r="L248" s="2" t="s">
        <v>19</v>
      </c>
      <c r="M248" s="2" t="s">
        <v>32</v>
      </c>
      <c r="N248" s="2" t="s">
        <v>28</v>
      </c>
      <c r="O248" s="2" t="s">
        <v>29</v>
      </c>
      <c r="P248" s="3">
        <v>0.16</v>
      </c>
      <c r="Q248" s="2" t="s">
        <v>51</v>
      </c>
      <c r="R248" s="1" t="str">
        <f>IF(Table13[[#This Row],[Number_Review_Lakhs]]&gt;=1,"Highly Popular", IF(Table13[[#This Row],[Number_Review_Lakhs]]&gt;=0.5,"Popular","Less Popular"))</f>
        <v>Less Popular</v>
      </c>
      <c r="S248" s="1" t="str">
        <f>IF(Table13[[#This Row],[Visit_Time_Hrs]]&lt;=2,"Short Visit", IF(Table13[[#This Row],[Visit_Time_Hrs]]&lt;=5,"Medium Visit","Full Day"))</f>
        <v>Short Visit</v>
      </c>
      <c r="T248" s="1" t="str">
        <f>IF(Table13[[#This Row],[Airport_50km_Radius]]="Yes","Accessible","Remote")</f>
        <v>Accessible</v>
      </c>
      <c r="U248" s="1" t="str">
        <f>IF(Table13[[#This Row],[Reiew_Rating]]&gt;=4.7,"Yes","No")</f>
        <v>No</v>
      </c>
      <c r="V248" s="1" t="str">
        <f t="shared" si="12"/>
        <v>Heritage &amp; Culture</v>
      </c>
      <c r="W248" s="1" t="str">
        <f t="shared" si="13"/>
        <v>★★★★★</v>
      </c>
      <c r="X248" s="1" t="str">
        <f t="shared" si="14"/>
        <v>5 / 5 Stars</v>
      </c>
      <c r="Y248" s="1" t="str">
        <f t="shared" si="15"/>
        <v>Low Traffic</v>
      </c>
    </row>
    <row r="249" spans="1:25" x14ac:dyDescent="0.3">
      <c r="A249" s="2" t="s">
        <v>87</v>
      </c>
      <c r="B249" s="2" t="s">
        <v>530</v>
      </c>
      <c r="C249" s="2" t="s">
        <v>555</v>
      </c>
      <c r="D249" s="2" t="s">
        <v>556</v>
      </c>
      <c r="E249" s="2" t="s">
        <v>27</v>
      </c>
      <c r="F249" s="1" t="s">
        <v>557</v>
      </c>
      <c r="G249" s="1">
        <v>1</v>
      </c>
      <c r="H249" s="1">
        <v>4.7</v>
      </c>
      <c r="I249" s="1" t="str">
        <f>IF(Table13[[#This Row],[Reiew_Rating]]&gt;=4.5,"Excellent",
IF(Table13[[#This Row],[Reiew_Rating]]&gt;=4,"Good","Average"))</f>
        <v>Excellent</v>
      </c>
      <c r="J249" s="1">
        <v>0</v>
      </c>
      <c r="K249" s="1" t="str">
        <f>IF(Table13[[#This Row],[Entrance_Fee_INR]]=0,"Free","Paid")</f>
        <v>Free</v>
      </c>
      <c r="L249" s="2" t="s">
        <v>19</v>
      </c>
      <c r="M249" s="2" t="s">
        <v>57</v>
      </c>
      <c r="N249" s="2" t="s">
        <v>28</v>
      </c>
      <c r="O249" s="2" t="s">
        <v>29</v>
      </c>
      <c r="P249" s="3">
        <v>0.28000000000000003</v>
      </c>
      <c r="Q249" s="2" t="s">
        <v>51</v>
      </c>
      <c r="R249" s="1" t="str">
        <f>IF(Table13[[#This Row],[Number_Review_Lakhs]]&gt;=1,"Highly Popular", IF(Table13[[#This Row],[Number_Review_Lakhs]]&gt;=0.5,"Popular","Less Popular"))</f>
        <v>Less Popular</v>
      </c>
      <c r="S249" s="1" t="str">
        <f>IF(Table13[[#This Row],[Visit_Time_Hrs]]&lt;=2,"Short Visit", IF(Table13[[#This Row],[Visit_Time_Hrs]]&lt;=5,"Medium Visit","Full Day"))</f>
        <v>Short Visit</v>
      </c>
      <c r="T249" s="1" t="str">
        <f>IF(Table13[[#This Row],[Airport_50km_Radius]]="Yes","Accessible","Remote")</f>
        <v>Accessible</v>
      </c>
      <c r="U249" s="1" t="str">
        <f>IF(Table13[[#This Row],[Reiew_Rating]]&gt;=4.7,"Yes","No")</f>
        <v>Yes</v>
      </c>
      <c r="V249" s="1" t="str">
        <f t="shared" si="12"/>
        <v>Heritage &amp; Culture</v>
      </c>
      <c r="W249" s="1" t="str">
        <f t="shared" si="13"/>
        <v>★★★★★</v>
      </c>
      <c r="X249" s="1" t="str">
        <f t="shared" si="14"/>
        <v>5 / 5 Stars</v>
      </c>
      <c r="Y249" s="1" t="str">
        <f t="shared" si="15"/>
        <v>Low Traffic</v>
      </c>
    </row>
    <row r="250" spans="1:25" x14ac:dyDescent="0.3">
      <c r="A250" s="2" t="s">
        <v>87</v>
      </c>
      <c r="B250" s="2" t="s">
        <v>558</v>
      </c>
      <c r="C250" s="2" t="s">
        <v>559</v>
      </c>
      <c r="D250" s="2" t="s">
        <v>560</v>
      </c>
      <c r="E250" s="2" t="s">
        <v>27</v>
      </c>
      <c r="F250" s="1">
        <v>1544</v>
      </c>
      <c r="G250" s="1">
        <v>1</v>
      </c>
      <c r="H250" s="1">
        <v>4.7</v>
      </c>
      <c r="I250" s="1" t="str">
        <f>IF(Table13[[#This Row],[Reiew_Rating]]&gt;=4.5,"Excellent",
IF(Table13[[#This Row],[Reiew_Rating]]&gt;=4,"Good","Average"))</f>
        <v>Excellent</v>
      </c>
      <c r="J250" s="1">
        <v>0</v>
      </c>
      <c r="K250" s="1" t="str">
        <f>IF(Table13[[#This Row],[Entrance_Fee_INR]]=0,"Free","Paid")</f>
        <v>Free</v>
      </c>
      <c r="L250" s="2" t="s">
        <v>19</v>
      </c>
      <c r="M250" s="2" t="s">
        <v>722</v>
      </c>
      <c r="N250" s="2" t="s">
        <v>28</v>
      </c>
      <c r="O250" s="2" t="s">
        <v>29</v>
      </c>
      <c r="P250" s="3">
        <v>0.44</v>
      </c>
      <c r="Q250" s="2" t="s">
        <v>51</v>
      </c>
      <c r="R250" s="1" t="str">
        <f>IF(Table13[[#This Row],[Number_Review_Lakhs]]&gt;=1,"Highly Popular", IF(Table13[[#This Row],[Number_Review_Lakhs]]&gt;=0.5,"Popular","Less Popular"))</f>
        <v>Less Popular</v>
      </c>
      <c r="S250" s="1" t="str">
        <f>IF(Table13[[#This Row],[Visit_Time_Hrs]]&lt;=2,"Short Visit", IF(Table13[[#This Row],[Visit_Time_Hrs]]&lt;=5,"Medium Visit","Full Day"))</f>
        <v>Short Visit</v>
      </c>
      <c r="T250" s="1" t="str">
        <f>IF(Table13[[#This Row],[Airport_50km_Radius]]="Yes","Accessible","Remote")</f>
        <v>Accessible</v>
      </c>
      <c r="U250" s="1" t="str">
        <f>IF(Table13[[#This Row],[Reiew_Rating]]&gt;=4.7,"Yes","No")</f>
        <v>Yes</v>
      </c>
      <c r="V250" s="1" t="str">
        <f t="shared" si="12"/>
        <v>Heritage &amp; Culture</v>
      </c>
      <c r="W250" s="1" t="str">
        <f t="shared" si="13"/>
        <v>★★★★★</v>
      </c>
      <c r="X250" s="1" t="str">
        <f t="shared" si="14"/>
        <v>5 / 5 Stars</v>
      </c>
      <c r="Y250" s="1" t="str">
        <f t="shared" si="15"/>
        <v>Medium Traffic</v>
      </c>
    </row>
    <row r="251" spans="1:25" x14ac:dyDescent="0.3">
      <c r="A251" s="2" t="s">
        <v>87</v>
      </c>
      <c r="B251" s="2" t="s">
        <v>558</v>
      </c>
      <c r="C251" s="2" t="s">
        <v>561</v>
      </c>
      <c r="D251" s="2" t="s">
        <v>562</v>
      </c>
      <c r="E251" s="2" t="s">
        <v>79</v>
      </c>
      <c r="F251" s="1">
        <v>1746</v>
      </c>
      <c r="G251" s="1">
        <v>1.5</v>
      </c>
      <c r="H251" s="1">
        <v>4.5</v>
      </c>
      <c r="I251" s="1" t="str">
        <f>IF(Table13[[#This Row],[Reiew_Rating]]&gt;=4.5,"Excellent",
IF(Table13[[#This Row],[Reiew_Rating]]&gt;=4,"Good","Average"))</f>
        <v>Excellent</v>
      </c>
      <c r="J251" s="1">
        <v>0</v>
      </c>
      <c r="K251" s="1" t="str">
        <f>IF(Table13[[#This Row],[Entrance_Fee_INR]]=0,"Free","Paid")</f>
        <v>Free</v>
      </c>
      <c r="L251" s="2" t="s">
        <v>19</v>
      </c>
      <c r="M251" s="2" t="s">
        <v>305</v>
      </c>
      <c r="N251" s="2" t="s">
        <v>80</v>
      </c>
      <c r="O251" s="2" t="s">
        <v>19</v>
      </c>
      <c r="P251" s="3">
        <v>0.39</v>
      </c>
      <c r="Q251" s="2" t="s">
        <v>37</v>
      </c>
      <c r="R251" s="1" t="str">
        <f>IF(Table13[[#This Row],[Number_Review_Lakhs]]&gt;=1,"Highly Popular", IF(Table13[[#This Row],[Number_Review_Lakhs]]&gt;=0.5,"Popular","Less Popular"))</f>
        <v>Less Popular</v>
      </c>
      <c r="S251" s="1" t="str">
        <f>IF(Table13[[#This Row],[Visit_Time_Hrs]]&lt;=2,"Short Visit", IF(Table13[[#This Row],[Visit_Time_Hrs]]&lt;=5,"Medium Visit","Full Day"))</f>
        <v>Short Visit</v>
      </c>
      <c r="T251" s="1" t="str">
        <f>IF(Table13[[#This Row],[Airport_50km_Radius]]="Yes","Accessible","Remote")</f>
        <v>Accessible</v>
      </c>
      <c r="U251" s="1" t="str">
        <f>IF(Table13[[#This Row],[Reiew_Rating]]&gt;=4.7,"Yes","No")</f>
        <v>No</v>
      </c>
      <c r="V251" s="1" t="str">
        <f t="shared" si="12"/>
        <v>Leisure &amp; Commerce</v>
      </c>
      <c r="W251" s="1" t="str">
        <f t="shared" si="13"/>
        <v>★★★★★</v>
      </c>
      <c r="X251" s="1" t="str">
        <f t="shared" si="14"/>
        <v>5 / 5 Stars</v>
      </c>
      <c r="Y251" s="1" t="str">
        <f t="shared" si="15"/>
        <v>Low Traffic</v>
      </c>
    </row>
    <row r="252" spans="1:25" x14ac:dyDescent="0.3">
      <c r="A252" s="2" t="s">
        <v>87</v>
      </c>
      <c r="B252" s="2" t="s">
        <v>558</v>
      </c>
      <c r="C252" s="2" t="s">
        <v>563</v>
      </c>
      <c r="D252" s="2" t="s">
        <v>564</v>
      </c>
      <c r="E252" s="2" t="s">
        <v>27</v>
      </c>
      <c r="F252" s="1" t="s">
        <v>565</v>
      </c>
      <c r="G252" s="1">
        <v>1</v>
      </c>
      <c r="H252" s="1">
        <v>4.7</v>
      </c>
      <c r="I252" s="1" t="str">
        <f>IF(Table13[[#This Row],[Reiew_Rating]]&gt;=4.5,"Excellent",
IF(Table13[[#This Row],[Reiew_Rating]]&gt;=4,"Good","Average"))</f>
        <v>Excellent</v>
      </c>
      <c r="J252" s="1">
        <v>0</v>
      </c>
      <c r="K252" s="1" t="str">
        <f>IF(Table13[[#This Row],[Entrance_Fee_INR]]=0,"Free","Paid")</f>
        <v>Free</v>
      </c>
      <c r="L252" s="2" t="s">
        <v>29</v>
      </c>
      <c r="M252" s="2" t="s">
        <v>721</v>
      </c>
      <c r="N252" s="2" t="s">
        <v>28</v>
      </c>
      <c r="O252" s="2" t="s">
        <v>29</v>
      </c>
      <c r="P252" s="3">
        <v>0.49</v>
      </c>
      <c r="Q252" s="2" t="s">
        <v>51</v>
      </c>
      <c r="R252" s="1" t="str">
        <f>IF(Table13[[#This Row],[Number_Review_Lakhs]]&gt;=1,"Highly Popular", IF(Table13[[#This Row],[Number_Review_Lakhs]]&gt;=0.5,"Popular","Less Popular"))</f>
        <v>Less Popular</v>
      </c>
      <c r="S252" s="1" t="str">
        <f>IF(Table13[[#This Row],[Visit_Time_Hrs]]&lt;=2,"Short Visit", IF(Table13[[#This Row],[Visit_Time_Hrs]]&lt;=5,"Medium Visit","Full Day"))</f>
        <v>Short Visit</v>
      </c>
      <c r="T252" s="1" t="str">
        <f>IF(Table13[[#This Row],[Airport_50km_Radius]]="Yes","Accessible","Remote")</f>
        <v>Remote</v>
      </c>
      <c r="U252" s="1" t="str">
        <f>IF(Table13[[#This Row],[Reiew_Rating]]&gt;=4.7,"Yes","No")</f>
        <v>Yes</v>
      </c>
      <c r="V252" s="1" t="str">
        <f t="shared" si="12"/>
        <v>Heritage &amp; Culture</v>
      </c>
      <c r="W252" s="1" t="str">
        <f t="shared" si="13"/>
        <v>★★★★★</v>
      </c>
      <c r="X252" s="1" t="str">
        <f t="shared" si="14"/>
        <v>5 / 5 Stars</v>
      </c>
      <c r="Y252" s="1" t="str">
        <f t="shared" si="15"/>
        <v>Medium Traffic</v>
      </c>
    </row>
    <row r="253" spans="1:25" x14ac:dyDescent="0.3">
      <c r="A253" s="2" t="s">
        <v>87</v>
      </c>
      <c r="B253" s="2" t="s">
        <v>558</v>
      </c>
      <c r="C253" s="2" t="s">
        <v>566</v>
      </c>
      <c r="D253" s="2" t="s">
        <v>567</v>
      </c>
      <c r="E253" s="2" t="s">
        <v>457</v>
      </c>
      <c r="F253" s="1">
        <v>1849</v>
      </c>
      <c r="G253" s="1">
        <v>2</v>
      </c>
      <c r="H253" s="1">
        <v>4.3</v>
      </c>
      <c r="I253" s="1" t="str">
        <f>IF(Table13[[#This Row],[Reiew_Rating]]&gt;=4.5,"Excellent",
IF(Table13[[#This Row],[Reiew_Rating]]&gt;=4,"Good","Average"))</f>
        <v>Good</v>
      </c>
      <c r="J253" s="1">
        <v>0</v>
      </c>
      <c r="K253" s="1" t="str">
        <f>IF(Table13[[#This Row],[Entrance_Fee_INR]]=0,"Free","Paid")</f>
        <v>Free</v>
      </c>
      <c r="L253" s="2" t="s">
        <v>19</v>
      </c>
      <c r="M253" s="2" t="s">
        <v>40</v>
      </c>
      <c r="N253" s="2" t="s">
        <v>94</v>
      </c>
      <c r="O253" s="2" t="s">
        <v>19</v>
      </c>
      <c r="P253" s="3">
        <v>3.2000000000000001E-2</v>
      </c>
      <c r="Q253" s="2" t="s">
        <v>51</v>
      </c>
      <c r="R253" s="1" t="str">
        <f>IF(Table13[[#This Row],[Number_Review_Lakhs]]&gt;=1,"Highly Popular", IF(Table13[[#This Row],[Number_Review_Lakhs]]&gt;=0.5,"Popular","Less Popular"))</f>
        <v>Less Popular</v>
      </c>
      <c r="S253" s="1" t="str">
        <f>IF(Table13[[#This Row],[Visit_Time_Hrs]]&lt;=2,"Short Visit", IF(Table13[[#This Row],[Visit_Time_Hrs]]&lt;=5,"Medium Visit","Full Day"))</f>
        <v>Short Visit</v>
      </c>
      <c r="T253" s="1" t="str">
        <f>IF(Table13[[#This Row],[Airport_50km_Radius]]="Yes","Accessible","Remote")</f>
        <v>Accessible</v>
      </c>
      <c r="U253" s="1" t="str">
        <f>IF(Table13[[#This Row],[Reiew_Rating]]&gt;=4.7,"Yes","No")</f>
        <v>No</v>
      </c>
      <c r="V253" s="1" t="str">
        <f t="shared" si="12"/>
        <v>Nature &amp; Wildlife</v>
      </c>
      <c r="W253" s="1" t="str">
        <f t="shared" si="13"/>
        <v>★★★★☆</v>
      </c>
      <c r="X253" s="1" t="str">
        <f t="shared" si="14"/>
        <v>4 / 5 Stars</v>
      </c>
      <c r="Y253" s="1" t="str">
        <f t="shared" si="15"/>
        <v>Low Traffic</v>
      </c>
    </row>
    <row r="254" spans="1:25" x14ac:dyDescent="0.3">
      <c r="A254" s="2" t="s">
        <v>87</v>
      </c>
      <c r="B254" s="2" t="s">
        <v>558</v>
      </c>
      <c r="C254" s="2" t="s">
        <v>568</v>
      </c>
      <c r="D254" s="2" t="s">
        <v>569</v>
      </c>
      <c r="E254" s="2" t="s">
        <v>134</v>
      </c>
      <c r="F254" s="1" t="s">
        <v>570</v>
      </c>
      <c r="G254" s="1">
        <v>1.5</v>
      </c>
      <c r="H254" s="1">
        <v>4.5999999999999996</v>
      </c>
      <c r="I254" s="1" t="str">
        <f>IF(Table13[[#This Row],[Reiew_Rating]]&gt;=4.5,"Excellent",
IF(Table13[[#This Row],[Reiew_Rating]]&gt;=4,"Good","Average"))</f>
        <v>Excellent</v>
      </c>
      <c r="J254" s="1">
        <v>0</v>
      </c>
      <c r="K254" s="1" t="str">
        <f>IF(Table13[[#This Row],[Entrance_Fee_INR]]=0,"Free","Paid")</f>
        <v>Free</v>
      </c>
      <c r="L254" s="2" t="s">
        <v>29</v>
      </c>
      <c r="M254" s="2" t="s">
        <v>32</v>
      </c>
      <c r="N254" s="2" t="s">
        <v>21</v>
      </c>
      <c r="O254" s="2" t="s">
        <v>19</v>
      </c>
      <c r="P254" s="3">
        <v>7.4999999999999997E-2</v>
      </c>
      <c r="Q254" s="2" t="s">
        <v>51</v>
      </c>
      <c r="R254" s="1" t="str">
        <f>IF(Table13[[#This Row],[Number_Review_Lakhs]]&gt;=1,"Highly Popular", IF(Table13[[#This Row],[Number_Review_Lakhs]]&gt;=0.5,"Popular","Less Popular"))</f>
        <v>Less Popular</v>
      </c>
      <c r="S254" s="1" t="str">
        <f>IF(Table13[[#This Row],[Visit_Time_Hrs]]&lt;=2,"Short Visit", IF(Table13[[#This Row],[Visit_Time_Hrs]]&lt;=5,"Medium Visit","Full Day"))</f>
        <v>Short Visit</v>
      </c>
      <c r="T254" s="1" t="str">
        <f>IF(Table13[[#This Row],[Airport_50km_Radius]]="Yes","Accessible","Remote")</f>
        <v>Remote</v>
      </c>
      <c r="U254" s="1" t="str">
        <f>IF(Table13[[#This Row],[Reiew_Rating]]&gt;=4.7,"Yes","No")</f>
        <v>No</v>
      </c>
      <c r="V254" s="1" t="str">
        <f t="shared" si="12"/>
        <v>Heritage &amp; Culture</v>
      </c>
      <c r="W254" s="1" t="str">
        <f t="shared" si="13"/>
        <v>★★★★★</v>
      </c>
      <c r="X254" s="1" t="str">
        <f t="shared" si="14"/>
        <v>5 / 5 Stars</v>
      </c>
      <c r="Y254" s="1" t="str">
        <f t="shared" si="15"/>
        <v>Low Traffic</v>
      </c>
    </row>
    <row r="255" spans="1:25" x14ac:dyDescent="0.3">
      <c r="A255" s="2" t="s">
        <v>87</v>
      </c>
      <c r="B255" s="2" t="s">
        <v>558</v>
      </c>
      <c r="C255" s="2" t="s">
        <v>571</v>
      </c>
      <c r="D255" s="2" t="s">
        <v>572</v>
      </c>
      <c r="E255" s="2" t="s">
        <v>263</v>
      </c>
      <c r="F255" s="1">
        <v>1989</v>
      </c>
      <c r="G255" s="1">
        <v>1.5</v>
      </c>
      <c r="H255" s="1">
        <v>4.4000000000000004</v>
      </c>
      <c r="I255" s="1" t="str">
        <f>IF(Table13[[#This Row],[Reiew_Rating]]&gt;=4.5,"Excellent",
IF(Table13[[#This Row],[Reiew_Rating]]&gt;=4,"Good","Average"))</f>
        <v>Good</v>
      </c>
      <c r="J255" s="1">
        <v>65</v>
      </c>
      <c r="K255" s="1" t="str">
        <f>IF(Table13[[#This Row],[Entrance_Fee_INR]]=0,"Free","Paid")</f>
        <v>Paid</v>
      </c>
      <c r="L255" s="2" t="s">
        <v>19</v>
      </c>
      <c r="M255" s="2" t="s">
        <v>40</v>
      </c>
      <c r="N255" s="2" t="s">
        <v>573</v>
      </c>
      <c r="O255" s="2" t="s">
        <v>19</v>
      </c>
      <c r="P255" s="3">
        <v>0.11</v>
      </c>
      <c r="Q255" s="2" t="s">
        <v>25</v>
      </c>
      <c r="R255" s="1" t="str">
        <f>IF(Table13[[#This Row],[Number_Review_Lakhs]]&gt;=1,"Highly Popular", IF(Table13[[#This Row],[Number_Review_Lakhs]]&gt;=0.5,"Popular","Less Popular"))</f>
        <v>Less Popular</v>
      </c>
      <c r="S255" s="1" t="str">
        <f>IF(Table13[[#This Row],[Visit_Time_Hrs]]&lt;=2,"Short Visit", IF(Table13[[#This Row],[Visit_Time_Hrs]]&lt;=5,"Medium Visit","Full Day"))</f>
        <v>Short Visit</v>
      </c>
      <c r="T255" s="1" t="str">
        <f>IF(Table13[[#This Row],[Airport_50km_Radius]]="Yes","Accessible","Remote")</f>
        <v>Accessible</v>
      </c>
      <c r="U255" s="1" t="str">
        <f>IF(Table13[[#This Row],[Reiew_Rating]]&gt;=4.7,"Yes","No")</f>
        <v>No</v>
      </c>
      <c r="V255" s="1" t="str">
        <f t="shared" si="12"/>
        <v>Other</v>
      </c>
      <c r="W255" s="1" t="str">
        <f t="shared" si="13"/>
        <v>★★★★☆</v>
      </c>
      <c r="X255" s="1" t="str">
        <f t="shared" si="14"/>
        <v>4 / 5 Stars</v>
      </c>
      <c r="Y255" s="1" t="str">
        <f t="shared" si="15"/>
        <v>Low Traffic</v>
      </c>
    </row>
    <row r="256" spans="1:25" x14ac:dyDescent="0.3">
      <c r="A256" s="2" t="s">
        <v>87</v>
      </c>
      <c r="B256" s="2" t="s">
        <v>558</v>
      </c>
      <c r="C256" s="2" t="s">
        <v>574</v>
      </c>
      <c r="D256" s="2" t="s">
        <v>575</v>
      </c>
      <c r="E256" s="2" t="s">
        <v>27</v>
      </c>
      <c r="F256" s="1">
        <v>1571</v>
      </c>
      <c r="G256" s="1">
        <v>1</v>
      </c>
      <c r="H256" s="1">
        <v>4.7</v>
      </c>
      <c r="I256" s="1" t="str">
        <f>IF(Table13[[#This Row],[Reiew_Rating]]&gt;=4.5,"Excellent",
IF(Table13[[#This Row],[Reiew_Rating]]&gt;=4,"Good","Average"))</f>
        <v>Excellent</v>
      </c>
      <c r="J256" s="1">
        <v>0</v>
      </c>
      <c r="K256" s="1" t="str">
        <f>IF(Table13[[#This Row],[Entrance_Fee_INR]]=0,"Free","Paid")</f>
        <v>Free</v>
      </c>
      <c r="L256" s="2" t="s">
        <v>19</v>
      </c>
      <c r="M256" s="2" t="s">
        <v>720</v>
      </c>
      <c r="N256" s="2" t="s">
        <v>28</v>
      </c>
      <c r="O256" s="2" t="s">
        <v>29</v>
      </c>
      <c r="P256" s="3">
        <v>4.1000000000000002E-2</v>
      </c>
      <c r="Q256" s="2" t="s">
        <v>51</v>
      </c>
      <c r="R256" s="1" t="str">
        <f>IF(Table13[[#This Row],[Number_Review_Lakhs]]&gt;=1,"Highly Popular", IF(Table13[[#This Row],[Number_Review_Lakhs]]&gt;=0.5,"Popular","Less Popular"))</f>
        <v>Less Popular</v>
      </c>
      <c r="S256" s="1" t="str">
        <f>IF(Table13[[#This Row],[Visit_Time_Hrs]]&lt;=2,"Short Visit", IF(Table13[[#This Row],[Visit_Time_Hrs]]&lt;=5,"Medium Visit","Full Day"))</f>
        <v>Short Visit</v>
      </c>
      <c r="T256" s="1" t="str">
        <f>IF(Table13[[#This Row],[Airport_50km_Radius]]="Yes","Accessible","Remote")</f>
        <v>Accessible</v>
      </c>
      <c r="U256" s="1" t="str">
        <f>IF(Table13[[#This Row],[Reiew_Rating]]&gt;=4.7,"Yes","No")</f>
        <v>Yes</v>
      </c>
      <c r="V256" s="1" t="str">
        <f t="shared" si="12"/>
        <v>Heritage &amp; Culture</v>
      </c>
      <c r="W256" s="1" t="str">
        <f t="shared" si="13"/>
        <v>★★★★★</v>
      </c>
      <c r="X256" s="1" t="str">
        <f t="shared" si="14"/>
        <v>5 / 5 Stars</v>
      </c>
      <c r="Y256" s="1" t="str">
        <f t="shared" si="15"/>
        <v>Low Traffic</v>
      </c>
    </row>
    <row r="257" spans="1:25" x14ac:dyDescent="0.3">
      <c r="A257" s="2" t="s">
        <v>87</v>
      </c>
      <c r="B257" s="2" t="s">
        <v>558</v>
      </c>
      <c r="C257" s="2" t="s">
        <v>576</v>
      </c>
      <c r="D257" s="2" t="s">
        <v>577</v>
      </c>
      <c r="E257" s="2" t="s">
        <v>153</v>
      </c>
      <c r="F257" s="1">
        <v>1469</v>
      </c>
      <c r="G257" s="1">
        <v>1</v>
      </c>
      <c r="H257" s="1">
        <v>4.4000000000000004</v>
      </c>
      <c r="I257" s="1" t="str">
        <f>IF(Table13[[#This Row],[Reiew_Rating]]&gt;=4.5,"Excellent",
IF(Table13[[#This Row],[Reiew_Rating]]&gt;=4,"Good","Average"))</f>
        <v>Good</v>
      </c>
      <c r="J257" s="1">
        <v>10</v>
      </c>
      <c r="K257" s="1" t="str">
        <f>IF(Table13[[#This Row],[Entrance_Fee_INR]]=0,"Free","Paid")</f>
        <v>Paid</v>
      </c>
      <c r="L257" s="2" t="s">
        <v>19</v>
      </c>
      <c r="M257" s="2" t="s">
        <v>57</v>
      </c>
      <c r="N257" s="2" t="s">
        <v>73</v>
      </c>
      <c r="O257" s="2" t="s">
        <v>19</v>
      </c>
      <c r="P257" s="3">
        <v>0.7</v>
      </c>
      <c r="Q257" s="2" t="s">
        <v>51</v>
      </c>
      <c r="R257" s="1" t="str">
        <f>IF(Table13[[#This Row],[Number_Review_Lakhs]]&gt;=1,"Highly Popular", IF(Table13[[#This Row],[Number_Review_Lakhs]]&gt;=0.5,"Popular","Less Popular"))</f>
        <v>Popular</v>
      </c>
      <c r="S257" s="1" t="str">
        <f>IF(Table13[[#This Row],[Visit_Time_Hrs]]&lt;=2,"Short Visit", IF(Table13[[#This Row],[Visit_Time_Hrs]]&lt;=5,"Medium Visit","Full Day"))</f>
        <v>Short Visit</v>
      </c>
      <c r="T257" s="1" t="str">
        <f>IF(Table13[[#This Row],[Airport_50km_Radius]]="Yes","Accessible","Remote")</f>
        <v>Accessible</v>
      </c>
      <c r="U257" s="1" t="str">
        <f>IF(Table13[[#This Row],[Reiew_Rating]]&gt;=4.7,"Yes","No")</f>
        <v>No</v>
      </c>
      <c r="V257" s="1" t="str">
        <f t="shared" si="12"/>
        <v>Nature &amp; Wildlife</v>
      </c>
      <c r="W257" s="1" t="str">
        <f t="shared" si="13"/>
        <v>★★★★☆</v>
      </c>
      <c r="X257" s="1" t="str">
        <f t="shared" si="14"/>
        <v>4 / 5 Stars</v>
      </c>
      <c r="Y257" s="1" t="str">
        <f t="shared" si="15"/>
        <v>Medium Traffic</v>
      </c>
    </row>
    <row r="258" spans="1:25" x14ac:dyDescent="0.3">
      <c r="A258" s="2" t="s">
        <v>87</v>
      </c>
      <c r="B258" s="2" t="s">
        <v>558</v>
      </c>
      <c r="C258" s="2" t="s">
        <v>578</v>
      </c>
      <c r="D258" s="2" t="s">
        <v>579</v>
      </c>
      <c r="E258" s="2" t="s">
        <v>43</v>
      </c>
      <c r="F258" s="1" t="s">
        <v>505</v>
      </c>
      <c r="G258" s="1">
        <v>1.5</v>
      </c>
      <c r="H258" s="1">
        <v>4.5</v>
      </c>
      <c r="I258" s="1" t="str">
        <f>IF(Table13[[#This Row],[Reiew_Rating]]&gt;=4.5,"Excellent",
IF(Table13[[#This Row],[Reiew_Rating]]&gt;=4,"Good","Average"))</f>
        <v>Excellent</v>
      </c>
      <c r="J258" s="1">
        <v>0</v>
      </c>
      <c r="K258" s="1" t="str">
        <f>IF(Table13[[#This Row],[Entrance_Fee_INR]]=0,"Free","Paid")</f>
        <v>Free</v>
      </c>
      <c r="L258" s="2" t="s">
        <v>29</v>
      </c>
      <c r="M258" s="2" t="s">
        <v>720</v>
      </c>
      <c r="N258" s="2" t="s">
        <v>21</v>
      </c>
      <c r="O258" s="2" t="s">
        <v>19</v>
      </c>
      <c r="P258" s="3">
        <v>1.4999999999999999E-2</v>
      </c>
      <c r="Q258" s="2" t="s">
        <v>37</v>
      </c>
      <c r="R258" s="1" t="str">
        <f>IF(Table13[[#This Row],[Number_Review_Lakhs]]&gt;=1,"Highly Popular", IF(Table13[[#This Row],[Number_Review_Lakhs]]&gt;=0.5,"Popular","Less Popular"))</f>
        <v>Less Popular</v>
      </c>
      <c r="S258" s="1" t="str">
        <f>IF(Table13[[#This Row],[Visit_Time_Hrs]]&lt;=2,"Short Visit", IF(Table13[[#This Row],[Visit_Time_Hrs]]&lt;=5,"Medium Visit","Full Day"))</f>
        <v>Short Visit</v>
      </c>
      <c r="T258" s="1" t="str">
        <f>IF(Table13[[#This Row],[Airport_50km_Radius]]="Yes","Accessible","Remote")</f>
        <v>Remote</v>
      </c>
      <c r="U258" s="1" t="str">
        <f>IF(Table13[[#This Row],[Reiew_Rating]]&gt;=4.7,"Yes","No")</f>
        <v>No</v>
      </c>
      <c r="V258" s="1" t="str">
        <f t="shared" ref="V258:V326" si="16">IF(OR(N258="Historical",N258="Artistic",N258="Religious",N258="Architectural"), "Heritage &amp; Culture",
IF(OR(N258="Environmental",N258="Botanical",N258="Scenic",N258="Wildlife",N258="Nature"), "Nature &amp; Wildlife",
IF(OR(N258="Recreational",N258="Market",N258="Entertainment"), "Leisure &amp; Commerce",
IF(N258="Scientific", "Science &amp; Education", "Other"))))</f>
        <v>Heritage &amp; Culture</v>
      </c>
      <c r="W258" s="1" t="str">
        <f t="shared" ref="W258:W326" si="17">REPT("★", ROUND(H258, 0)) &amp; REPT("☆", 5 - ROUND(H258, 0))</f>
        <v>★★★★★</v>
      </c>
      <c r="X258" s="1" t="str">
        <f t="shared" ref="X258:X326" si="18">ROUND(H258, 0) &amp; " / 5 Stars"</f>
        <v>5 / 5 Stars</v>
      </c>
      <c r="Y258" s="1" t="str">
        <f t="shared" ref="Y258:Y326" si="19">IF(P258&gt;=1.5, "High Traffic", IF(P258&gt;=0.4, "Medium Traffic", "Low Traffic"))</f>
        <v>Low Traffic</v>
      </c>
    </row>
    <row r="259" spans="1:25" x14ac:dyDescent="0.3">
      <c r="A259" s="2" t="s">
        <v>87</v>
      </c>
      <c r="B259" s="2" t="s">
        <v>558</v>
      </c>
      <c r="C259" s="2" t="s">
        <v>580</v>
      </c>
      <c r="D259" s="2" t="s">
        <v>581</v>
      </c>
      <c r="E259" s="2" t="s">
        <v>582</v>
      </c>
      <c r="F259" s="1">
        <v>1950</v>
      </c>
      <c r="G259" s="1">
        <v>1</v>
      </c>
      <c r="H259" s="1">
        <v>4.7</v>
      </c>
      <c r="I259" s="1" t="str">
        <f>IF(Table13[[#This Row],[Reiew_Rating]]&gt;=4.5,"Excellent",
IF(Table13[[#This Row],[Reiew_Rating]]&gt;=4,"Good","Average"))</f>
        <v>Excellent</v>
      </c>
      <c r="J259" s="1">
        <v>0</v>
      </c>
      <c r="K259" s="1" t="str">
        <f>IF(Table13[[#This Row],[Entrance_Fee_INR]]=0,"Free","Paid")</f>
        <v>Free</v>
      </c>
      <c r="L259" s="2" t="s">
        <v>19</v>
      </c>
      <c r="M259" s="2" t="s">
        <v>722</v>
      </c>
      <c r="N259" s="2" t="s">
        <v>28</v>
      </c>
      <c r="O259" s="2" t="s">
        <v>19</v>
      </c>
      <c r="P259" s="3">
        <v>0.12</v>
      </c>
      <c r="Q259" s="2" t="s">
        <v>51</v>
      </c>
      <c r="R259" s="1" t="str">
        <f>IF(Table13[[#This Row],[Number_Review_Lakhs]]&gt;=1,"Highly Popular", IF(Table13[[#This Row],[Number_Review_Lakhs]]&gt;=0.5,"Popular","Less Popular"))</f>
        <v>Less Popular</v>
      </c>
      <c r="S259" s="1" t="str">
        <f>IF(Table13[[#This Row],[Visit_Time_Hrs]]&lt;=2,"Short Visit", IF(Table13[[#This Row],[Visit_Time_Hrs]]&lt;=5,"Medium Visit","Full Day"))</f>
        <v>Short Visit</v>
      </c>
      <c r="T259" s="1" t="str">
        <f>IF(Table13[[#This Row],[Airport_50km_Radius]]="Yes","Accessible","Remote")</f>
        <v>Accessible</v>
      </c>
      <c r="U259" s="1" t="str">
        <f>IF(Table13[[#This Row],[Reiew_Rating]]&gt;=4.7,"Yes","No")</f>
        <v>Yes</v>
      </c>
      <c r="V259" s="1" t="str">
        <f t="shared" si="16"/>
        <v>Heritage &amp; Culture</v>
      </c>
      <c r="W259" s="1" t="str">
        <f t="shared" si="17"/>
        <v>★★★★★</v>
      </c>
      <c r="X259" s="1" t="str">
        <f t="shared" si="18"/>
        <v>5 / 5 Stars</v>
      </c>
      <c r="Y259" s="1" t="str">
        <f t="shared" si="19"/>
        <v>Low Traffic</v>
      </c>
    </row>
    <row r="260" spans="1:25" x14ac:dyDescent="0.3">
      <c r="A260" s="2" t="s">
        <v>87</v>
      </c>
      <c r="B260" s="2" t="s">
        <v>558</v>
      </c>
      <c r="C260" s="2" t="s">
        <v>583</v>
      </c>
      <c r="D260" s="2" t="s">
        <v>584</v>
      </c>
      <c r="E260" s="2" t="s">
        <v>27</v>
      </c>
      <c r="F260" s="1">
        <v>198</v>
      </c>
      <c r="G260" s="1">
        <v>1</v>
      </c>
      <c r="H260" s="1">
        <v>4.7</v>
      </c>
      <c r="I260" s="1" t="str">
        <f>IF(Table13[[#This Row],[Reiew_Rating]]&gt;=4.5,"Excellent",
IF(Table13[[#This Row],[Reiew_Rating]]&gt;=4,"Good","Average"))</f>
        <v>Excellent</v>
      </c>
      <c r="J260" s="1">
        <v>0</v>
      </c>
      <c r="K260" s="1" t="str">
        <f>IF(Table13[[#This Row],[Entrance_Fee_INR]]=0,"Free","Paid")</f>
        <v>Free</v>
      </c>
      <c r="L260" s="2" t="s">
        <v>19</v>
      </c>
      <c r="M260" s="2" t="s">
        <v>57</v>
      </c>
      <c r="N260" s="2" t="s">
        <v>28</v>
      </c>
      <c r="O260" s="2" t="s">
        <v>29</v>
      </c>
      <c r="P260" s="3">
        <v>0.59</v>
      </c>
      <c r="Q260" s="2" t="s">
        <v>51</v>
      </c>
      <c r="R260" s="1" t="str">
        <f>IF(Table13[[#This Row],[Number_Review_Lakhs]]&gt;=1,"Highly Popular", IF(Table13[[#This Row],[Number_Review_Lakhs]]&gt;=0.5,"Popular","Less Popular"))</f>
        <v>Popular</v>
      </c>
      <c r="S260" s="1" t="str">
        <f>IF(Table13[[#This Row],[Visit_Time_Hrs]]&lt;=2,"Short Visit", IF(Table13[[#This Row],[Visit_Time_Hrs]]&lt;=5,"Medium Visit","Full Day"))</f>
        <v>Short Visit</v>
      </c>
      <c r="T260" s="1" t="str">
        <f>IF(Table13[[#This Row],[Airport_50km_Radius]]="Yes","Accessible","Remote")</f>
        <v>Accessible</v>
      </c>
      <c r="U260" s="1" t="str">
        <f>IF(Table13[[#This Row],[Reiew_Rating]]&gt;=4.7,"Yes","No")</f>
        <v>Yes</v>
      </c>
      <c r="V260" s="1" t="str">
        <f t="shared" si="16"/>
        <v>Heritage &amp; Culture</v>
      </c>
      <c r="W260" s="1" t="str">
        <f t="shared" si="17"/>
        <v>★★★★★</v>
      </c>
      <c r="X260" s="1" t="str">
        <f t="shared" si="18"/>
        <v>5 / 5 Stars</v>
      </c>
      <c r="Y260" s="1" t="str">
        <f t="shared" si="19"/>
        <v>Medium Traffic</v>
      </c>
    </row>
    <row r="261" spans="1:25" x14ac:dyDescent="0.3">
      <c r="A261" s="2" t="s">
        <v>87</v>
      </c>
      <c r="B261" s="2" t="s">
        <v>558</v>
      </c>
      <c r="C261" s="2" t="s">
        <v>561</v>
      </c>
      <c r="D261" s="2" t="s">
        <v>585</v>
      </c>
      <c r="E261" s="2" t="s">
        <v>457</v>
      </c>
      <c r="F261" s="1">
        <v>1937</v>
      </c>
      <c r="G261" s="1">
        <v>2</v>
      </c>
      <c r="H261" s="1">
        <v>4.5</v>
      </c>
      <c r="I261" s="1" t="str">
        <f>IF(Table13[[#This Row],[Reiew_Rating]]&gt;=4.5,"Excellent",
IF(Table13[[#This Row],[Reiew_Rating]]&gt;=4,"Good","Average"))</f>
        <v>Excellent</v>
      </c>
      <c r="J261" s="1">
        <v>0</v>
      </c>
      <c r="K261" s="1" t="str">
        <f>IF(Table13[[#This Row],[Entrance_Fee_INR]]=0,"Free","Paid")</f>
        <v>Free</v>
      </c>
      <c r="L261" s="2" t="s">
        <v>19</v>
      </c>
      <c r="M261" s="2" t="s">
        <v>720</v>
      </c>
      <c r="N261" s="2" t="s">
        <v>80</v>
      </c>
      <c r="O261" s="2" t="s">
        <v>19</v>
      </c>
      <c r="P261" s="3">
        <v>1.9E-2</v>
      </c>
      <c r="Q261" s="2" t="s">
        <v>51</v>
      </c>
      <c r="R261" s="1" t="str">
        <f>IF(Table13[[#This Row],[Number_Review_Lakhs]]&gt;=1,"Highly Popular", IF(Table13[[#This Row],[Number_Review_Lakhs]]&gt;=0.5,"Popular","Less Popular"))</f>
        <v>Less Popular</v>
      </c>
      <c r="S261" s="1" t="str">
        <f>IF(Table13[[#This Row],[Visit_Time_Hrs]]&lt;=2,"Short Visit", IF(Table13[[#This Row],[Visit_Time_Hrs]]&lt;=5,"Medium Visit","Full Day"))</f>
        <v>Short Visit</v>
      </c>
      <c r="T261" s="1" t="str">
        <f>IF(Table13[[#This Row],[Airport_50km_Radius]]="Yes","Accessible","Remote")</f>
        <v>Accessible</v>
      </c>
      <c r="U261" s="1" t="str">
        <f>IF(Table13[[#This Row],[Reiew_Rating]]&gt;=4.7,"Yes","No")</f>
        <v>No</v>
      </c>
      <c r="V261" s="1" t="str">
        <f t="shared" si="16"/>
        <v>Leisure &amp; Commerce</v>
      </c>
      <c r="W261" s="1" t="str">
        <f t="shared" si="17"/>
        <v>★★★★★</v>
      </c>
      <c r="X261" s="1" t="str">
        <f t="shared" si="18"/>
        <v>5 / 5 Stars</v>
      </c>
      <c r="Y261" s="1" t="str">
        <f t="shared" si="19"/>
        <v>Low Traffic</v>
      </c>
    </row>
    <row r="262" spans="1:25" x14ac:dyDescent="0.3">
      <c r="A262" s="2" t="s">
        <v>87</v>
      </c>
      <c r="B262" s="2" t="s">
        <v>558</v>
      </c>
      <c r="C262" s="2" t="s">
        <v>561</v>
      </c>
      <c r="D262" s="2" t="s">
        <v>586</v>
      </c>
      <c r="E262" s="2" t="s">
        <v>53</v>
      </c>
      <c r="F262" s="1">
        <v>22</v>
      </c>
      <c r="G262" s="1">
        <v>1</v>
      </c>
      <c r="H262" s="1">
        <v>4.5999999999999996</v>
      </c>
      <c r="I262" s="1" t="str">
        <f>IF(Table13[[#This Row],[Reiew_Rating]]&gt;=4.5,"Excellent",
IF(Table13[[#This Row],[Reiew_Rating]]&gt;=4,"Good","Average"))</f>
        <v>Excellent</v>
      </c>
      <c r="J262" s="1">
        <v>40</v>
      </c>
      <c r="K262" s="1" t="str">
        <f>IF(Table13[[#This Row],[Entrance_Fee_INR]]=0,"Free","Paid")</f>
        <v>Paid</v>
      </c>
      <c r="L262" s="2" t="s">
        <v>19</v>
      </c>
      <c r="M262" s="2" t="s">
        <v>57</v>
      </c>
      <c r="N262" s="2" t="s">
        <v>21</v>
      </c>
      <c r="O262" s="2" t="s">
        <v>19</v>
      </c>
      <c r="P262" s="3">
        <v>0.49</v>
      </c>
      <c r="Q262" s="2" t="s">
        <v>51</v>
      </c>
      <c r="R262" s="1" t="str">
        <f>IF(Table13[[#This Row],[Number_Review_Lakhs]]&gt;=1,"Highly Popular", IF(Table13[[#This Row],[Number_Review_Lakhs]]&gt;=0.5,"Popular","Less Popular"))</f>
        <v>Less Popular</v>
      </c>
      <c r="S262" s="1" t="str">
        <f>IF(Table13[[#This Row],[Visit_Time_Hrs]]&lt;=2,"Short Visit", IF(Table13[[#This Row],[Visit_Time_Hrs]]&lt;=5,"Medium Visit","Full Day"))</f>
        <v>Short Visit</v>
      </c>
      <c r="T262" s="1" t="str">
        <f>IF(Table13[[#This Row],[Airport_50km_Radius]]="Yes","Accessible","Remote")</f>
        <v>Accessible</v>
      </c>
      <c r="U262" s="1" t="str">
        <f>IF(Table13[[#This Row],[Reiew_Rating]]&gt;=4.7,"Yes","No")</f>
        <v>No</v>
      </c>
      <c r="V262" s="1" t="str">
        <f t="shared" si="16"/>
        <v>Heritage &amp; Culture</v>
      </c>
      <c r="W262" s="1" t="str">
        <f t="shared" si="17"/>
        <v>★★★★★</v>
      </c>
      <c r="X262" s="1" t="str">
        <f t="shared" si="18"/>
        <v>5 / 5 Stars</v>
      </c>
      <c r="Y262" s="1" t="str">
        <f t="shared" si="19"/>
        <v>Medium Traffic</v>
      </c>
    </row>
    <row r="263" spans="1:25" x14ac:dyDescent="0.3">
      <c r="A263" s="2" t="s">
        <v>87</v>
      </c>
      <c r="B263" s="2" t="s">
        <v>558</v>
      </c>
      <c r="C263" s="2" t="s">
        <v>561</v>
      </c>
      <c r="D263" s="2" t="s">
        <v>587</v>
      </c>
      <c r="E263" s="2" t="s">
        <v>263</v>
      </c>
      <c r="F263" s="1">
        <v>1545</v>
      </c>
      <c r="G263" s="1">
        <v>2</v>
      </c>
      <c r="H263" s="1">
        <v>4.5</v>
      </c>
      <c r="I263" s="1" t="str">
        <f>IF(Table13[[#This Row],[Reiew_Rating]]&gt;=4.5,"Excellent",
IF(Table13[[#This Row],[Reiew_Rating]]&gt;=4,"Good","Average"))</f>
        <v>Excellent</v>
      </c>
      <c r="J263" s="1">
        <v>60</v>
      </c>
      <c r="K263" s="1" t="str">
        <f>IF(Table13[[#This Row],[Entrance_Fee_INR]]=0,"Free","Paid")</f>
        <v>Paid</v>
      </c>
      <c r="L263" s="2" t="s">
        <v>29</v>
      </c>
      <c r="M263" s="2" t="s">
        <v>40</v>
      </c>
      <c r="N263" s="2" t="s">
        <v>573</v>
      </c>
      <c r="O263" s="2" t="s">
        <v>19</v>
      </c>
      <c r="P263" s="3">
        <v>0.31</v>
      </c>
      <c r="Q263" s="2" t="s">
        <v>25</v>
      </c>
      <c r="R263" s="1" t="str">
        <f>IF(Table13[[#This Row],[Number_Review_Lakhs]]&gt;=1,"Highly Popular", IF(Table13[[#This Row],[Number_Review_Lakhs]]&gt;=0.5,"Popular","Less Popular"))</f>
        <v>Less Popular</v>
      </c>
      <c r="S263" s="1" t="str">
        <f>IF(Table13[[#This Row],[Visit_Time_Hrs]]&lt;=2,"Short Visit", IF(Table13[[#This Row],[Visit_Time_Hrs]]&lt;=5,"Medium Visit","Full Day"))</f>
        <v>Short Visit</v>
      </c>
      <c r="T263" s="1" t="str">
        <f>IF(Table13[[#This Row],[Airport_50km_Radius]]="Yes","Accessible","Remote")</f>
        <v>Remote</v>
      </c>
      <c r="U263" s="1" t="str">
        <f>IF(Table13[[#This Row],[Reiew_Rating]]&gt;=4.7,"Yes","No")</f>
        <v>No</v>
      </c>
      <c r="V263" s="1" t="str">
        <f t="shared" si="16"/>
        <v>Other</v>
      </c>
      <c r="W263" s="1" t="str">
        <f t="shared" si="17"/>
        <v>★★★★★</v>
      </c>
      <c r="X263" s="1" t="str">
        <f t="shared" si="18"/>
        <v>5 / 5 Stars</v>
      </c>
      <c r="Y263" s="1" t="str">
        <f t="shared" si="19"/>
        <v>Low Traffic</v>
      </c>
    </row>
    <row r="264" spans="1:25" x14ac:dyDescent="0.3">
      <c r="A264" s="2" t="s">
        <v>87</v>
      </c>
      <c r="B264" s="2" t="s">
        <v>558</v>
      </c>
      <c r="C264" s="2" t="s">
        <v>561</v>
      </c>
      <c r="D264" s="2" t="s">
        <v>18</v>
      </c>
      <c r="E264" s="2" t="s">
        <v>18</v>
      </c>
      <c r="F264" s="1">
        <v>1992</v>
      </c>
      <c r="G264" s="1">
        <v>1</v>
      </c>
      <c r="H264" s="1">
        <v>4.5999999999999996</v>
      </c>
      <c r="I264" s="1" t="str">
        <f>IF(Table13[[#This Row],[Reiew_Rating]]&gt;=4.5,"Excellent",
IF(Table13[[#This Row],[Reiew_Rating]]&gt;=4,"Good","Average"))</f>
        <v>Excellent</v>
      </c>
      <c r="J264" s="1">
        <v>0</v>
      </c>
      <c r="K264" s="1" t="str">
        <f>IF(Table13[[#This Row],[Entrance_Fee_INR]]=0,"Free","Paid")</f>
        <v>Free</v>
      </c>
      <c r="L264" s="2" t="s">
        <v>19</v>
      </c>
      <c r="M264" s="2" t="s">
        <v>722</v>
      </c>
      <c r="N264" s="2" t="s">
        <v>21</v>
      </c>
      <c r="O264" s="2" t="s">
        <v>19</v>
      </c>
      <c r="P264" s="3">
        <v>5.8999999999999997E-2</v>
      </c>
      <c r="Q264" s="2" t="s">
        <v>51</v>
      </c>
      <c r="R264" s="1" t="str">
        <f>IF(Table13[[#This Row],[Number_Review_Lakhs]]&gt;=1,"Highly Popular", IF(Table13[[#This Row],[Number_Review_Lakhs]]&gt;=0.5,"Popular","Less Popular"))</f>
        <v>Less Popular</v>
      </c>
      <c r="S264" s="1" t="str">
        <f>IF(Table13[[#This Row],[Visit_Time_Hrs]]&lt;=2,"Short Visit", IF(Table13[[#This Row],[Visit_Time_Hrs]]&lt;=5,"Medium Visit","Full Day"))</f>
        <v>Short Visit</v>
      </c>
      <c r="T264" s="1" t="str">
        <f>IF(Table13[[#This Row],[Airport_50km_Radius]]="Yes","Accessible","Remote")</f>
        <v>Accessible</v>
      </c>
      <c r="U264" s="1" t="str">
        <f>IF(Table13[[#This Row],[Reiew_Rating]]&gt;=4.7,"Yes","No")</f>
        <v>No</v>
      </c>
      <c r="V264" s="1" t="str">
        <f t="shared" si="16"/>
        <v>Heritage &amp; Culture</v>
      </c>
      <c r="W264" s="1" t="str">
        <f t="shared" si="17"/>
        <v>★★★★★</v>
      </c>
      <c r="X264" s="1" t="str">
        <f t="shared" si="18"/>
        <v>5 / 5 Stars</v>
      </c>
      <c r="Y264" s="1" t="str">
        <f t="shared" si="19"/>
        <v>Low Traffic</v>
      </c>
    </row>
    <row r="265" spans="1:25" x14ac:dyDescent="0.3">
      <c r="A265" s="2" t="s">
        <v>87</v>
      </c>
      <c r="B265" s="2" t="s">
        <v>558</v>
      </c>
      <c r="C265" s="2" t="s">
        <v>561</v>
      </c>
      <c r="D265" s="2" t="s">
        <v>588</v>
      </c>
      <c r="E265" s="2" t="s">
        <v>56</v>
      </c>
      <c r="F265" s="1">
        <v>1977</v>
      </c>
      <c r="G265" s="1">
        <v>2</v>
      </c>
      <c r="H265" s="1">
        <v>4.0999999999999996</v>
      </c>
      <c r="I265" s="1" t="str">
        <f>IF(Table13[[#This Row],[Reiew_Rating]]&gt;=4.5,"Excellent",
IF(Table13[[#This Row],[Reiew_Rating]]&gt;=4,"Good","Average"))</f>
        <v>Good</v>
      </c>
      <c r="J265" s="1">
        <v>20</v>
      </c>
      <c r="K265" s="1" t="str">
        <f>IF(Table13[[#This Row],[Entrance_Fee_INR]]=0,"Free","Paid")</f>
        <v>Paid</v>
      </c>
      <c r="L265" s="2" t="s">
        <v>19</v>
      </c>
      <c r="M265" s="2" t="s">
        <v>32</v>
      </c>
      <c r="N265" s="2" t="s">
        <v>73</v>
      </c>
      <c r="O265" s="2" t="s">
        <v>19</v>
      </c>
      <c r="P265" s="3">
        <v>0.25</v>
      </c>
      <c r="Q265" s="2" t="s">
        <v>25</v>
      </c>
      <c r="R265" s="1" t="str">
        <f>IF(Table13[[#This Row],[Number_Review_Lakhs]]&gt;=1,"Highly Popular", IF(Table13[[#This Row],[Number_Review_Lakhs]]&gt;=0.5,"Popular","Less Popular"))</f>
        <v>Less Popular</v>
      </c>
      <c r="S265" s="1" t="str">
        <f>IF(Table13[[#This Row],[Visit_Time_Hrs]]&lt;=2,"Short Visit", IF(Table13[[#This Row],[Visit_Time_Hrs]]&lt;=5,"Medium Visit","Full Day"))</f>
        <v>Short Visit</v>
      </c>
      <c r="T265" s="1" t="str">
        <f>IF(Table13[[#This Row],[Airport_50km_Radius]]="Yes","Accessible","Remote")</f>
        <v>Accessible</v>
      </c>
      <c r="U265" s="1" t="str">
        <f>IF(Table13[[#This Row],[Reiew_Rating]]&gt;=4.7,"Yes","No")</f>
        <v>No</v>
      </c>
      <c r="V265" s="1" t="str">
        <f t="shared" si="16"/>
        <v>Nature &amp; Wildlife</v>
      </c>
      <c r="W265" s="1" t="str">
        <f t="shared" si="17"/>
        <v>★★★★☆</v>
      </c>
      <c r="X265" s="1" t="str">
        <f t="shared" si="18"/>
        <v>4 / 5 Stars</v>
      </c>
      <c r="Y265" s="1" t="str">
        <f t="shared" si="19"/>
        <v>Low Traffic</v>
      </c>
    </row>
    <row r="266" spans="1:25" x14ac:dyDescent="0.3">
      <c r="A266" s="2" t="s">
        <v>87</v>
      </c>
      <c r="B266" s="2" t="s">
        <v>558</v>
      </c>
      <c r="C266" s="2" t="s">
        <v>561</v>
      </c>
      <c r="D266" s="2" t="s">
        <v>589</v>
      </c>
      <c r="E266" s="2" t="s">
        <v>590</v>
      </c>
      <c r="F266" s="1">
        <v>1643</v>
      </c>
      <c r="G266" s="1">
        <v>1</v>
      </c>
      <c r="H266" s="1">
        <v>3.8</v>
      </c>
      <c r="I266" s="1" t="str">
        <f>IF(Table13[[#This Row],[Reiew_Rating]]&gt;=4.5,"Excellent",
IF(Table13[[#This Row],[Reiew_Rating]]&gt;=4,"Good","Average"))</f>
        <v>Average</v>
      </c>
      <c r="J266" s="1">
        <v>20</v>
      </c>
      <c r="K266" s="1" t="str">
        <f>IF(Table13[[#This Row],[Entrance_Fee_INR]]=0,"Free","Paid")</f>
        <v>Paid</v>
      </c>
      <c r="L266" s="2" t="s">
        <v>19</v>
      </c>
      <c r="M266" s="2" t="s">
        <v>722</v>
      </c>
      <c r="N266" s="2" t="s">
        <v>80</v>
      </c>
      <c r="O266" s="2" t="s">
        <v>19</v>
      </c>
      <c r="P266" s="3">
        <v>0.03</v>
      </c>
      <c r="Q266" s="2" t="s">
        <v>51</v>
      </c>
      <c r="R266" s="1" t="str">
        <f>IF(Table13[[#This Row],[Number_Review_Lakhs]]&gt;=1,"Highly Popular", IF(Table13[[#This Row],[Number_Review_Lakhs]]&gt;=0.5,"Popular","Less Popular"))</f>
        <v>Less Popular</v>
      </c>
      <c r="S266" s="1" t="str">
        <f>IF(Table13[[#This Row],[Visit_Time_Hrs]]&lt;=2,"Short Visit", IF(Table13[[#This Row],[Visit_Time_Hrs]]&lt;=5,"Medium Visit","Full Day"))</f>
        <v>Short Visit</v>
      </c>
      <c r="T266" s="1" t="str">
        <f>IF(Table13[[#This Row],[Airport_50km_Radius]]="Yes","Accessible","Remote")</f>
        <v>Accessible</v>
      </c>
      <c r="U266" s="1" t="str">
        <f>IF(Table13[[#This Row],[Reiew_Rating]]&gt;=4.7,"Yes","No")</f>
        <v>No</v>
      </c>
      <c r="V266" s="1" t="str">
        <f t="shared" si="16"/>
        <v>Leisure &amp; Commerce</v>
      </c>
      <c r="W266" s="1" t="str">
        <f t="shared" si="17"/>
        <v>★★★★☆</v>
      </c>
      <c r="X266" s="1" t="str">
        <f t="shared" si="18"/>
        <v>4 / 5 Stars</v>
      </c>
      <c r="Y266" s="1" t="str">
        <f t="shared" si="19"/>
        <v>Low Traffic</v>
      </c>
    </row>
    <row r="267" spans="1:25" x14ac:dyDescent="0.3">
      <c r="A267" s="2" t="s">
        <v>87</v>
      </c>
      <c r="B267" s="2" t="s">
        <v>558</v>
      </c>
      <c r="C267" s="2" t="s">
        <v>561</v>
      </c>
      <c r="D267" s="2" t="s">
        <v>591</v>
      </c>
      <c r="E267" s="2" t="s">
        <v>53</v>
      </c>
      <c r="F267" s="1">
        <v>1991</v>
      </c>
      <c r="G267" s="1">
        <v>1</v>
      </c>
      <c r="H267" s="1">
        <v>4.3</v>
      </c>
      <c r="I267" s="1" t="str">
        <f>IF(Table13[[#This Row],[Reiew_Rating]]&gt;=4.5,"Excellent",
IF(Table13[[#This Row],[Reiew_Rating]]&gt;=4,"Good","Average"))</f>
        <v>Good</v>
      </c>
      <c r="J267" s="1">
        <v>10</v>
      </c>
      <c r="K267" s="1" t="str">
        <f>IF(Table13[[#This Row],[Entrance_Fee_INR]]=0,"Free","Paid")</f>
        <v>Paid</v>
      </c>
      <c r="L267" s="2" t="s">
        <v>19</v>
      </c>
      <c r="M267" s="2" t="s">
        <v>721</v>
      </c>
      <c r="N267" s="2" t="s">
        <v>169</v>
      </c>
      <c r="O267" s="2" t="s">
        <v>19</v>
      </c>
      <c r="P267" s="3">
        <v>6.5000000000000002E-2</v>
      </c>
      <c r="Q267" s="2" t="s">
        <v>51</v>
      </c>
      <c r="R267" s="1" t="str">
        <f>IF(Table13[[#This Row],[Number_Review_Lakhs]]&gt;=1,"Highly Popular", IF(Table13[[#This Row],[Number_Review_Lakhs]]&gt;=0.5,"Popular","Less Popular"))</f>
        <v>Less Popular</v>
      </c>
      <c r="S267" s="1" t="str">
        <f>IF(Table13[[#This Row],[Visit_Time_Hrs]]&lt;=2,"Short Visit", IF(Table13[[#This Row],[Visit_Time_Hrs]]&lt;=5,"Medium Visit","Full Day"))</f>
        <v>Short Visit</v>
      </c>
      <c r="T267" s="1" t="str">
        <f>IF(Table13[[#This Row],[Airport_50km_Radius]]="Yes","Accessible","Remote")</f>
        <v>Accessible</v>
      </c>
      <c r="U267" s="1" t="str">
        <f>IF(Table13[[#This Row],[Reiew_Rating]]&gt;=4.7,"Yes","No")</f>
        <v>No</v>
      </c>
      <c r="V267" s="1" t="str">
        <f t="shared" si="16"/>
        <v>Other</v>
      </c>
      <c r="W267" s="1" t="str">
        <f t="shared" si="17"/>
        <v>★★★★☆</v>
      </c>
      <c r="X267" s="1" t="str">
        <f t="shared" si="18"/>
        <v>4 / 5 Stars</v>
      </c>
      <c r="Y267" s="1" t="str">
        <f t="shared" si="19"/>
        <v>Low Traffic</v>
      </c>
    </row>
    <row r="268" spans="1:25" x14ac:dyDescent="0.3">
      <c r="A268" s="2" t="s">
        <v>117</v>
      </c>
      <c r="B268" s="2" t="s">
        <v>592</v>
      </c>
      <c r="C268" s="2" t="s">
        <v>593</v>
      </c>
      <c r="D268" s="2" t="s">
        <v>594</v>
      </c>
      <c r="E268" s="2" t="s">
        <v>457</v>
      </c>
      <c r="F268" s="1">
        <v>1418</v>
      </c>
      <c r="G268" s="1">
        <v>2</v>
      </c>
      <c r="H268" s="1">
        <v>4.3</v>
      </c>
      <c r="I268" s="1" t="str">
        <f>IF(Table13[[#This Row],[Reiew_Rating]]&gt;=4.5,"Excellent",
IF(Table13[[#This Row],[Reiew_Rating]]&gt;=4,"Good","Average"))</f>
        <v>Good</v>
      </c>
      <c r="J268" s="1">
        <v>20</v>
      </c>
      <c r="K268" s="1" t="str">
        <f>IF(Table13[[#This Row],[Entrance_Fee_INR]]=0,"Free","Paid")</f>
        <v>Paid</v>
      </c>
      <c r="L268" s="2" t="s">
        <v>19</v>
      </c>
      <c r="M268" s="2" t="s">
        <v>305</v>
      </c>
      <c r="N268" s="2" t="s">
        <v>21</v>
      </c>
      <c r="O268" s="2" t="s">
        <v>19</v>
      </c>
      <c r="P268" s="3">
        <v>0.15</v>
      </c>
      <c r="Q268" s="2" t="s">
        <v>25</v>
      </c>
      <c r="R268" s="1" t="str">
        <f>IF(Table13[[#This Row],[Number_Review_Lakhs]]&gt;=1,"Highly Popular", IF(Table13[[#This Row],[Number_Review_Lakhs]]&gt;=0.5,"Popular","Less Popular"))</f>
        <v>Less Popular</v>
      </c>
      <c r="S268" s="1" t="str">
        <f>IF(Table13[[#This Row],[Visit_Time_Hrs]]&lt;=2,"Short Visit", IF(Table13[[#This Row],[Visit_Time_Hrs]]&lt;=5,"Medium Visit","Full Day"))</f>
        <v>Short Visit</v>
      </c>
      <c r="T268" s="1" t="str">
        <f>IF(Table13[[#This Row],[Airport_50km_Radius]]="Yes","Accessible","Remote")</f>
        <v>Accessible</v>
      </c>
      <c r="U268" s="1" t="str">
        <f>IF(Table13[[#This Row],[Reiew_Rating]]&gt;=4.7,"Yes","No")</f>
        <v>No</v>
      </c>
      <c r="V268" s="1" t="str">
        <f t="shared" si="16"/>
        <v>Heritage &amp; Culture</v>
      </c>
      <c r="W268" s="1" t="str">
        <f t="shared" si="17"/>
        <v>★★★★☆</v>
      </c>
      <c r="X268" s="1" t="str">
        <f t="shared" si="18"/>
        <v>4 / 5 Stars</v>
      </c>
      <c r="Y268" s="1" t="str">
        <f t="shared" si="19"/>
        <v>Low Traffic</v>
      </c>
    </row>
    <row r="269" spans="1:25" x14ac:dyDescent="0.3">
      <c r="A269" s="2" t="s">
        <v>117</v>
      </c>
      <c r="B269" s="2" t="s">
        <v>592</v>
      </c>
      <c r="C269" s="2" t="s">
        <v>595</v>
      </c>
      <c r="D269" s="2" t="s">
        <v>596</v>
      </c>
      <c r="E269" s="2" t="s">
        <v>352</v>
      </c>
      <c r="F269" s="1">
        <v>1705</v>
      </c>
      <c r="G269" s="1">
        <v>1</v>
      </c>
      <c r="H269" s="1">
        <v>4.5999999999999996</v>
      </c>
      <c r="I269" s="1" t="str">
        <f>IF(Table13[[#This Row],[Reiew_Rating]]&gt;=4.5,"Excellent",
IF(Table13[[#This Row],[Reiew_Rating]]&gt;=4,"Good","Average"))</f>
        <v>Excellent</v>
      </c>
      <c r="J269" s="1">
        <v>20</v>
      </c>
      <c r="K269" s="1" t="str">
        <f>IF(Table13[[#This Row],[Entrance_Fee_INR]]=0,"Free","Paid")</f>
        <v>Paid</v>
      </c>
      <c r="L269" s="2" t="s">
        <v>29</v>
      </c>
      <c r="M269" s="2" t="s">
        <v>32</v>
      </c>
      <c r="N269" s="2" t="s">
        <v>28</v>
      </c>
      <c r="O269" s="2" t="s">
        <v>29</v>
      </c>
      <c r="P269" s="3">
        <v>1.4999999999999999E-2</v>
      </c>
      <c r="Q269" s="2" t="s">
        <v>37</v>
      </c>
      <c r="R269" s="1" t="str">
        <f>IF(Table13[[#This Row],[Number_Review_Lakhs]]&gt;=1,"Highly Popular", IF(Table13[[#This Row],[Number_Review_Lakhs]]&gt;=0.5,"Popular","Less Popular"))</f>
        <v>Less Popular</v>
      </c>
      <c r="S269" s="1" t="str">
        <f>IF(Table13[[#This Row],[Visit_Time_Hrs]]&lt;=2,"Short Visit", IF(Table13[[#This Row],[Visit_Time_Hrs]]&lt;=5,"Medium Visit","Full Day"))</f>
        <v>Short Visit</v>
      </c>
      <c r="T269" s="1" t="str">
        <f>IF(Table13[[#This Row],[Airport_50km_Radius]]="Yes","Accessible","Remote")</f>
        <v>Remote</v>
      </c>
      <c r="U269" s="1" t="str">
        <f>IF(Table13[[#This Row],[Reiew_Rating]]&gt;=4.7,"Yes","No")</f>
        <v>No</v>
      </c>
      <c r="V269" s="1" t="str">
        <f t="shared" si="16"/>
        <v>Heritage &amp; Culture</v>
      </c>
      <c r="W269" s="1" t="str">
        <f t="shared" si="17"/>
        <v>★★★★★</v>
      </c>
      <c r="X269" s="1" t="str">
        <f t="shared" si="18"/>
        <v>5 / 5 Stars</v>
      </c>
      <c r="Y269" s="1" t="str">
        <f t="shared" si="19"/>
        <v>Low Traffic</v>
      </c>
    </row>
    <row r="270" spans="1:25" x14ac:dyDescent="0.3">
      <c r="A270" s="2" t="s">
        <v>117</v>
      </c>
      <c r="B270" s="2" t="s">
        <v>592</v>
      </c>
      <c r="C270" s="2" t="s">
        <v>597</v>
      </c>
      <c r="D270" s="2" t="s">
        <v>598</v>
      </c>
      <c r="E270" s="2" t="s">
        <v>599</v>
      </c>
      <c r="F270" s="1">
        <v>211</v>
      </c>
      <c r="G270" s="1">
        <v>2</v>
      </c>
      <c r="H270" s="1">
        <v>4.7</v>
      </c>
      <c r="I270" s="1" t="str">
        <f>IF(Table13[[#This Row],[Reiew_Rating]]&gt;=4.5,"Excellent",
IF(Table13[[#This Row],[Reiew_Rating]]&gt;=4,"Good","Average"))</f>
        <v>Excellent</v>
      </c>
      <c r="J270" s="1">
        <v>50</v>
      </c>
      <c r="K270" s="1" t="str">
        <f>IF(Table13[[#This Row],[Entrance_Fee_INR]]=0,"Free","Paid")</f>
        <v>Paid</v>
      </c>
      <c r="L270" s="2" t="s">
        <v>19</v>
      </c>
      <c r="M270" s="2" t="s">
        <v>57</v>
      </c>
      <c r="N270" s="2" t="s">
        <v>28</v>
      </c>
      <c r="O270" s="2" t="s">
        <v>29</v>
      </c>
      <c r="P270" s="3">
        <v>0.12</v>
      </c>
      <c r="Q270" s="2" t="s">
        <v>51</v>
      </c>
      <c r="R270" s="1" t="str">
        <f>IF(Table13[[#This Row],[Number_Review_Lakhs]]&gt;=1,"Highly Popular", IF(Table13[[#This Row],[Number_Review_Lakhs]]&gt;=0.5,"Popular","Less Popular"))</f>
        <v>Less Popular</v>
      </c>
      <c r="S270" s="1" t="str">
        <f>IF(Table13[[#This Row],[Visit_Time_Hrs]]&lt;=2,"Short Visit", IF(Table13[[#This Row],[Visit_Time_Hrs]]&lt;=5,"Medium Visit","Full Day"))</f>
        <v>Short Visit</v>
      </c>
      <c r="T270" s="1" t="str">
        <f>IF(Table13[[#This Row],[Airport_50km_Radius]]="Yes","Accessible","Remote")</f>
        <v>Accessible</v>
      </c>
      <c r="U270" s="1" t="str">
        <f>IF(Table13[[#This Row],[Reiew_Rating]]&gt;=4.7,"Yes","No")</f>
        <v>Yes</v>
      </c>
      <c r="V270" s="1" t="str">
        <f t="shared" si="16"/>
        <v>Heritage &amp; Culture</v>
      </c>
      <c r="W270" s="1" t="str">
        <f t="shared" si="17"/>
        <v>★★★★★</v>
      </c>
      <c r="X270" s="1" t="str">
        <f t="shared" si="18"/>
        <v>5 / 5 Stars</v>
      </c>
      <c r="Y270" s="1" t="str">
        <f t="shared" si="19"/>
        <v>Low Traffic</v>
      </c>
    </row>
    <row r="271" spans="1:25" x14ac:dyDescent="0.3">
      <c r="A271" s="2" t="s">
        <v>117</v>
      </c>
      <c r="B271" s="2" t="s">
        <v>592</v>
      </c>
      <c r="C271" s="2" t="s">
        <v>593</v>
      </c>
      <c r="D271" s="2" t="s">
        <v>600</v>
      </c>
      <c r="E271" s="2" t="s">
        <v>352</v>
      </c>
      <c r="F271" s="1" t="s">
        <v>601</v>
      </c>
      <c r="G271" s="1">
        <v>1</v>
      </c>
      <c r="H271" s="1">
        <v>4.5999999999999996</v>
      </c>
      <c r="I271" s="1" t="str">
        <f>IF(Table13[[#This Row],[Reiew_Rating]]&gt;=4.5,"Excellent",
IF(Table13[[#This Row],[Reiew_Rating]]&gt;=4,"Good","Average"))</f>
        <v>Excellent</v>
      </c>
      <c r="J271" s="1">
        <v>10</v>
      </c>
      <c r="K271" s="1" t="str">
        <f>IF(Table13[[#This Row],[Entrance_Fee_INR]]=0,"Free","Paid")</f>
        <v>Paid</v>
      </c>
      <c r="L271" s="2" t="s">
        <v>19</v>
      </c>
      <c r="M271" s="2" t="s">
        <v>305</v>
      </c>
      <c r="N271" s="2" t="s">
        <v>28</v>
      </c>
      <c r="O271" s="2" t="s">
        <v>29</v>
      </c>
      <c r="P271" s="3">
        <v>3.5000000000000003E-2</v>
      </c>
      <c r="Q271" s="2" t="s">
        <v>37</v>
      </c>
      <c r="R271" s="1" t="str">
        <f>IF(Table13[[#This Row],[Number_Review_Lakhs]]&gt;=1,"Highly Popular", IF(Table13[[#This Row],[Number_Review_Lakhs]]&gt;=0.5,"Popular","Less Popular"))</f>
        <v>Less Popular</v>
      </c>
      <c r="S271" s="1" t="str">
        <f>IF(Table13[[#This Row],[Visit_Time_Hrs]]&lt;=2,"Short Visit", IF(Table13[[#This Row],[Visit_Time_Hrs]]&lt;=5,"Medium Visit","Full Day"))</f>
        <v>Short Visit</v>
      </c>
      <c r="T271" s="1" t="str">
        <f>IF(Table13[[#This Row],[Airport_50km_Radius]]="Yes","Accessible","Remote")</f>
        <v>Accessible</v>
      </c>
      <c r="U271" s="1" t="str">
        <f>IF(Table13[[#This Row],[Reiew_Rating]]&gt;=4.7,"Yes","No")</f>
        <v>No</v>
      </c>
      <c r="V271" s="1" t="str">
        <f t="shared" si="16"/>
        <v>Heritage &amp; Culture</v>
      </c>
      <c r="W271" s="1" t="str">
        <f t="shared" si="17"/>
        <v>★★★★★</v>
      </c>
      <c r="X271" s="1" t="str">
        <f t="shared" si="18"/>
        <v>5 / 5 Stars</v>
      </c>
      <c r="Y271" s="1" t="str">
        <f t="shared" si="19"/>
        <v>Low Traffic</v>
      </c>
    </row>
    <row r="272" spans="1:25" x14ac:dyDescent="0.3">
      <c r="A272" s="2" t="s">
        <v>117</v>
      </c>
      <c r="B272" s="2" t="s">
        <v>592</v>
      </c>
      <c r="C272" s="2" t="s">
        <v>602</v>
      </c>
      <c r="D272" s="2" t="s">
        <v>603</v>
      </c>
      <c r="E272" s="2" t="s">
        <v>47</v>
      </c>
      <c r="F272" s="1">
        <v>213</v>
      </c>
      <c r="G272" s="1">
        <v>1</v>
      </c>
      <c r="H272" s="1">
        <v>4.8</v>
      </c>
      <c r="I272" s="1" t="str">
        <f>IF(Table13[[#This Row],[Reiew_Rating]]&gt;=4.5,"Excellent",
IF(Table13[[#This Row],[Reiew_Rating]]&gt;=4,"Good","Average"))</f>
        <v>Excellent</v>
      </c>
      <c r="J272" s="1">
        <v>50</v>
      </c>
      <c r="K272" s="1" t="str">
        <f>IF(Table13[[#This Row],[Entrance_Fee_INR]]=0,"Free","Paid")</f>
        <v>Paid</v>
      </c>
      <c r="L272" s="2" t="s">
        <v>19</v>
      </c>
      <c r="M272" s="2" t="s">
        <v>40</v>
      </c>
      <c r="N272" s="2" t="s">
        <v>169</v>
      </c>
      <c r="O272" s="2" t="s">
        <v>19</v>
      </c>
      <c r="P272" s="3">
        <v>0.1</v>
      </c>
      <c r="Q272" s="2" t="s">
        <v>51</v>
      </c>
      <c r="R272" s="1" t="str">
        <f>IF(Table13[[#This Row],[Number_Review_Lakhs]]&gt;=1,"Highly Popular", IF(Table13[[#This Row],[Number_Review_Lakhs]]&gt;=0.5,"Popular","Less Popular"))</f>
        <v>Less Popular</v>
      </c>
      <c r="S272" s="1" t="str">
        <f>IF(Table13[[#This Row],[Visit_Time_Hrs]]&lt;=2,"Short Visit", IF(Table13[[#This Row],[Visit_Time_Hrs]]&lt;=5,"Medium Visit","Full Day"))</f>
        <v>Short Visit</v>
      </c>
      <c r="T272" s="1" t="str">
        <f>IF(Table13[[#This Row],[Airport_50km_Radius]]="Yes","Accessible","Remote")</f>
        <v>Accessible</v>
      </c>
      <c r="U272" s="1" t="str">
        <f>IF(Table13[[#This Row],[Reiew_Rating]]&gt;=4.7,"Yes","No")</f>
        <v>Yes</v>
      </c>
      <c r="V272" s="1" t="str">
        <f t="shared" si="16"/>
        <v>Other</v>
      </c>
      <c r="W272" s="1" t="str">
        <f t="shared" si="17"/>
        <v>★★★★★</v>
      </c>
      <c r="X272" s="1" t="str">
        <f t="shared" si="18"/>
        <v>5 / 5 Stars</v>
      </c>
      <c r="Y272" s="1" t="str">
        <f t="shared" si="19"/>
        <v>Low Traffic</v>
      </c>
    </row>
    <row r="273" spans="1:25" x14ac:dyDescent="0.3">
      <c r="A273" s="2" t="s">
        <v>117</v>
      </c>
      <c r="B273" s="2" t="s">
        <v>592</v>
      </c>
      <c r="C273" s="2" t="s">
        <v>593</v>
      </c>
      <c r="D273" s="2" t="s">
        <v>604</v>
      </c>
      <c r="E273" s="2" t="s">
        <v>27</v>
      </c>
      <c r="F273" s="1">
        <v>1967</v>
      </c>
      <c r="G273" s="1">
        <v>1</v>
      </c>
      <c r="H273" s="1">
        <v>4.7</v>
      </c>
      <c r="I273" s="1" t="str">
        <f>IF(Table13[[#This Row],[Reiew_Rating]]&gt;=4.5,"Excellent",
IF(Table13[[#This Row],[Reiew_Rating]]&gt;=4,"Good","Average"))</f>
        <v>Excellent</v>
      </c>
      <c r="J273" s="1">
        <v>0</v>
      </c>
      <c r="K273" s="1" t="str">
        <f>IF(Table13[[#This Row],[Entrance_Fee_INR]]=0,"Free","Paid")</f>
        <v>Free</v>
      </c>
      <c r="L273" s="2" t="s">
        <v>19</v>
      </c>
      <c r="M273" s="2" t="s">
        <v>57</v>
      </c>
      <c r="N273" s="2" t="s">
        <v>28</v>
      </c>
      <c r="O273" s="2" t="s">
        <v>29</v>
      </c>
      <c r="P273" s="3">
        <v>7.4999999999999997E-2</v>
      </c>
      <c r="Q273" s="2" t="s">
        <v>51</v>
      </c>
      <c r="R273" s="1" t="str">
        <f>IF(Table13[[#This Row],[Number_Review_Lakhs]]&gt;=1,"Highly Popular", IF(Table13[[#This Row],[Number_Review_Lakhs]]&gt;=0.5,"Popular","Less Popular"))</f>
        <v>Less Popular</v>
      </c>
      <c r="S273" s="1" t="str">
        <f>IF(Table13[[#This Row],[Visit_Time_Hrs]]&lt;=2,"Short Visit", IF(Table13[[#This Row],[Visit_Time_Hrs]]&lt;=5,"Medium Visit","Full Day"))</f>
        <v>Short Visit</v>
      </c>
      <c r="T273" s="1" t="str">
        <f>IF(Table13[[#This Row],[Airport_50km_Radius]]="Yes","Accessible","Remote")</f>
        <v>Accessible</v>
      </c>
      <c r="U273" s="1" t="str">
        <f>IF(Table13[[#This Row],[Reiew_Rating]]&gt;=4.7,"Yes","No")</f>
        <v>Yes</v>
      </c>
      <c r="V273" s="1" t="str">
        <f t="shared" si="16"/>
        <v>Heritage &amp; Culture</v>
      </c>
      <c r="W273" s="1" t="str">
        <f t="shared" si="17"/>
        <v>★★★★★</v>
      </c>
      <c r="X273" s="1" t="str">
        <f t="shared" si="18"/>
        <v>5 / 5 Stars</v>
      </c>
      <c r="Y273" s="1" t="str">
        <f t="shared" si="19"/>
        <v>Low Traffic</v>
      </c>
    </row>
    <row r="274" spans="1:25" x14ac:dyDescent="0.3">
      <c r="A274" s="2" t="s">
        <v>117</v>
      </c>
      <c r="B274" s="2" t="s">
        <v>592</v>
      </c>
      <c r="C274" s="2" t="s">
        <v>593</v>
      </c>
      <c r="D274" s="2" t="s">
        <v>605</v>
      </c>
      <c r="E274" s="2" t="s">
        <v>106</v>
      </c>
      <c r="F274" s="1">
        <v>1735</v>
      </c>
      <c r="G274" s="1">
        <v>2</v>
      </c>
      <c r="H274" s="1">
        <v>4.5</v>
      </c>
      <c r="I274" s="1" t="str">
        <f>IF(Table13[[#This Row],[Reiew_Rating]]&gt;=4.5,"Excellent",
IF(Table13[[#This Row],[Reiew_Rating]]&gt;=4,"Good","Average"))</f>
        <v>Excellent</v>
      </c>
      <c r="J274" s="1">
        <v>0</v>
      </c>
      <c r="K274" s="1" t="str">
        <f>IF(Table13[[#This Row],[Entrance_Fee_INR]]=0,"Free","Paid")</f>
        <v>Free</v>
      </c>
      <c r="L274" s="2" t="s">
        <v>19</v>
      </c>
      <c r="M274" s="2" t="s">
        <v>721</v>
      </c>
      <c r="N274" s="2" t="s">
        <v>94</v>
      </c>
      <c r="O274" s="2" t="s">
        <v>19</v>
      </c>
      <c r="P274" s="3">
        <v>0.15</v>
      </c>
      <c r="Q274" s="2" t="s">
        <v>37</v>
      </c>
      <c r="R274" s="1" t="str">
        <f>IF(Table13[[#This Row],[Number_Review_Lakhs]]&gt;=1,"Highly Popular", IF(Table13[[#This Row],[Number_Review_Lakhs]]&gt;=0.5,"Popular","Less Popular"))</f>
        <v>Less Popular</v>
      </c>
      <c r="S274" s="1" t="str">
        <f>IF(Table13[[#This Row],[Visit_Time_Hrs]]&lt;=2,"Short Visit", IF(Table13[[#This Row],[Visit_Time_Hrs]]&lt;=5,"Medium Visit","Full Day"))</f>
        <v>Short Visit</v>
      </c>
      <c r="T274" s="1" t="str">
        <f>IF(Table13[[#This Row],[Airport_50km_Radius]]="Yes","Accessible","Remote")</f>
        <v>Accessible</v>
      </c>
      <c r="U274" s="1" t="str">
        <f>IF(Table13[[#This Row],[Reiew_Rating]]&gt;=4.7,"Yes","No")</f>
        <v>No</v>
      </c>
      <c r="V274" s="1" t="str">
        <f t="shared" si="16"/>
        <v>Nature &amp; Wildlife</v>
      </c>
      <c r="W274" s="1" t="str">
        <f t="shared" si="17"/>
        <v>★★★★★</v>
      </c>
      <c r="X274" s="1" t="str">
        <f t="shared" si="18"/>
        <v>5 / 5 Stars</v>
      </c>
      <c r="Y274" s="1" t="str">
        <f t="shared" si="19"/>
        <v>Low Traffic</v>
      </c>
    </row>
    <row r="275" spans="1:25" x14ac:dyDescent="0.3">
      <c r="A275" s="2" t="s">
        <v>606</v>
      </c>
      <c r="B275" s="2" t="s">
        <v>607</v>
      </c>
      <c r="C275" s="2" t="s">
        <v>608</v>
      </c>
      <c r="D275" s="2" t="s">
        <v>609</v>
      </c>
      <c r="E275" s="2" t="s">
        <v>27</v>
      </c>
      <c r="F275" s="1">
        <v>1878</v>
      </c>
      <c r="G275" s="1">
        <v>2</v>
      </c>
      <c r="H275" s="1">
        <v>4.5999999999999996</v>
      </c>
      <c r="I275" s="1" t="str">
        <f>IF(Table13[[#This Row],[Reiew_Rating]]&gt;=4.5,"Excellent",
IF(Table13[[#This Row],[Reiew_Rating]]&gt;=4,"Good","Average"))</f>
        <v>Excellent</v>
      </c>
      <c r="J275" s="1">
        <v>0</v>
      </c>
      <c r="K275" s="1" t="str">
        <f>IF(Table13[[#This Row],[Entrance_Fee_INR]]=0,"Free","Paid")</f>
        <v>Free</v>
      </c>
      <c r="L275" s="2" t="s">
        <v>19</v>
      </c>
      <c r="M275" s="2" t="s">
        <v>721</v>
      </c>
      <c r="N275" s="2" t="s">
        <v>28</v>
      </c>
      <c r="O275" s="2" t="s">
        <v>29</v>
      </c>
      <c r="P275" s="3">
        <v>0.21</v>
      </c>
      <c r="Q275" s="2" t="s">
        <v>51</v>
      </c>
      <c r="R275" s="1" t="str">
        <f>IF(Table13[[#This Row],[Number_Review_Lakhs]]&gt;=1,"Highly Popular", IF(Table13[[#This Row],[Number_Review_Lakhs]]&gt;=0.5,"Popular","Less Popular"))</f>
        <v>Less Popular</v>
      </c>
      <c r="S275" s="1" t="str">
        <f>IF(Table13[[#This Row],[Visit_Time_Hrs]]&lt;=2,"Short Visit", IF(Table13[[#This Row],[Visit_Time_Hrs]]&lt;=5,"Medium Visit","Full Day"))</f>
        <v>Short Visit</v>
      </c>
      <c r="T275" s="1" t="str">
        <f>IF(Table13[[#This Row],[Airport_50km_Radius]]="Yes","Accessible","Remote")</f>
        <v>Accessible</v>
      </c>
      <c r="U275" s="1" t="str">
        <f>IF(Table13[[#This Row],[Reiew_Rating]]&gt;=4.7,"Yes","No")</f>
        <v>No</v>
      </c>
      <c r="V275" s="1" t="str">
        <f t="shared" si="16"/>
        <v>Heritage &amp; Culture</v>
      </c>
      <c r="W275" s="1" t="str">
        <f t="shared" si="17"/>
        <v>★★★★★</v>
      </c>
      <c r="X275" s="1" t="str">
        <f t="shared" si="18"/>
        <v>5 / 5 Stars</v>
      </c>
      <c r="Y275" s="1" t="str">
        <f t="shared" si="19"/>
        <v>Low Traffic</v>
      </c>
    </row>
    <row r="276" spans="1:25" x14ac:dyDescent="0.3">
      <c r="A276" s="2" t="s">
        <v>606</v>
      </c>
      <c r="B276" s="2" t="s">
        <v>607</v>
      </c>
      <c r="C276" s="2" t="s">
        <v>610</v>
      </c>
      <c r="D276" s="2" t="s">
        <v>611</v>
      </c>
      <c r="E276" s="2" t="s">
        <v>72</v>
      </c>
      <c r="F276" s="1">
        <v>1905</v>
      </c>
      <c r="G276" s="1">
        <v>3</v>
      </c>
      <c r="H276" s="1">
        <v>4.5</v>
      </c>
      <c r="I276" s="1" t="str">
        <f>IF(Table13[[#This Row],[Reiew_Rating]]&gt;=4.5,"Excellent",
IF(Table13[[#This Row],[Reiew_Rating]]&gt;=4,"Good","Average"))</f>
        <v>Excellent</v>
      </c>
      <c r="J276" s="1">
        <v>650</v>
      </c>
      <c r="K276" s="1" t="str">
        <f>IF(Table13[[#This Row],[Entrance_Fee_INR]]=0,"Free","Paid")</f>
        <v>Paid</v>
      </c>
      <c r="L276" s="2" t="s">
        <v>29</v>
      </c>
      <c r="M276" s="2" t="s">
        <v>32</v>
      </c>
      <c r="N276" s="2" t="s">
        <v>73</v>
      </c>
      <c r="O276" s="2" t="s">
        <v>29</v>
      </c>
      <c r="P276" s="3">
        <v>6.8000000000000005E-2</v>
      </c>
      <c r="Q276" s="2" t="s">
        <v>37</v>
      </c>
      <c r="R276" s="1" t="str">
        <f>IF(Table13[[#This Row],[Number_Review_Lakhs]]&gt;=1,"Highly Popular", IF(Table13[[#This Row],[Number_Review_Lakhs]]&gt;=0.5,"Popular","Less Popular"))</f>
        <v>Less Popular</v>
      </c>
      <c r="S276" s="1" t="str">
        <f>IF(Table13[[#This Row],[Visit_Time_Hrs]]&lt;=2,"Short Visit", IF(Table13[[#This Row],[Visit_Time_Hrs]]&lt;=5,"Medium Visit","Full Day"))</f>
        <v>Medium Visit</v>
      </c>
      <c r="T276" s="1" t="str">
        <f>IF(Table13[[#This Row],[Airport_50km_Radius]]="Yes","Accessible","Remote")</f>
        <v>Remote</v>
      </c>
      <c r="U276" s="1" t="str">
        <f>IF(Table13[[#This Row],[Reiew_Rating]]&gt;=4.7,"Yes","No")</f>
        <v>No</v>
      </c>
      <c r="V276" s="1" t="str">
        <f t="shared" si="16"/>
        <v>Nature &amp; Wildlife</v>
      </c>
      <c r="W276" s="1" t="str">
        <f t="shared" si="17"/>
        <v>★★★★★</v>
      </c>
      <c r="X276" s="1" t="str">
        <f t="shared" si="18"/>
        <v>5 / 5 Stars</v>
      </c>
      <c r="Y276" s="1" t="str">
        <f t="shared" si="19"/>
        <v>Low Traffic</v>
      </c>
    </row>
    <row r="277" spans="1:25" x14ac:dyDescent="0.3">
      <c r="A277" s="2" t="s">
        <v>606</v>
      </c>
      <c r="B277" s="2" t="s">
        <v>607</v>
      </c>
      <c r="C277" s="2" t="s">
        <v>608</v>
      </c>
      <c r="D277" s="2" t="s">
        <v>612</v>
      </c>
      <c r="E277" s="2" t="s">
        <v>613</v>
      </c>
      <c r="F277" s="1">
        <v>1935</v>
      </c>
      <c r="G277" s="1">
        <v>1</v>
      </c>
      <c r="H277" s="1">
        <v>4.0999999999999996</v>
      </c>
      <c r="I277" s="1" t="str">
        <f>IF(Table13[[#This Row],[Reiew_Rating]]&gt;=4.5,"Excellent",
IF(Table13[[#This Row],[Reiew_Rating]]&gt;=4,"Good","Average"))</f>
        <v>Good</v>
      </c>
      <c r="J277" s="1">
        <v>0</v>
      </c>
      <c r="K277" s="1" t="str">
        <f>IF(Table13[[#This Row],[Entrance_Fee_INR]]=0,"Free","Paid")</f>
        <v>Free</v>
      </c>
      <c r="L277" s="2" t="s">
        <v>19</v>
      </c>
      <c r="M277" s="2" t="s">
        <v>32</v>
      </c>
      <c r="N277" s="2" t="s">
        <v>94</v>
      </c>
      <c r="O277" s="2" t="s">
        <v>19</v>
      </c>
      <c r="P277" s="3">
        <v>0.01</v>
      </c>
      <c r="Q277" s="2" t="s">
        <v>37</v>
      </c>
      <c r="R277" s="1" t="str">
        <f>IF(Table13[[#This Row],[Number_Review_Lakhs]]&gt;=1,"Highly Popular", IF(Table13[[#This Row],[Number_Review_Lakhs]]&gt;=0.5,"Popular","Less Popular"))</f>
        <v>Less Popular</v>
      </c>
      <c r="S277" s="1" t="str">
        <f>IF(Table13[[#This Row],[Visit_Time_Hrs]]&lt;=2,"Short Visit", IF(Table13[[#This Row],[Visit_Time_Hrs]]&lt;=5,"Medium Visit","Full Day"))</f>
        <v>Short Visit</v>
      </c>
      <c r="T277" s="1" t="str">
        <f>IF(Table13[[#This Row],[Airport_50km_Radius]]="Yes","Accessible","Remote")</f>
        <v>Accessible</v>
      </c>
      <c r="U277" s="1" t="str">
        <f>IF(Table13[[#This Row],[Reiew_Rating]]&gt;=4.7,"Yes","No")</f>
        <v>No</v>
      </c>
      <c r="V277" s="1" t="str">
        <f t="shared" si="16"/>
        <v>Nature &amp; Wildlife</v>
      </c>
      <c r="W277" s="1" t="str">
        <f t="shared" si="17"/>
        <v>★★★★☆</v>
      </c>
      <c r="X277" s="1" t="str">
        <f t="shared" si="18"/>
        <v>4 / 5 Stars</v>
      </c>
      <c r="Y277" s="1" t="str">
        <f t="shared" si="19"/>
        <v>Low Traffic</v>
      </c>
    </row>
    <row r="278" spans="1:25" x14ac:dyDescent="0.3">
      <c r="A278" s="2" t="s">
        <v>606</v>
      </c>
      <c r="B278" s="2" t="s">
        <v>607</v>
      </c>
      <c r="C278" s="2" t="s">
        <v>614</v>
      </c>
      <c r="D278" s="2" t="s">
        <v>615</v>
      </c>
      <c r="E278" s="2" t="s">
        <v>27</v>
      </c>
      <c r="F278" s="1">
        <v>1734</v>
      </c>
      <c r="G278" s="1">
        <v>1</v>
      </c>
      <c r="H278" s="1">
        <v>4.7</v>
      </c>
      <c r="I278" s="1" t="str">
        <f>IF(Table13[[#This Row],[Reiew_Rating]]&gt;=4.5,"Excellent",
IF(Table13[[#This Row],[Reiew_Rating]]&gt;=4,"Good","Average"))</f>
        <v>Excellent</v>
      </c>
      <c r="J278" s="1">
        <v>0</v>
      </c>
      <c r="K278" s="1" t="str">
        <f>IF(Table13[[#This Row],[Entrance_Fee_INR]]=0,"Free","Paid")</f>
        <v>Free</v>
      </c>
      <c r="L278" s="2" t="s">
        <v>29</v>
      </c>
      <c r="M278" s="2" t="s">
        <v>721</v>
      </c>
      <c r="N278" s="2" t="s">
        <v>21</v>
      </c>
      <c r="O278" s="2" t="s">
        <v>19</v>
      </c>
      <c r="P278" s="3">
        <v>6.5000000000000002E-2</v>
      </c>
      <c r="Q278" s="2" t="s">
        <v>51</v>
      </c>
      <c r="R278" s="1" t="str">
        <f>IF(Table13[[#This Row],[Number_Review_Lakhs]]&gt;=1,"Highly Popular", IF(Table13[[#This Row],[Number_Review_Lakhs]]&gt;=0.5,"Popular","Less Popular"))</f>
        <v>Less Popular</v>
      </c>
      <c r="S278" s="1" t="str">
        <f>IF(Table13[[#This Row],[Visit_Time_Hrs]]&lt;=2,"Short Visit", IF(Table13[[#This Row],[Visit_Time_Hrs]]&lt;=5,"Medium Visit","Full Day"))</f>
        <v>Short Visit</v>
      </c>
      <c r="T278" s="1" t="str">
        <f>IF(Table13[[#This Row],[Airport_50km_Radius]]="Yes","Accessible","Remote")</f>
        <v>Remote</v>
      </c>
      <c r="U278" s="1" t="str">
        <f>IF(Table13[[#This Row],[Reiew_Rating]]&gt;=4.7,"Yes","No")</f>
        <v>Yes</v>
      </c>
      <c r="V278" s="1" t="str">
        <f t="shared" si="16"/>
        <v>Heritage &amp; Culture</v>
      </c>
      <c r="W278" s="1" t="str">
        <f t="shared" si="17"/>
        <v>★★★★★</v>
      </c>
      <c r="X278" s="1" t="str">
        <f t="shared" si="18"/>
        <v>5 / 5 Stars</v>
      </c>
      <c r="Y278" s="1" t="str">
        <f t="shared" si="19"/>
        <v>Low Traffic</v>
      </c>
    </row>
    <row r="279" spans="1:25" x14ac:dyDescent="0.3">
      <c r="A279" s="2" t="s">
        <v>606</v>
      </c>
      <c r="B279" s="2" t="s">
        <v>607</v>
      </c>
      <c r="C279" s="2" t="s">
        <v>616</v>
      </c>
      <c r="D279" s="2" t="s">
        <v>617</v>
      </c>
      <c r="E279" s="2" t="s">
        <v>618</v>
      </c>
      <c r="F279" s="1">
        <v>1432</v>
      </c>
      <c r="G279" s="1">
        <v>2</v>
      </c>
      <c r="H279" s="1">
        <v>4.7</v>
      </c>
      <c r="I279" s="1" t="str">
        <f>IF(Table13[[#This Row],[Reiew_Rating]]&gt;=4.5,"Excellent",
IF(Table13[[#This Row],[Reiew_Rating]]&gt;=4,"Good","Average"))</f>
        <v>Excellent</v>
      </c>
      <c r="J279" s="1">
        <v>0</v>
      </c>
      <c r="K279" s="1" t="str">
        <f>IF(Table13[[#This Row],[Entrance_Fee_INR]]=0,"Free","Paid")</f>
        <v>Free</v>
      </c>
      <c r="L279" s="2" t="s">
        <v>29</v>
      </c>
      <c r="M279" s="2" t="s">
        <v>305</v>
      </c>
      <c r="N279" s="2" t="s">
        <v>169</v>
      </c>
      <c r="O279" s="2" t="s">
        <v>19</v>
      </c>
      <c r="P279" s="3">
        <v>0.01</v>
      </c>
      <c r="Q279" s="2" t="s">
        <v>37</v>
      </c>
      <c r="R279" s="1" t="str">
        <f>IF(Table13[[#This Row],[Number_Review_Lakhs]]&gt;=1,"Highly Popular", IF(Table13[[#This Row],[Number_Review_Lakhs]]&gt;=0.5,"Popular","Less Popular"))</f>
        <v>Less Popular</v>
      </c>
      <c r="S279" s="1" t="str">
        <f>IF(Table13[[#This Row],[Visit_Time_Hrs]]&lt;=2,"Short Visit", IF(Table13[[#This Row],[Visit_Time_Hrs]]&lt;=5,"Medium Visit","Full Day"))</f>
        <v>Short Visit</v>
      </c>
      <c r="T279" s="1" t="str">
        <f>IF(Table13[[#This Row],[Airport_50km_Radius]]="Yes","Accessible","Remote")</f>
        <v>Remote</v>
      </c>
      <c r="U279" s="1" t="str">
        <f>IF(Table13[[#This Row],[Reiew_Rating]]&gt;=4.7,"Yes","No")</f>
        <v>Yes</v>
      </c>
      <c r="V279" s="1" t="str">
        <f t="shared" si="16"/>
        <v>Other</v>
      </c>
      <c r="W279" s="1" t="str">
        <f t="shared" si="17"/>
        <v>★★★★★</v>
      </c>
      <c r="X279" s="1" t="str">
        <f t="shared" si="18"/>
        <v>5 / 5 Stars</v>
      </c>
      <c r="Y279" s="1" t="str">
        <f t="shared" si="19"/>
        <v>Low Traffic</v>
      </c>
    </row>
    <row r="280" spans="1:25" x14ac:dyDescent="0.3">
      <c r="A280" s="2" t="s">
        <v>606</v>
      </c>
      <c r="B280" s="2" t="s">
        <v>607</v>
      </c>
      <c r="C280" s="2" t="s">
        <v>619</v>
      </c>
      <c r="D280" s="2" t="s">
        <v>620</v>
      </c>
      <c r="E280" s="2" t="s">
        <v>72</v>
      </c>
      <c r="F280" s="1">
        <v>1990</v>
      </c>
      <c r="G280" s="1">
        <v>3</v>
      </c>
      <c r="H280" s="1">
        <v>4.5999999999999996</v>
      </c>
      <c r="I280" s="1" t="str">
        <f>IF(Table13[[#This Row],[Reiew_Rating]]&gt;=4.5,"Excellent",
IF(Table13[[#This Row],[Reiew_Rating]]&gt;=4,"Good","Average"))</f>
        <v>Excellent</v>
      </c>
      <c r="J280" s="1">
        <v>500</v>
      </c>
      <c r="K280" s="1" t="str">
        <f>IF(Table13[[#This Row],[Entrance_Fee_INR]]=0,"Free","Paid")</f>
        <v>Paid</v>
      </c>
      <c r="L280" s="2" t="s">
        <v>29</v>
      </c>
      <c r="M280" s="2" t="s">
        <v>722</v>
      </c>
      <c r="N280" s="2" t="s">
        <v>73</v>
      </c>
      <c r="O280" s="2" t="s">
        <v>19</v>
      </c>
      <c r="P280" s="3">
        <v>0.19</v>
      </c>
      <c r="Q280" s="2" t="s">
        <v>37</v>
      </c>
      <c r="R280" s="1" t="str">
        <f>IF(Table13[[#This Row],[Number_Review_Lakhs]]&gt;=1,"Highly Popular", IF(Table13[[#This Row],[Number_Review_Lakhs]]&gt;=0.5,"Popular","Less Popular"))</f>
        <v>Less Popular</v>
      </c>
      <c r="S280" s="1" t="str">
        <f>IF(Table13[[#This Row],[Visit_Time_Hrs]]&lt;=2,"Short Visit", IF(Table13[[#This Row],[Visit_Time_Hrs]]&lt;=5,"Medium Visit","Full Day"))</f>
        <v>Medium Visit</v>
      </c>
      <c r="T280" s="1" t="str">
        <f>IF(Table13[[#This Row],[Airport_50km_Radius]]="Yes","Accessible","Remote")</f>
        <v>Remote</v>
      </c>
      <c r="U280" s="1" t="str">
        <f>IF(Table13[[#This Row],[Reiew_Rating]]&gt;=4.7,"Yes","No")</f>
        <v>No</v>
      </c>
      <c r="V280" s="1" t="str">
        <f t="shared" si="16"/>
        <v>Nature &amp; Wildlife</v>
      </c>
      <c r="W280" s="1" t="str">
        <f t="shared" si="17"/>
        <v>★★★★★</v>
      </c>
      <c r="X280" s="1" t="str">
        <f t="shared" si="18"/>
        <v>5 / 5 Stars</v>
      </c>
      <c r="Y280" s="1" t="str">
        <f t="shared" si="19"/>
        <v>Low Traffic</v>
      </c>
    </row>
    <row r="281" spans="1:25" x14ac:dyDescent="0.3">
      <c r="A281" s="2" t="s">
        <v>606</v>
      </c>
      <c r="B281" s="2" t="s">
        <v>607</v>
      </c>
      <c r="C281" s="2" t="s">
        <v>621</v>
      </c>
      <c r="D281" s="2" t="s">
        <v>622</v>
      </c>
      <c r="E281" s="2" t="s">
        <v>27</v>
      </c>
      <c r="F281" s="1">
        <v>1756</v>
      </c>
      <c r="G281" s="1">
        <v>1</v>
      </c>
      <c r="H281" s="1">
        <v>4.5</v>
      </c>
      <c r="I281" s="1" t="str">
        <f>IF(Table13[[#This Row],[Reiew_Rating]]&gt;=4.5,"Excellent",
IF(Table13[[#This Row],[Reiew_Rating]]&gt;=4,"Good","Average"))</f>
        <v>Excellent</v>
      </c>
      <c r="J281" s="1">
        <v>0</v>
      </c>
      <c r="K281" s="1" t="str">
        <f>IF(Table13[[#This Row],[Entrance_Fee_INR]]=0,"Free","Paid")</f>
        <v>Free</v>
      </c>
      <c r="L281" s="2" t="s">
        <v>29</v>
      </c>
      <c r="M281" s="2" t="s">
        <v>40</v>
      </c>
      <c r="N281" s="2" t="s">
        <v>28</v>
      </c>
      <c r="O281" s="2" t="s">
        <v>19</v>
      </c>
      <c r="P281" s="3">
        <v>0.9</v>
      </c>
      <c r="Q281" s="2" t="s">
        <v>51</v>
      </c>
      <c r="R281" s="1" t="str">
        <f>IF(Table13[[#This Row],[Number_Review_Lakhs]]&gt;=1,"Highly Popular", IF(Table13[[#This Row],[Number_Review_Lakhs]]&gt;=0.5,"Popular","Less Popular"))</f>
        <v>Popular</v>
      </c>
      <c r="S281" s="1" t="str">
        <f>IF(Table13[[#This Row],[Visit_Time_Hrs]]&lt;=2,"Short Visit", IF(Table13[[#This Row],[Visit_Time_Hrs]]&lt;=5,"Medium Visit","Full Day"))</f>
        <v>Short Visit</v>
      </c>
      <c r="T281" s="1" t="str">
        <f>IF(Table13[[#This Row],[Airport_50km_Radius]]="Yes","Accessible","Remote")</f>
        <v>Remote</v>
      </c>
      <c r="U281" s="1" t="str">
        <f>IF(Table13[[#This Row],[Reiew_Rating]]&gt;=4.7,"Yes","No")</f>
        <v>No</v>
      </c>
      <c r="V281" s="1" t="str">
        <f t="shared" si="16"/>
        <v>Heritage &amp; Culture</v>
      </c>
      <c r="W281" s="1" t="str">
        <f t="shared" si="17"/>
        <v>★★★★★</v>
      </c>
      <c r="X281" s="1" t="str">
        <f t="shared" si="18"/>
        <v>5 / 5 Stars</v>
      </c>
      <c r="Y281" s="1" t="str">
        <f t="shared" si="19"/>
        <v>Medium Traffic</v>
      </c>
    </row>
    <row r="282" spans="1:25" x14ac:dyDescent="0.3">
      <c r="A282" s="2" t="s">
        <v>606</v>
      </c>
      <c r="B282" s="2" t="s">
        <v>607</v>
      </c>
      <c r="C282" s="2" t="s">
        <v>608</v>
      </c>
      <c r="D282" s="2" t="s">
        <v>623</v>
      </c>
      <c r="E282" s="2" t="s">
        <v>190</v>
      </c>
      <c r="F282" s="1">
        <v>1987</v>
      </c>
      <c r="G282" s="1">
        <v>2</v>
      </c>
      <c r="H282" s="1">
        <v>4.4000000000000004</v>
      </c>
      <c r="I282" s="1" t="str">
        <f>IF(Table13[[#This Row],[Reiew_Rating]]&gt;=4.5,"Excellent",
IF(Table13[[#This Row],[Reiew_Rating]]&gt;=4,"Good","Average"))</f>
        <v>Good</v>
      </c>
      <c r="J282" s="1">
        <v>500</v>
      </c>
      <c r="K282" s="1" t="str">
        <f>IF(Table13[[#This Row],[Entrance_Fee_INR]]=0,"Free","Paid")</f>
        <v>Paid</v>
      </c>
      <c r="L282" s="2" t="s">
        <v>19</v>
      </c>
      <c r="M282" s="2" t="s">
        <v>720</v>
      </c>
      <c r="N282" s="2" t="s">
        <v>73</v>
      </c>
      <c r="O282" s="2" t="s">
        <v>19</v>
      </c>
      <c r="P282" s="3">
        <v>3.6999999999999998E-2</v>
      </c>
      <c r="Q282" s="2" t="s">
        <v>51</v>
      </c>
      <c r="R282" s="1" t="str">
        <f>IF(Table13[[#This Row],[Number_Review_Lakhs]]&gt;=1,"Highly Popular", IF(Table13[[#This Row],[Number_Review_Lakhs]]&gt;=0.5,"Popular","Less Popular"))</f>
        <v>Less Popular</v>
      </c>
      <c r="S282" s="1" t="str">
        <f>IF(Table13[[#This Row],[Visit_Time_Hrs]]&lt;=2,"Short Visit", IF(Table13[[#This Row],[Visit_Time_Hrs]]&lt;=5,"Medium Visit","Full Day"))</f>
        <v>Short Visit</v>
      </c>
      <c r="T282" s="1" t="str">
        <f>IF(Table13[[#This Row],[Airport_50km_Radius]]="Yes","Accessible","Remote")</f>
        <v>Accessible</v>
      </c>
      <c r="U282" s="1" t="str">
        <f>IF(Table13[[#This Row],[Reiew_Rating]]&gt;=4.7,"Yes","No")</f>
        <v>No</v>
      </c>
      <c r="V282" s="1" t="str">
        <f t="shared" si="16"/>
        <v>Nature &amp; Wildlife</v>
      </c>
      <c r="W282" s="1" t="str">
        <f t="shared" si="17"/>
        <v>★★★★☆</v>
      </c>
      <c r="X282" s="1" t="str">
        <f t="shared" si="18"/>
        <v>4 / 5 Stars</v>
      </c>
      <c r="Y282" s="1" t="str">
        <f t="shared" si="19"/>
        <v>Low Traffic</v>
      </c>
    </row>
    <row r="283" spans="1:25" x14ac:dyDescent="0.3">
      <c r="A283" s="2" t="s">
        <v>606</v>
      </c>
      <c r="B283" s="2" t="s">
        <v>624</v>
      </c>
      <c r="C283" s="2" t="s">
        <v>625</v>
      </c>
      <c r="D283" s="2" t="s">
        <v>626</v>
      </c>
      <c r="E283" s="2" t="s">
        <v>352</v>
      </c>
      <c r="F283" s="1">
        <v>1680</v>
      </c>
      <c r="G283" s="1">
        <v>2</v>
      </c>
      <c r="H283" s="1">
        <v>4.7</v>
      </c>
      <c r="I283" s="1" t="str">
        <f>IF(Table13[[#This Row],[Reiew_Rating]]&gt;=4.5,"Excellent",
IF(Table13[[#This Row],[Reiew_Rating]]&gt;=4,"Good","Average"))</f>
        <v>Excellent</v>
      </c>
      <c r="J283" s="1">
        <v>0</v>
      </c>
      <c r="K283" s="1" t="str">
        <f>IF(Table13[[#This Row],[Entrance_Fee_INR]]=0,"Free","Paid")</f>
        <v>Free</v>
      </c>
      <c r="L283" s="2" t="s">
        <v>29</v>
      </c>
      <c r="M283" s="2" t="s">
        <v>722</v>
      </c>
      <c r="N283" s="2" t="s">
        <v>28</v>
      </c>
      <c r="O283" s="2" t="s">
        <v>29</v>
      </c>
      <c r="P283" s="3">
        <v>3.2000000000000001E-2</v>
      </c>
      <c r="Q283" s="2" t="s">
        <v>37</v>
      </c>
      <c r="R283" s="1" t="str">
        <f>IF(Table13[[#This Row],[Number_Review_Lakhs]]&gt;=1,"Highly Popular", IF(Table13[[#This Row],[Number_Review_Lakhs]]&gt;=0.5,"Popular","Less Popular"))</f>
        <v>Less Popular</v>
      </c>
      <c r="S283" s="1" t="str">
        <f>IF(Table13[[#This Row],[Visit_Time_Hrs]]&lt;=2,"Short Visit", IF(Table13[[#This Row],[Visit_Time_Hrs]]&lt;=5,"Medium Visit","Full Day"))</f>
        <v>Short Visit</v>
      </c>
      <c r="T283" s="1" t="str">
        <f>IF(Table13[[#This Row],[Airport_50km_Radius]]="Yes","Accessible","Remote")</f>
        <v>Remote</v>
      </c>
      <c r="U283" s="1" t="str">
        <f>IF(Table13[[#This Row],[Reiew_Rating]]&gt;=4.7,"Yes","No")</f>
        <v>Yes</v>
      </c>
      <c r="V283" s="1" t="str">
        <f t="shared" si="16"/>
        <v>Heritage &amp; Culture</v>
      </c>
      <c r="W283" s="1" t="str">
        <f t="shared" si="17"/>
        <v>★★★★★</v>
      </c>
      <c r="X283" s="1" t="str">
        <f t="shared" si="18"/>
        <v>5 / 5 Stars</v>
      </c>
      <c r="Y283" s="1" t="str">
        <f t="shared" si="19"/>
        <v>Low Traffic</v>
      </c>
    </row>
    <row r="284" spans="1:25" x14ac:dyDescent="0.3">
      <c r="A284" s="2" t="s">
        <v>606</v>
      </c>
      <c r="B284" s="2" t="s">
        <v>627</v>
      </c>
      <c r="C284" s="2" t="s">
        <v>628</v>
      </c>
      <c r="D284" s="2" t="s">
        <v>629</v>
      </c>
      <c r="E284" s="2" t="s">
        <v>91</v>
      </c>
      <c r="F284" s="1">
        <v>1901</v>
      </c>
      <c r="G284" s="1">
        <v>1.5</v>
      </c>
      <c r="H284" s="1">
        <v>4.5</v>
      </c>
      <c r="I284" s="1" t="str">
        <f>IF(Table13[[#This Row],[Reiew_Rating]]&gt;=4.5,"Excellent",
IF(Table13[[#This Row],[Reiew_Rating]]&gt;=4,"Good","Average"))</f>
        <v>Excellent</v>
      </c>
      <c r="J284" s="1">
        <v>10</v>
      </c>
      <c r="K284" s="1" t="str">
        <f>IF(Table13[[#This Row],[Entrance_Fee_INR]]=0,"Free","Paid")</f>
        <v>Paid</v>
      </c>
      <c r="L284" s="2" t="s">
        <v>19</v>
      </c>
      <c r="M284" s="2" t="s">
        <v>32</v>
      </c>
      <c r="N284" s="2" t="s">
        <v>21</v>
      </c>
      <c r="O284" s="2" t="s">
        <v>19</v>
      </c>
      <c r="P284" s="3">
        <v>3.5000000000000003E-2</v>
      </c>
      <c r="Q284" s="2" t="s">
        <v>51</v>
      </c>
      <c r="R284" s="1" t="str">
        <f>IF(Table13[[#This Row],[Number_Review_Lakhs]]&gt;=1,"Highly Popular", IF(Table13[[#This Row],[Number_Review_Lakhs]]&gt;=0.5,"Popular","Less Popular"))</f>
        <v>Less Popular</v>
      </c>
      <c r="S284" s="1" t="str">
        <f>IF(Table13[[#This Row],[Visit_Time_Hrs]]&lt;=2,"Short Visit", IF(Table13[[#This Row],[Visit_Time_Hrs]]&lt;=5,"Medium Visit","Full Day"))</f>
        <v>Short Visit</v>
      </c>
      <c r="T284" s="1" t="str">
        <f>IF(Table13[[#This Row],[Airport_50km_Radius]]="Yes","Accessible","Remote")</f>
        <v>Accessible</v>
      </c>
      <c r="U284" s="1" t="str">
        <f>IF(Table13[[#This Row],[Reiew_Rating]]&gt;=4.7,"Yes","No")</f>
        <v>No</v>
      </c>
      <c r="V284" s="1" t="str">
        <f t="shared" si="16"/>
        <v>Heritage &amp; Culture</v>
      </c>
      <c r="W284" s="1" t="str">
        <f t="shared" si="17"/>
        <v>★★★★★</v>
      </c>
      <c r="X284" s="1" t="str">
        <f t="shared" si="18"/>
        <v>5 / 5 Stars</v>
      </c>
      <c r="Y284" s="1" t="str">
        <f t="shared" si="19"/>
        <v>Low Traffic</v>
      </c>
    </row>
    <row r="285" spans="1:25" x14ac:dyDescent="0.3">
      <c r="A285" s="2" t="s">
        <v>606</v>
      </c>
      <c r="B285" s="2" t="s">
        <v>627</v>
      </c>
      <c r="C285" s="2" t="s">
        <v>630</v>
      </c>
      <c r="D285" s="2" t="s">
        <v>631</v>
      </c>
      <c r="E285" s="2" t="s">
        <v>106</v>
      </c>
      <c r="F285" s="1">
        <v>1767</v>
      </c>
      <c r="G285" s="1">
        <v>1</v>
      </c>
      <c r="H285" s="1">
        <v>4.5</v>
      </c>
      <c r="I285" s="1" t="str">
        <f>IF(Table13[[#This Row],[Reiew_Rating]]&gt;=4.5,"Excellent",
IF(Table13[[#This Row],[Reiew_Rating]]&gt;=4,"Good","Average"))</f>
        <v>Excellent</v>
      </c>
      <c r="J285" s="1">
        <v>0</v>
      </c>
      <c r="K285" s="1" t="str">
        <f>IF(Table13[[#This Row],[Entrance_Fee_INR]]=0,"Free","Paid")</f>
        <v>Free</v>
      </c>
      <c r="L285" s="2" t="s">
        <v>29</v>
      </c>
      <c r="M285" s="2" t="s">
        <v>721</v>
      </c>
      <c r="N285" s="2" t="s">
        <v>94</v>
      </c>
      <c r="O285" s="2" t="s">
        <v>19</v>
      </c>
      <c r="P285" s="3">
        <v>0.01</v>
      </c>
      <c r="Q285" s="2" t="s">
        <v>37</v>
      </c>
      <c r="R285" s="1" t="str">
        <f>IF(Table13[[#This Row],[Number_Review_Lakhs]]&gt;=1,"Highly Popular", IF(Table13[[#This Row],[Number_Review_Lakhs]]&gt;=0.5,"Popular","Less Popular"))</f>
        <v>Less Popular</v>
      </c>
      <c r="S285" s="1" t="str">
        <f>IF(Table13[[#This Row],[Visit_Time_Hrs]]&lt;=2,"Short Visit", IF(Table13[[#This Row],[Visit_Time_Hrs]]&lt;=5,"Medium Visit","Full Day"))</f>
        <v>Short Visit</v>
      </c>
      <c r="T285" s="1" t="str">
        <f>IF(Table13[[#This Row],[Airport_50km_Radius]]="Yes","Accessible","Remote")</f>
        <v>Remote</v>
      </c>
      <c r="U285" s="1" t="str">
        <f>IF(Table13[[#This Row],[Reiew_Rating]]&gt;=4.7,"Yes","No")</f>
        <v>No</v>
      </c>
      <c r="V285" s="1" t="str">
        <f t="shared" si="16"/>
        <v>Nature &amp; Wildlife</v>
      </c>
      <c r="W285" s="1" t="str">
        <f t="shared" si="17"/>
        <v>★★★★★</v>
      </c>
      <c r="X285" s="1" t="str">
        <f t="shared" si="18"/>
        <v>5 / 5 Stars</v>
      </c>
      <c r="Y285" s="1" t="str">
        <f t="shared" si="19"/>
        <v>Low Traffic</v>
      </c>
    </row>
    <row r="286" spans="1:25" x14ac:dyDescent="0.3">
      <c r="A286" s="2" t="s">
        <v>606</v>
      </c>
      <c r="B286" s="2" t="s">
        <v>627</v>
      </c>
      <c r="C286" s="2" t="s">
        <v>632</v>
      </c>
      <c r="D286" s="2" t="s">
        <v>633</v>
      </c>
      <c r="E286" s="2" t="s">
        <v>634</v>
      </c>
      <c r="F286" s="1">
        <v>700</v>
      </c>
      <c r="G286" s="1">
        <v>1.5</v>
      </c>
      <c r="H286" s="1">
        <v>4.5</v>
      </c>
      <c r="I286" s="1" t="str">
        <f>IF(Table13[[#This Row],[Reiew_Rating]]&gt;=4.5,"Excellent",
IF(Table13[[#This Row],[Reiew_Rating]]&gt;=4,"Good","Average"))</f>
        <v>Excellent</v>
      </c>
      <c r="J286" s="1">
        <v>20</v>
      </c>
      <c r="K286" s="1" t="str">
        <f>IF(Table13[[#This Row],[Entrance_Fee_INR]]=0,"Free","Paid")</f>
        <v>Paid</v>
      </c>
      <c r="L286" s="2" t="s">
        <v>29</v>
      </c>
      <c r="M286" s="2" t="s">
        <v>57</v>
      </c>
      <c r="N286" s="2" t="s">
        <v>21</v>
      </c>
      <c r="O286" s="2" t="s">
        <v>19</v>
      </c>
      <c r="P286" s="3">
        <v>2.5000000000000001E-2</v>
      </c>
      <c r="Q286" s="2" t="s">
        <v>37</v>
      </c>
      <c r="R286" s="1" t="str">
        <f>IF(Table13[[#This Row],[Number_Review_Lakhs]]&gt;=1,"Highly Popular", IF(Table13[[#This Row],[Number_Review_Lakhs]]&gt;=0.5,"Popular","Less Popular"))</f>
        <v>Less Popular</v>
      </c>
      <c r="S286" s="1" t="str">
        <f>IF(Table13[[#This Row],[Visit_Time_Hrs]]&lt;=2,"Short Visit", IF(Table13[[#This Row],[Visit_Time_Hrs]]&lt;=5,"Medium Visit","Full Day"))</f>
        <v>Short Visit</v>
      </c>
      <c r="T286" s="1" t="str">
        <f>IF(Table13[[#This Row],[Airport_50km_Radius]]="Yes","Accessible","Remote")</f>
        <v>Remote</v>
      </c>
      <c r="U286" s="1" t="str">
        <f>IF(Table13[[#This Row],[Reiew_Rating]]&gt;=4.7,"Yes","No")</f>
        <v>No</v>
      </c>
      <c r="V286" s="1" t="str">
        <f t="shared" si="16"/>
        <v>Heritage &amp; Culture</v>
      </c>
      <c r="W286" s="1" t="str">
        <f t="shared" si="17"/>
        <v>★★★★★</v>
      </c>
      <c r="X286" s="1" t="str">
        <f t="shared" si="18"/>
        <v>5 / 5 Stars</v>
      </c>
      <c r="Y286" s="1" t="str">
        <f t="shared" si="19"/>
        <v>Low Traffic</v>
      </c>
    </row>
    <row r="287" spans="1:25" x14ac:dyDescent="0.3">
      <c r="A287" s="2" t="s">
        <v>306</v>
      </c>
      <c r="B287" s="2" t="s">
        <v>635</v>
      </c>
      <c r="C287" s="2" t="s">
        <v>636</v>
      </c>
      <c r="D287" s="2" t="s">
        <v>637</v>
      </c>
      <c r="E287" s="2" t="s">
        <v>142</v>
      </c>
      <c r="F287" s="1">
        <v>1679</v>
      </c>
      <c r="G287" s="1">
        <v>1.5</v>
      </c>
      <c r="H287" s="1">
        <v>4.5999999999999996</v>
      </c>
      <c r="I287" s="1" t="str">
        <f>IF(Table13[[#This Row],[Reiew_Rating]]&gt;=4.5,"Excellent",
IF(Table13[[#This Row],[Reiew_Rating]]&gt;=4,"Good","Average"))</f>
        <v>Excellent</v>
      </c>
      <c r="J287" s="1">
        <v>0</v>
      </c>
      <c r="K287" s="1" t="str">
        <f>IF(Table13[[#This Row],[Entrance_Fee_INR]]=0,"Free","Paid")</f>
        <v>Free</v>
      </c>
      <c r="L287" s="2" t="s">
        <v>29</v>
      </c>
      <c r="M287" s="2" t="s">
        <v>57</v>
      </c>
      <c r="N287" s="2" t="s">
        <v>94</v>
      </c>
      <c r="O287" s="2" t="s">
        <v>19</v>
      </c>
      <c r="P287" s="3">
        <v>0.19</v>
      </c>
      <c r="Q287" s="2" t="s">
        <v>37</v>
      </c>
      <c r="R287" s="1" t="str">
        <f>IF(Table13[[#This Row],[Number_Review_Lakhs]]&gt;=1,"Highly Popular", IF(Table13[[#This Row],[Number_Review_Lakhs]]&gt;=0.5,"Popular","Less Popular"))</f>
        <v>Less Popular</v>
      </c>
      <c r="S287" s="1" t="str">
        <f>IF(Table13[[#This Row],[Visit_Time_Hrs]]&lt;=2,"Short Visit", IF(Table13[[#This Row],[Visit_Time_Hrs]]&lt;=5,"Medium Visit","Full Day"))</f>
        <v>Short Visit</v>
      </c>
      <c r="T287" s="1" t="str">
        <f>IF(Table13[[#This Row],[Airport_50km_Radius]]="Yes","Accessible","Remote")</f>
        <v>Remote</v>
      </c>
      <c r="U287" s="1" t="str">
        <f>IF(Table13[[#This Row],[Reiew_Rating]]&gt;=4.7,"Yes","No")</f>
        <v>No</v>
      </c>
      <c r="V287" s="1" t="str">
        <f t="shared" si="16"/>
        <v>Nature &amp; Wildlife</v>
      </c>
      <c r="W287" s="1" t="str">
        <f t="shared" si="17"/>
        <v>★★★★★</v>
      </c>
      <c r="X287" s="1" t="str">
        <f t="shared" si="18"/>
        <v>5 / 5 Stars</v>
      </c>
      <c r="Y287" s="1" t="str">
        <f t="shared" si="19"/>
        <v>Low Traffic</v>
      </c>
    </row>
    <row r="288" spans="1:25" x14ac:dyDescent="0.3">
      <c r="A288" s="2" t="s">
        <v>606</v>
      </c>
      <c r="B288" s="2" t="s">
        <v>638</v>
      </c>
      <c r="C288" s="2" t="s">
        <v>639</v>
      </c>
      <c r="D288" s="2" t="s">
        <v>639</v>
      </c>
      <c r="E288" s="2" t="s">
        <v>300</v>
      </c>
      <c r="F288" s="1">
        <v>1525</v>
      </c>
      <c r="G288" s="1">
        <v>3</v>
      </c>
      <c r="H288" s="1">
        <v>4.7</v>
      </c>
      <c r="I288" s="1" t="str">
        <f>IF(Table13[[#This Row],[Reiew_Rating]]&gt;=4.5,"Excellent",
IF(Table13[[#This Row],[Reiew_Rating]]&gt;=4,"Good","Average"))</f>
        <v>Excellent</v>
      </c>
      <c r="J288" s="1">
        <v>0</v>
      </c>
      <c r="K288" s="1" t="str">
        <f>IF(Table13[[#This Row],[Entrance_Fee_INR]]=0,"Free","Paid")</f>
        <v>Free</v>
      </c>
      <c r="L288" s="2" t="s">
        <v>29</v>
      </c>
      <c r="M288" s="2" t="s">
        <v>720</v>
      </c>
      <c r="N288" s="2" t="s">
        <v>372</v>
      </c>
      <c r="O288" s="2" t="s">
        <v>19</v>
      </c>
      <c r="P288" s="3">
        <v>0.01</v>
      </c>
      <c r="Q288" s="2" t="s">
        <v>25</v>
      </c>
      <c r="R288" s="1" t="str">
        <f>IF(Table13[[#This Row],[Number_Review_Lakhs]]&gt;=1,"Highly Popular", IF(Table13[[#This Row],[Number_Review_Lakhs]]&gt;=0.5,"Popular","Less Popular"))</f>
        <v>Less Popular</v>
      </c>
      <c r="S288" s="1" t="str">
        <f>IF(Table13[[#This Row],[Visit_Time_Hrs]]&lt;=2,"Short Visit", IF(Table13[[#This Row],[Visit_Time_Hrs]]&lt;=5,"Medium Visit","Full Day"))</f>
        <v>Medium Visit</v>
      </c>
      <c r="T288" s="1" t="str">
        <f>IF(Table13[[#This Row],[Airport_50km_Radius]]="Yes","Accessible","Remote")</f>
        <v>Remote</v>
      </c>
      <c r="U288" s="1" t="str">
        <f>IF(Table13[[#This Row],[Reiew_Rating]]&gt;=4.7,"Yes","No")</f>
        <v>Yes</v>
      </c>
      <c r="V288" s="1" t="str">
        <f t="shared" si="16"/>
        <v>Other</v>
      </c>
      <c r="W288" s="1" t="str">
        <f t="shared" si="17"/>
        <v>★★★★★</v>
      </c>
      <c r="X288" s="1" t="str">
        <f t="shared" si="18"/>
        <v>5 / 5 Stars</v>
      </c>
      <c r="Y288" s="1" t="str">
        <f t="shared" si="19"/>
        <v>Low Traffic</v>
      </c>
    </row>
    <row r="289" spans="1:25" x14ac:dyDescent="0.3">
      <c r="A289" s="2" t="s">
        <v>87</v>
      </c>
      <c r="B289" s="2" t="s">
        <v>640</v>
      </c>
      <c r="C289" s="2" t="s">
        <v>640</v>
      </c>
      <c r="D289" s="2" t="s">
        <v>641</v>
      </c>
      <c r="E289" s="2" t="s">
        <v>79</v>
      </c>
      <c r="F289" s="1">
        <v>1938</v>
      </c>
      <c r="G289" s="1">
        <v>1</v>
      </c>
      <c r="H289" s="1">
        <v>4.5</v>
      </c>
      <c r="I289" s="1" t="str">
        <f>IF(Table13[[#This Row],[Reiew_Rating]]&gt;=4.5,"Excellent",
IF(Table13[[#This Row],[Reiew_Rating]]&gt;=4,"Good","Average"))</f>
        <v>Excellent</v>
      </c>
      <c r="J289" s="1">
        <v>0</v>
      </c>
      <c r="K289" s="1" t="str">
        <f>IF(Table13[[#This Row],[Entrance_Fee_INR]]=0,"Free","Paid")</f>
        <v>Free</v>
      </c>
      <c r="L289" s="2" t="s">
        <v>19</v>
      </c>
      <c r="M289" s="2" t="s">
        <v>40</v>
      </c>
      <c r="N289" s="2" t="s">
        <v>80</v>
      </c>
      <c r="O289" s="2" t="s">
        <v>19</v>
      </c>
      <c r="P289" s="3">
        <v>0.09</v>
      </c>
      <c r="Q289" s="2" t="s">
        <v>37</v>
      </c>
      <c r="R289" s="1" t="str">
        <f>IF(Table13[[#This Row],[Number_Review_Lakhs]]&gt;=1,"Highly Popular", IF(Table13[[#This Row],[Number_Review_Lakhs]]&gt;=0.5,"Popular","Less Popular"))</f>
        <v>Less Popular</v>
      </c>
      <c r="S289" s="1" t="str">
        <f>IF(Table13[[#This Row],[Visit_Time_Hrs]]&lt;=2,"Short Visit", IF(Table13[[#This Row],[Visit_Time_Hrs]]&lt;=5,"Medium Visit","Full Day"))</f>
        <v>Short Visit</v>
      </c>
      <c r="T289" s="1" t="str">
        <f>IF(Table13[[#This Row],[Airport_50km_Radius]]="Yes","Accessible","Remote")</f>
        <v>Accessible</v>
      </c>
      <c r="U289" s="1" t="str">
        <f>IF(Table13[[#This Row],[Reiew_Rating]]&gt;=4.7,"Yes","No")</f>
        <v>No</v>
      </c>
      <c r="V289" s="1" t="str">
        <f t="shared" si="16"/>
        <v>Leisure &amp; Commerce</v>
      </c>
      <c r="W289" s="1" t="str">
        <f t="shared" si="17"/>
        <v>★★★★★</v>
      </c>
      <c r="X289" s="1" t="str">
        <f t="shared" si="18"/>
        <v>5 / 5 Stars</v>
      </c>
      <c r="Y289" s="1" t="str">
        <f t="shared" si="19"/>
        <v>Low Traffic</v>
      </c>
    </row>
    <row r="290" spans="1:25" x14ac:dyDescent="0.3">
      <c r="A290" s="2" t="s">
        <v>87</v>
      </c>
      <c r="B290" s="2" t="s">
        <v>640</v>
      </c>
      <c r="C290" s="2" t="s">
        <v>642</v>
      </c>
      <c r="D290" s="2" t="s">
        <v>642</v>
      </c>
      <c r="E290" s="2" t="s">
        <v>643</v>
      </c>
      <c r="F290" s="1">
        <v>1968</v>
      </c>
      <c r="G290" s="1">
        <v>2</v>
      </c>
      <c r="H290" s="1">
        <v>4.0999999999999996</v>
      </c>
      <c r="I290" s="1" t="str">
        <f>IF(Table13[[#This Row],[Reiew_Rating]]&gt;=4.5,"Excellent",
IF(Table13[[#This Row],[Reiew_Rating]]&gt;=4,"Good","Average"))</f>
        <v>Good</v>
      </c>
      <c r="J290" s="1">
        <v>0</v>
      </c>
      <c r="K290" s="1" t="str">
        <f>IF(Table13[[#This Row],[Entrance_Fee_INR]]=0,"Free","Paid")</f>
        <v>Free</v>
      </c>
      <c r="L290" s="2" t="s">
        <v>19</v>
      </c>
      <c r="M290" s="2" t="s">
        <v>40</v>
      </c>
      <c r="N290" s="2" t="s">
        <v>169</v>
      </c>
      <c r="O290" s="2" t="s">
        <v>19</v>
      </c>
      <c r="P290" s="3">
        <v>3.5000000000000003E-2</v>
      </c>
      <c r="Q290" s="2" t="s">
        <v>51</v>
      </c>
      <c r="R290" s="1" t="str">
        <f>IF(Table13[[#This Row],[Number_Review_Lakhs]]&gt;=1,"Highly Popular", IF(Table13[[#This Row],[Number_Review_Lakhs]]&gt;=0.5,"Popular","Less Popular"))</f>
        <v>Less Popular</v>
      </c>
      <c r="S290" s="1" t="str">
        <f>IF(Table13[[#This Row],[Visit_Time_Hrs]]&lt;=2,"Short Visit", IF(Table13[[#This Row],[Visit_Time_Hrs]]&lt;=5,"Medium Visit","Full Day"))</f>
        <v>Short Visit</v>
      </c>
      <c r="T290" s="1" t="str">
        <f>IF(Table13[[#This Row],[Airport_50km_Radius]]="Yes","Accessible","Remote")</f>
        <v>Accessible</v>
      </c>
      <c r="U290" s="1" t="str">
        <f>IF(Table13[[#This Row],[Reiew_Rating]]&gt;=4.7,"Yes","No")</f>
        <v>No</v>
      </c>
      <c r="V290" s="1" t="str">
        <f t="shared" si="16"/>
        <v>Other</v>
      </c>
      <c r="W290" s="1" t="str">
        <f t="shared" si="17"/>
        <v>★★★★☆</v>
      </c>
      <c r="X290" s="1" t="str">
        <f t="shared" si="18"/>
        <v>4 / 5 Stars</v>
      </c>
      <c r="Y290" s="1" t="str">
        <f t="shared" si="19"/>
        <v>Low Traffic</v>
      </c>
    </row>
    <row r="291" spans="1:25" x14ac:dyDescent="0.3">
      <c r="A291" s="2" t="s">
        <v>87</v>
      </c>
      <c r="B291" s="2" t="s">
        <v>640</v>
      </c>
      <c r="C291" s="2" t="s">
        <v>640</v>
      </c>
      <c r="D291" s="2" t="s">
        <v>644</v>
      </c>
      <c r="E291" s="2" t="s">
        <v>79</v>
      </c>
      <c r="F291" s="1">
        <v>1804</v>
      </c>
      <c r="G291" s="1">
        <v>1</v>
      </c>
      <c r="H291" s="1">
        <v>4.5</v>
      </c>
      <c r="I291" s="1" t="str">
        <f>IF(Table13[[#This Row],[Reiew_Rating]]&gt;=4.5,"Excellent",
IF(Table13[[#This Row],[Reiew_Rating]]&gt;=4,"Good","Average"))</f>
        <v>Excellent</v>
      </c>
      <c r="J291" s="1">
        <v>200</v>
      </c>
      <c r="K291" s="1" t="str">
        <f>IF(Table13[[#This Row],[Entrance_Fee_INR]]=0,"Free","Paid")</f>
        <v>Paid</v>
      </c>
      <c r="L291" s="2" t="s">
        <v>19</v>
      </c>
      <c r="M291" s="2" t="s">
        <v>721</v>
      </c>
      <c r="N291" s="2" t="s">
        <v>80</v>
      </c>
      <c r="O291" s="2" t="s">
        <v>19</v>
      </c>
      <c r="P291" s="3">
        <v>1.4999999999999999E-2</v>
      </c>
      <c r="Q291" s="2" t="s">
        <v>37</v>
      </c>
      <c r="R291" s="1" t="str">
        <f>IF(Table13[[#This Row],[Number_Review_Lakhs]]&gt;=1,"Highly Popular", IF(Table13[[#This Row],[Number_Review_Lakhs]]&gt;=0.5,"Popular","Less Popular"))</f>
        <v>Less Popular</v>
      </c>
      <c r="S291" s="1" t="str">
        <f>IF(Table13[[#This Row],[Visit_Time_Hrs]]&lt;=2,"Short Visit", IF(Table13[[#This Row],[Visit_Time_Hrs]]&lt;=5,"Medium Visit","Full Day"))</f>
        <v>Short Visit</v>
      </c>
      <c r="T291" s="1" t="str">
        <f>IF(Table13[[#This Row],[Airport_50km_Radius]]="Yes","Accessible","Remote")</f>
        <v>Accessible</v>
      </c>
      <c r="U291" s="1" t="str">
        <f>IF(Table13[[#This Row],[Reiew_Rating]]&gt;=4.7,"Yes","No")</f>
        <v>No</v>
      </c>
      <c r="V291" s="1" t="str">
        <f t="shared" si="16"/>
        <v>Leisure &amp; Commerce</v>
      </c>
      <c r="W291" s="1" t="str">
        <f t="shared" si="17"/>
        <v>★★★★★</v>
      </c>
      <c r="X291" s="1" t="str">
        <f t="shared" si="18"/>
        <v>5 / 5 Stars</v>
      </c>
      <c r="Y291" s="1" t="str">
        <f t="shared" si="19"/>
        <v>Low Traffic</v>
      </c>
    </row>
    <row r="292" spans="1:25" x14ac:dyDescent="0.3">
      <c r="A292" s="2" t="s">
        <v>87</v>
      </c>
      <c r="B292" s="2" t="s">
        <v>645</v>
      </c>
      <c r="C292" s="2" t="s">
        <v>646</v>
      </c>
      <c r="D292" s="2" t="s">
        <v>647</v>
      </c>
      <c r="E292" s="2" t="s">
        <v>103</v>
      </c>
      <c r="F292" s="1">
        <v>1906</v>
      </c>
      <c r="G292" s="1">
        <v>1.5</v>
      </c>
      <c r="H292" s="1">
        <v>4.7</v>
      </c>
      <c r="I292" s="1" t="str">
        <f>IF(Table13[[#This Row],[Reiew_Rating]]&gt;=4.5,"Excellent",
IF(Table13[[#This Row],[Reiew_Rating]]&gt;=4,"Good","Average"))</f>
        <v>Excellent</v>
      </c>
      <c r="J292" s="1">
        <v>30</v>
      </c>
      <c r="K292" s="1" t="str">
        <f>IF(Table13[[#This Row],[Entrance_Fee_INR]]=0,"Free","Paid")</f>
        <v>Paid</v>
      </c>
      <c r="L292" s="2" t="s">
        <v>19</v>
      </c>
      <c r="M292" s="2" t="s">
        <v>32</v>
      </c>
      <c r="N292" s="2" t="s">
        <v>21</v>
      </c>
      <c r="O292" s="2" t="s">
        <v>19</v>
      </c>
      <c r="P292" s="3">
        <v>0.12</v>
      </c>
      <c r="Q292" s="2" t="s">
        <v>25</v>
      </c>
      <c r="R292" s="1" t="str">
        <f>IF(Table13[[#This Row],[Number_Review_Lakhs]]&gt;=1,"Highly Popular", IF(Table13[[#This Row],[Number_Review_Lakhs]]&gt;=0.5,"Popular","Less Popular"))</f>
        <v>Less Popular</v>
      </c>
      <c r="S292" s="1" t="str">
        <f>IF(Table13[[#This Row],[Visit_Time_Hrs]]&lt;=2,"Short Visit", IF(Table13[[#This Row],[Visit_Time_Hrs]]&lt;=5,"Medium Visit","Full Day"))</f>
        <v>Short Visit</v>
      </c>
      <c r="T292" s="1" t="str">
        <f>IF(Table13[[#This Row],[Airport_50km_Radius]]="Yes","Accessible","Remote")</f>
        <v>Accessible</v>
      </c>
      <c r="U292" s="1" t="str">
        <f>IF(Table13[[#This Row],[Reiew_Rating]]&gt;=4.7,"Yes","No")</f>
        <v>Yes</v>
      </c>
      <c r="V292" s="1" t="str">
        <f t="shared" si="16"/>
        <v>Heritage &amp; Culture</v>
      </c>
      <c r="W292" s="1" t="str">
        <f t="shared" si="17"/>
        <v>★★★★★</v>
      </c>
      <c r="X292" s="1" t="str">
        <f t="shared" si="18"/>
        <v>5 / 5 Stars</v>
      </c>
      <c r="Y292" s="1" t="str">
        <f t="shared" si="19"/>
        <v>Low Traffic</v>
      </c>
    </row>
    <row r="293" spans="1:25" x14ac:dyDescent="0.3">
      <c r="A293" s="2" t="s">
        <v>87</v>
      </c>
      <c r="B293" s="2" t="s">
        <v>645</v>
      </c>
      <c r="C293" s="2" t="s">
        <v>648</v>
      </c>
      <c r="D293" s="2" t="s">
        <v>649</v>
      </c>
      <c r="E293" s="2" t="s">
        <v>79</v>
      </c>
      <c r="F293" s="1">
        <v>1433</v>
      </c>
      <c r="G293" s="1">
        <v>1</v>
      </c>
      <c r="H293" s="1">
        <v>4.8</v>
      </c>
      <c r="I293" s="1" t="str">
        <f>IF(Table13[[#This Row],[Reiew_Rating]]&gt;=4.5,"Excellent",
IF(Table13[[#This Row],[Reiew_Rating]]&gt;=4,"Good","Average"))</f>
        <v>Excellent</v>
      </c>
      <c r="J293" s="1">
        <v>0</v>
      </c>
      <c r="K293" s="1" t="str">
        <f>IF(Table13[[#This Row],[Entrance_Fee_INR]]=0,"Free","Paid")</f>
        <v>Free</v>
      </c>
      <c r="L293" s="2" t="s">
        <v>29</v>
      </c>
      <c r="M293" s="2" t="s">
        <v>305</v>
      </c>
      <c r="N293" s="2" t="s">
        <v>94</v>
      </c>
      <c r="O293" s="2" t="s">
        <v>19</v>
      </c>
      <c r="P293" s="3">
        <v>0.09</v>
      </c>
      <c r="Q293" s="2" t="s">
        <v>37</v>
      </c>
      <c r="R293" s="1" t="str">
        <f>IF(Table13[[#This Row],[Number_Review_Lakhs]]&gt;=1,"Highly Popular", IF(Table13[[#This Row],[Number_Review_Lakhs]]&gt;=0.5,"Popular","Less Popular"))</f>
        <v>Less Popular</v>
      </c>
      <c r="S293" s="1" t="str">
        <f>IF(Table13[[#This Row],[Visit_Time_Hrs]]&lt;=2,"Short Visit", IF(Table13[[#This Row],[Visit_Time_Hrs]]&lt;=5,"Medium Visit","Full Day"))</f>
        <v>Short Visit</v>
      </c>
      <c r="T293" s="1" t="str">
        <f>IF(Table13[[#This Row],[Airport_50km_Radius]]="Yes","Accessible","Remote")</f>
        <v>Remote</v>
      </c>
      <c r="U293" s="1" t="str">
        <f>IF(Table13[[#This Row],[Reiew_Rating]]&gt;=4.7,"Yes","No")</f>
        <v>Yes</v>
      </c>
      <c r="V293" s="1" t="str">
        <f t="shared" si="16"/>
        <v>Nature &amp; Wildlife</v>
      </c>
      <c r="W293" s="1" t="str">
        <f t="shared" si="17"/>
        <v>★★★★★</v>
      </c>
      <c r="X293" s="1" t="str">
        <f t="shared" si="18"/>
        <v>5 / 5 Stars</v>
      </c>
      <c r="Y293" s="1" t="str">
        <f t="shared" si="19"/>
        <v>Low Traffic</v>
      </c>
    </row>
    <row r="294" spans="1:25" x14ac:dyDescent="0.3">
      <c r="A294" s="2" t="s">
        <v>87</v>
      </c>
      <c r="B294" s="2" t="s">
        <v>645</v>
      </c>
      <c r="C294" s="2" t="s">
        <v>650</v>
      </c>
      <c r="D294" s="2" t="s">
        <v>651</v>
      </c>
      <c r="E294" s="2" t="s">
        <v>79</v>
      </c>
      <c r="F294" s="1">
        <v>1793</v>
      </c>
      <c r="G294" s="1">
        <v>1</v>
      </c>
      <c r="H294" s="1">
        <v>4.5</v>
      </c>
      <c r="I294" s="1" t="str">
        <f>IF(Table13[[#This Row],[Reiew_Rating]]&gt;=4.5,"Excellent",
IF(Table13[[#This Row],[Reiew_Rating]]&gt;=4,"Good","Average"))</f>
        <v>Excellent</v>
      </c>
      <c r="J294" s="1">
        <v>0</v>
      </c>
      <c r="K294" s="1" t="str">
        <f>IF(Table13[[#This Row],[Entrance_Fee_INR]]=0,"Free","Paid")</f>
        <v>Free</v>
      </c>
      <c r="L294" s="2" t="s">
        <v>29</v>
      </c>
      <c r="M294" s="2" t="s">
        <v>57</v>
      </c>
      <c r="N294" s="2" t="s">
        <v>94</v>
      </c>
      <c r="O294" s="2" t="s">
        <v>19</v>
      </c>
      <c r="P294" s="3">
        <v>0.04</v>
      </c>
      <c r="Q294" s="2" t="s">
        <v>37</v>
      </c>
      <c r="R294" s="1" t="str">
        <f>IF(Table13[[#This Row],[Number_Review_Lakhs]]&gt;=1,"Highly Popular", IF(Table13[[#This Row],[Number_Review_Lakhs]]&gt;=0.5,"Popular","Less Popular"))</f>
        <v>Less Popular</v>
      </c>
      <c r="S294" s="1" t="str">
        <f>IF(Table13[[#This Row],[Visit_Time_Hrs]]&lt;=2,"Short Visit", IF(Table13[[#This Row],[Visit_Time_Hrs]]&lt;=5,"Medium Visit","Full Day"))</f>
        <v>Short Visit</v>
      </c>
      <c r="T294" s="1" t="str">
        <f>IF(Table13[[#This Row],[Airport_50km_Radius]]="Yes","Accessible","Remote")</f>
        <v>Remote</v>
      </c>
      <c r="U294" s="1" t="str">
        <f>IF(Table13[[#This Row],[Reiew_Rating]]&gt;=4.7,"Yes","No")</f>
        <v>No</v>
      </c>
      <c r="V294" s="1" t="str">
        <f t="shared" si="16"/>
        <v>Nature &amp; Wildlife</v>
      </c>
      <c r="W294" s="1" t="str">
        <f t="shared" si="17"/>
        <v>★★★★★</v>
      </c>
      <c r="X294" s="1" t="str">
        <f t="shared" si="18"/>
        <v>5 / 5 Stars</v>
      </c>
      <c r="Y294" s="1" t="str">
        <f t="shared" si="19"/>
        <v>Low Traffic</v>
      </c>
    </row>
    <row r="295" spans="1:25" x14ac:dyDescent="0.3">
      <c r="A295" s="2" t="s">
        <v>87</v>
      </c>
      <c r="B295" s="2" t="s">
        <v>645</v>
      </c>
      <c r="C295" s="2" t="s">
        <v>652</v>
      </c>
      <c r="D295" s="2" t="s">
        <v>653</v>
      </c>
      <c r="E295" s="2" t="s">
        <v>654</v>
      </c>
      <c r="F295" s="1">
        <v>1557</v>
      </c>
      <c r="G295" s="1">
        <v>1.5</v>
      </c>
      <c r="H295" s="1">
        <v>4.4000000000000004</v>
      </c>
      <c r="I295" s="1" t="str">
        <f>IF(Table13[[#This Row],[Reiew_Rating]]&gt;=4.5,"Excellent",
IF(Table13[[#This Row],[Reiew_Rating]]&gt;=4,"Good","Average"))</f>
        <v>Good</v>
      </c>
      <c r="J295" s="1">
        <v>250</v>
      </c>
      <c r="K295" s="1" t="str">
        <f>IF(Table13[[#This Row],[Entrance_Fee_INR]]=0,"Free","Paid")</f>
        <v>Paid</v>
      </c>
      <c r="L295" s="2" t="s">
        <v>29</v>
      </c>
      <c r="M295" s="2" t="s">
        <v>720</v>
      </c>
      <c r="N295" s="2" t="s">
        <v>94</v>
      </c>
      <c r="O295" s="2" t="s">
        <v>19</v>
      </c>
      <c r="P295" s="3">
        <v>1.4999999999999999E-2</v>
      </c>
      <c r="Q295" s="2" t="s">
        <v>37</v>
      </c>
      <c r="R295" s="1" t="str">
        <f>IF(Table13[[#This Row],[Number_Review_Lakhs]]&gt;=1,"Highly Popular", IF(Table13[[#This Row],[Number_Review_Lakhs]]&gt;=0.5,"Popular","Less Popular"))</f>
        <v>Less Popular</v>
      </c>
      <c r="S295" s="1" t="str">
        <f>IF(Table13[[#This Row],[Visit_Time_Hrs]]&lt;=2,"Short Visit", IF(Table13[[#This Row],[Visit_Time_Hrs]]&lt;=5,"Medium Visit","Full Day"))</f>
        <v>Short Visit</v>
      </c>
      <c r="T295" s="1" t="str">
        <f>IF(Table13[[#This Row],[Airport_50km_Radius]]="Yes","Accessible","Remote")</f>
        <v>Remote</v>
      </c>
      <c r="U295" s="1" t="str">
        <f>IF(Table13[[#This Row],[Reiew_Rating]]&gt;=4.7,"Yes","No")</f>
        <v>No</v>
      </c>
      <c r="V295" s="1" t="str">
        <f t="shared" si="16"/>
        <v>Nature &amp; Wildlife</v>
      </c>
      <c r="W295" s="1" t="str">
        <f t="shared" si="17"/>
        <v>★★★★☆</v>
      </c>
      <c r="X295" s="1" t="str">
        <f t="shared" si="18"/>
        <v>4 / 5 Stars</v>
      </c>
      <c r="Y295" s="1" t="str">
        <f t="shared" si="19"/>
        <v>Low Traffic</v>
      </c>
    </row>
    <row r="296" spans="1:25" x14ac:dyDescent="0.3">
      <c r="A296" s="2" t="s">
        <v>62</v>
      </c>
      <c r="B296" s="2" t="s">
        <v>655</v>
      </c>
      <c r="C296" s="2" t="s">
        <v>656</v>
      </c>
      <c r="D296" s="2" t="s">
        <v>657</v>
      </c>
      <c r="E296" s="2" t="s">
        <v>263</v>
      </c>
      <c r="F296" s="1">
        <v>1783</v>
      </c>
      <c r="G296" s="1">
        <v>1</v>
      </c>
      <c r="H296" s="1">
        <v>4.5</v>
      </c>
      <c r="I296" s="1" t="str">
        <f>IF(Table13[[#This Row],[Reiew_Rating]]&gt;=4.5,"Excellent",
IF(Table13[[#This Row],[Reiew_Rating]]&gt;=4,"Good","Average"))</f>
        <v>Excellent</v>
      </c>
      <c r="J296" s="1">
        <v>0</v>
      </c>
      <c r="K296" s="1" t="str">
        <f>IF(Table13[[#This Row],[Entrance_Fee_INR]]=0,"Free","Paid")</f>
        <v>Free</v>
      </c>
      <c r="L296" s="2" t="s">
        <v>29</v>
      </c>
      <c r="M296" s="2" t="s">
        <v>32</v>
      </c>
      <c r="N296" s="2" t="s">
        <v>94</v>
      </c>
      <c r="O296" s="2" t="s">
        <v>19</v>
      </c>
      <c r="P296" s="3">
        <v>0.6</v>
      </c>
      <c r="Q296" s="2" t="s">
        <v>25</v>
      </c>
      <c r="R296" s="1" t="str">
        <f>IF(Table13[[#This Row],[Number_Review_Lakhs]]&gt;=1,"Highly Popular", IF(Table13[[#This Row],[Number_Review_Lakhs]]&gt;=0.5,"Popular","Less Popular"))</f>
        <v>Popular</v>
      </c>
      <c r="S296" s="1" t="str">
        <f>IF(Table13[[#This Row],[Visit_Time_Hrs]]&lt;=2,"Short Visit", IF(Table13[[#This Row],[Visit_Time_Hrs]]&lt;=5,"Medium Visit","Full Day"))</f>
        <v>Short Visit</v>
      </c>
      <c r="T296" s="1" t="str">
        <f>IF(Table13[[#This Row],[Airport_50km_Radius]]="Yes","Accessible","Remote")</f>
        <v>Remote</v>
      </c>
      <c r="U296" s="1" t="str">
        <f>IF(Table13[[#This Row],[Reiew_Rating]]&gt;=4.7,"Yes","No")</f>
        <v>No</v>
      </c>
      <c r="V296" s="1" t="str">
        <f t="shared" si="16"/>
        <v>Nature &amp; Wildlife</v>
      </c>
      <c r="W296" s="1" t="str">
        <f t="shared" si="17"/>
        <v>★★★★★</v>
      </c>
      <c r="X296" s="1" t="str">
        <f t="shared" si="18"/>
        <v>5 / 5 Stars</v>
      </c>
      <c r="Y296" s="1" t="str">
        <f t="shared" si="19"/>
        <v>Medium Traffic</v>
      </c>
    </row>
    <row r="297" spans="1:25" x14ac:dyDescent="0.3">
      <c r="A297" s="2" t="s">
        <v>62</v>
      </c>
      <c r="B297" s="2" t="s">
        <v>655</v>
      </c>
      <c r="C297" s="2" t="s">
        <v>656</v>
      </c>
      <c r="D297" s="2" t="s">
        <v>658</v>
      </c>
      <c r="E297" s="2" t="s">
        <v>43</v>
      </c>
      <c r="F297" s="1">
        <v>1535</v>
      </c>
      <c r="G297" s="1">
        <v>1.5</v>
      </c>
      <c r="H297" s="1">
        <v>4.5999999999999996</v>
      </c>
      <c r="I297" s="1" t="str">
        <f>IF(Table13[[#This Row],[Reiew_Rating]]&gt;=4.5,"Excellent",
IF(Table13[[#This Row],[Reiew_Rating]]&gt;=4,"Good","Average"))</f>
        <v>Excellent</v>
      </c>
      <c r="J297" s="1">
        <v>0</v>
      </c>
      <c r="K297" s="1" t="str">
        <f>IF(Table13[[#This Row],[Entrance_Fee_INR]]=0,"Free","Paid")</f>
        <v>Free</v>
      </c>
      <c r="L297" s="2" t="s">
        <v>29</v>
      </c>
      <c r="M297" s="2" t="s">
        <v>722</v>
      </c>
      <c r="N297" s="2" t="s">
        <v>21</v>
      </c>
      <c r="O297" s="2" t="s">
        <v>19</v>
      </c>
      <c r="P297" s="3">
        <v>1.2</v>
      </c>
      <c r="Q297" s="2" t="s">
        <v>25</v>
      </c>
      <c r="R297" s="1" t="str">
        <f>IF(Table13[[#This Row],[Number_Review_Lakhs]]&gt;=1,"Highly Popular", IF(Table13[[#This Row],[Number_Review_Lakhs]]&gt;=0.5,"Popular","Less Popular"))</f>
        <v>Highly Popular</v>
      </c>
      <c r="S297" s="1" t="str">
        <f>IF(Table13[[#This Row],[Visit_Time_Hrs]]&lt;=2,"Short Visit", IF(Table13[[#This Row],[Visit_Time_Hrs]]&lt;=5,"Medium Visit","Full Day"))</f>
        <v>Short Visit</v>
      </c>
      <c r="T297" s="1" t="str">
        <f>IF(Table13[[#This Row],[Airport_50km_Radius]]="Yes","Accessible","Remote")</f>
        <v>Remote</v>
      </c>
      <c r="U297" s="1" t="str">
        <f>IF(Table13[[#This Row],[Reiew_Rating]]&gt;=4.7,"Yes","No")</f>
        <v>No</v>
      </c>
      <c r="V297" s="1" t="str">
        <f t="shared" si="16"/>
        <v>Heritage &amp; Culture</v>
      </c>
      <c r="W297" s="1" t="str">
        <f t="shared" si="17"/>
        <v>★★★★★</v>
      </c>
      <c r="X297" s="1" t="str">
        <f t="shared" si="18"/>
        <v>5 / 5 Stars</v>
      </c>
      <c r="Y297" s="1" t="str">
        <f t="shared" si="19"/>
        <v>Medium Traffic</v>
      </c>
    </row>
    <row r="298" spans="1:25" x14ac:dyDescent="0.3">
      <c r="A298" s="2" t="s">
        <v>117</v>
      </c>
      <c r="B298" s="2" t="s">
        <v>659</v>
      </c>
      <c r="C298" s="2" t="s">
        <v>660</v>
      </c>
      <c r="D298" s="2" t="s">
        <v>661</v>
      </c>
      <c r="E298" s="2" t="s">
        <v>27</v>
      </c>
      <c r="F298" s="1">
        <v>1646</v>
      </c>
      <c r="G298" s="1">
        <v>1</v>
      </c>
      <c r="H298" s="1">
        <v>4.7</v>
      </c>
      <c r="I298" s="1" t="str">
        <f>IF(Table13[[#This Row],[Reiew_Rating]]&gt;=4.5,"Excellent",
IF(Table13[[#This Row],[Reiew_Rating]]&gt;=4,"Good","Average"))</f>
        <v>Excellent</v>
      </c>
      <c r="J298" s="1">
        <v>0</v>
      </c>
      <c r="K298" s="1" t="str">
        <f>IF(Table13[[#This Row],[Entrance_Fee_INR]]=0,"Free","Paid")</f>
        <v>Free</v>
      </c>
      <c r="L298" s="2" t="s">
        <v>19</v>
      </c>
      <c r="M298" s="2" t="s">
        <v>32</v>
      </c>
      <c r="N298" s="2" t="s">
        <v>28</v>
      </c>
      <c r="O298" s="2" t="s">
        <v>19</v>
      </c>
      <c r="P298" s="3">
        <v>1.8</v>
      </c>
      <c r="Q298" s="2" t="s">
        <v>51</v>
      </c>
      <c r="R298" s="1" t="str">
        <f>IF(Table13[[#This Row],[Number_Review_Lakhs]]&gt;=1,"Highly Popular", IF(Table13[[#This Row],[Number_Review_Lakhs]]&gt;=0.5,"Popular","Less Popular"))</f>
        <v>Highly Popular</v>
      </c>
      <c r="S298" s="1" t="str">
        <f>IF(Table13[[#This Row],[Visit_Time_Hrs]]&lt;=2,"Short Visit", IF(Table13[[#This Row],[Visit_Time_Hrs]]&lt;=5,"Medium Visit","Full Day"))</f>
        <v>Short Visit</v>
      </c>
      <c r="T298" s="1" t="str">
        <f>IF(Table13[[#This Row],[Airport_50km_Radius]]="Yes","Accessible","Remote")</f>
        <v>Accessible</v>
      </c>
      <c r="U298" s="1" t="str">
        <f>IF(Table13[[#This Row],[Reiew_Rating]]&gt;=4.7,"Yes","No")</f>
        <v>Yes</v>
      </c>
      <c r="V298" s="1" t="str">
        <f t="shared" si="16"/>
        <v>Heritage &amp; Culture</v>
      </c>
      <c r="W298" s="1" t="str">
        <f t="shared" si="17"/>
        <v>★★★★★</v>
      </c>
      <c r="X298" s="1" t="str">
        <f t="shared" si="18"/>
        <v>5 / 5 Stars</v>
      </c>
      <c r="Y298" s="1" t="str">
        <f t="shared" si="19"/>
        <v>High Traffic</v>
      </c>
    </row>
    <row r="299" spans="1:25" x14ac:dyDescent="0.3">
      <c r="A299" s="2" t="s">
        <v>117</v>
      </c>
      <c r="B299" s="2" t="s">
        <v>659</v>
      </c>
      <c r="C299" s="2" t="s">
        <v>662</v>
      </c>
      <c r="D299" s="2" t="s">
        <v>663</v>
      </c>
      <c r="E299" s="2" t="s">
        <v>27</v>
      </c>
      <c r="F299" s="1">
        <v>1506</v>
      </c>
      <c r="G299" s="1">
        <v>1</v>
      </c>
      <c r="H299" s="1">
        <v>4.5999999999999996</v>
      </c>
      <c r="I299" s="1" t="str">
        <f>IF(Table13[[#This Row],[Reiew_Rating]]&gt;=4.5,"Excellent",
IF(Table13[[#This Row],[Reiew_Rating]]&gt;=4,"Good","Average"))</f>
        <v>Excellent</v>
      </c>
      <c r="J299" s="1">
        <v>0</v>
      </c>
      <c r="K299" s="1" t="str">
        <f>IF(Table13[[#This Row],[Entrance_Fee_INR]]=0,"Free","Paid")</f>
        <v>Free</v>
      </c>
      <c r="L299" s="2" t="s">
        <v>19</v>
      </c>
      <c r="M299" s="2" t="s">
        <v>40</v>
      </c>
      <c r="N299" s="2" t="s">
        <v>28</v>
      </c>
      <c r="O299" s="2" t="s">
        <v>19</v>
      </c>
      <c r="P299" s="3">
        <v>0.13</v>
      </c>
      <c r="Q299" s="2" t="s">
        <v>51</v>
      </c>
      <c r="R299" s="1" t="str">
        <f>IF(Table13[[#This Row],[Number_Review_Lakhs]]&gt;=1,"Highly Popular", IF(Table13[[#This Row],[Number_Review_Lakhs]]&gt;=0.5,"Popular","Less Popular"))</f>
        <v>Less Popular</v>
      </c>
      <c r="S299" s="1" t="str">
        <f>IF(Table13[[#This Row],[Visit_Time_Hrs]]&lt;=2,"Short Visit", IF(Table13[[#This Row],[Visit_Time_Hrs]]&lt;=5,"Medium Visit","Full Day"))</f>
        <v>Short Visit</v>
      </c>
      <c r="T299" s="1" t="str">
        <f>IF(Table13[[#This Row],[Airport_50km_Radius]]="Yes","Accessible","Remote")</f>
        <v>Accessible</v>
      </c>
      <c r="U299" s="1" t="str">
        <f>IF(Table13[[#This Row],[Reiew_Rating]]&gt;=4.7,"Yes","No")</f>
        <v>No</v>
      </c>
      <c r="V299" s="1" t="str">
        <f t="shared" si="16"/>
        <v>Heritage &amp; Culture</v>
      </c>
      <c r="W299" s="1" t="str">
        <f t="shared" si="17"/>
        <v>★★★★★</v>
      </c>
      <c r="X299" s="1" t="str">
        <f t="shared" si="18"/>
        <v>5 / 5 Stars</v>
      </c>
      <c r="Y299" s="1" t="str">
        <f t="shared" si="19"/>
        <v>Low Traffic</v>
      </c>
    </row>
    <row r="300" spans="1:25" x14ac:dyDescent="0.3">
      <c r="A300" s="2" t="s">
        <v>117</v>
      </c>
      <c r="B300" s="2" t="s">
        <v>664</v>
      </c>
      <c r="C300" s="2" t="s">
        <v>665</v>
      </c>
      <c r="D300" s="2" t="s">
        <v>666</v>
      </c>
      <c r="E300" s="2" t="s">
        <v>27</v>
      </c>
      <c r="F300" s="1">
        <v>-260</v>
      </c>
      <c r="G300" s="1">
        <v>1.5</v>
      </c>
      <c r="H300" s="1">
        <v>4.7</v>
      </c>
      <c r="I300" s="1" t="str">
        <f>IF(Table13[[#This Row],[Reiew_Rating]]&gt;=4.5,"Excellent",
IF(Table13[[#This Row],[Reiew_Rating]]&gt;=4,"Good","Average"))</f>
        <v>Excellent</v>
      </c>
      <c r="J300" s="1">
        <v>0</v>
      </c>
      <c r="K300" s="1" t="str">
        <f>IF(Table13[[#This Row],[Entrance_Fee_INR]]=0,"Free","Paid")</f>
        <v>Free</v>
      </c>
      <c r="L300" s="2" t="s">
        <v>19</v>
      </c>
      <c r="M300" s="2" t="s">
        <v>40</v>
      </c>
      <c r="N300" s="2" t="s">
        <v>28</v>
      </c>
      <c r="O300" s="2" t="s">
        <v>19</v>
      </c>
      <c r="P300" s="3">
        <v>0.2</v>
      </c>
      <c r="Q300" s="2" t="s">
        <v>51</v>
      </c>
      <c r="R300" s="1" t="str">
        <f>IF(Table13[[#This Row],[Number_Review_Lakhs]]&gt;=1,"Highly Popular", IF(Table13[[#This Row],[Number_Review_Lakhs]]&gt;=0.5,"Popular","Less Popular"))</f>
        <v>Less Popular</v>
      </c>
      <c r="S300" s="1" t="str">
        <f>IF(Table13[[#This Row],[Visit_Time_Hrs]]&lt;=2,"Short Visit", IF(Table13[[#This Row],[Visit_Time_Hrs]]&lt;=5,"Medium Visit","Full Day"))</f>
        <v>Short Visit</v>
      </c>
      <c r="T300" s="1" t="str">
        <f>IF(Table13[[#This Row],[Airport_50km_Radius]]="Yes","Accessible","Remote")</f>
        <v>Accessible</v>
      </c>
      <c r="U300" s="1" t="str">
        <f>IF(Table13[[#This Row],[Reiew_Rating]]&gt;=4.7,"Yes","No")</f>
        <v>Yes</v>
      </c>
      <c r="V300" s="1" t="str">
        <f t="shared" si="16"/>
        <v>Heritage &amp; Culture</v>
      </c>
      <c r="W300" s="1" t="str">
        <f t="shared" si="17"/>
        <v>★★★★★</v>
      </c>
      <c r="X300" s="1" t="str">
        <f t="shared" si="18"/>
        <v>5 / 5 Stars</v>
      </c>
      <c r="Y300" s="1" t="str">
        <f t="shared" si="19"/>
        <v>Low Traffic</v>
      </c>
    </row>
    <row r="301" spans="1:25" x14ac:dyDescent="0.3">
      <c r="A301" s="2" t="s">
        <v>117</v>
      </c>
      <c r="B301" s="2" t="s">
        <v>664</v>
      </c>
      <c r="C301" s="2" t="s">
        <v>667</v>
      </c>
      <c r="D301" s="2" t="s">
        <v>668</v>
      </c>
      <c r="E301" s="2" t="s">
        <v>56</v>
      </c>
      <c r="F301" s="1">
        <v>1814</v>
      </c>
      <c r="G301" s="1">
        <v>2.5</v>
      </c>
      <c r="H301" s="1">
        <v>4.3</v>
      </c>
      <c r="I301" s="1" t="str">
        <f>IF(Table13[[#This Row],[Reiew_Rating]]&gt;=4.5,"Excellent",
IF(Table13[[#This Row],[Reiew_Rating]]&gt;=4,"Good","Average"))</f>
        <v>Good</v>
      </c>
      <c r="J301" s="1">
        <v>30</v>
      </c>
      <c r="K301" s="1" t="str">
        <f>IF(Table13[[#This Row],[Entrance_Fee_INR]]=0,"Free","Paid")</f>
        <v>Paid</v>
      </c>
      <c r="L301" s="2" t="s">
        <v>19</v>
      </c>
      <c r="M301" s="2" t="s">
        <v>305</v>
      </c>
      <c r="N301" s="2" t="s">
        <v>73</v>
      </c>
      <c r="O301" s="2" t="s">
        <v>19</v>
      </c>
      <c r="P301" s="3">
        <v>0.5</v>
      </c>
      <c r="Q301" s="2" t="s">
        <v>51</v>
      </c>
      <c r="R301" s="1" t="str">
        <f>IF(Table13[[#This Row],[Number_Review_Lakhs]]&gt;=1,"Highly Popular", IF(Table13[[#This Row],[Number_Review_Lakhs]]&gt;=0.5,"Popular","Less Popular"))</f>
        <v>Popular</v>
      </c>
      <c r="S301" s="1" t="str">
        <f>IF(Table13[[#This Row],[Visit_Time_Hrs]]&lt;=2,"Short Visit", IF(Table13[[#This Row],[Visit_Time_Hrs]]&lt;=5,"Medium Visit","Full Day"))</f>
        <v>Medium Visit</v>
      </c>
      <c r="T301" s="1" t="str">
        <f>IF(Table13[[#This Row],[Airport_50km_Radius]]="Yes","Accessible","Remote")</f>
        <v>Accessible</v>
      </c>
      <c r="U301" s="1" t="str">
        <f>IF(Table13[[#This Row],[Reiew_Rating]]&gt;=4.7,"Yes","No")</f>
        <v>No</v>
      </c>
      <c r="V301" s="1" t="str">
        <f t="shared" si="16"/>
        <v>Nature &amp; Wildlife</v>
      </c>
      <c r="W301" s="1" t="str">
        <f t="shared" si="17"/>
        <v>★★★★☆</v>
      </c>
      <c r="X301" s="1" t="str">
        <f t="shared" si="18"/>
        <v>4 / 5 Stars</v>
      </c>
      <c r="Y301" s="1" t="str">
        <f t="shared" si="19"/>
        <v>Medium Traffic</v>
      </c>
    </row>
    <row r="302" spans="1:25" x14ac:dyDescent="0.3">
      <c r="A302" s="2" t="s">
        <v>117</v>
      </c>
      <c r="B302" s="2" t="s">
        <v>664</v>
      </c>
      <c r="C302" s="2" t="s">
        <v>667</v>
      </c>
      <c r="D302" s="2" t="s">
        <v>669</v>
      </c>
      <c r="E302" s="2" t="s">
        <v>375</v>
      </c>
      <c r="F302" s="1">
        <v>1582</v>
      </c>
      <c r="G302" s="1">
        <v>1</v>
      </c>
      <c r="H302" s="1">
        <v>4.7</v>
      </c>
      <c r="I302" s="1" t="str">
        <f>IF(Table13[[#This Row],[Reiew_Rating]]&gt;=4.5,"Excellent",
IF(Table13[[#This Row],[Reiew_Rating]]&gt;=4,"Good","Average"))</f>
        <v>Excellent</v>
      </c>
      <c r="J302" s="1">
        <v>0</v>
      </c>
      <c r="K302" s="1" t="str">
        <f>IF(Table13[[#This Row],[Entrance_Fee_INR]]=0,"Free","Paid")</f>
        <v>Free</v>
      </c>
      <c r="L302" s="2" t="s">
        <v>19</v>
      </c>
      <c r="M302" s="2" t="s">
        <v>32</v>
      </c>
      <c r="N302" s="2" t="s">
        <v>28</v>
      </c>
      <c r="O302" s="2" t="s">
        <v>19</v>
      </c>
      <c r="P302" s="3">
        <v>0.25</v>
      </c>
      <c r="Q302" s="2" t="s">
        <v>51</v>
      </c>
      <c r="R302" s="1" t="str">
        <f>IF(Table13[[#This Row],[Number_Review_Lakhs]]&gt;=1,"Highly Popular", IF(Table13[[#This Row],[Number_Review_Lakhs]]&gt;=0.5,"Popular","Less Popular"))</f>
        <v>Less Popular</v>
      </c>
      <c r="S302" s="1" t="str">
        <f>IF(Table13[[#This Row],[Visit_Time_Hrs]]&lt;=2,"Short Visit", IF(Table13[[#This Row],[Visit_Time_Hrs]]&lt;=5,"Medium Visit","Full Day"))</f>
        <v>Short Visit</v>
      </c>
      <c r="T302" s="1" t="str">
        <f>IF(Table13[[#This Row],[Airport_50km_Radius]]="Yes","Accessible","Remote")</f>
        <v>Accessible</v>
      </c>
      <c r="U302" s="1" t="str">
        <f>IF(Table13[[#This Row],[Reiew_Rating]]&gt;=4.7,"Yes","No")</f>
        <v>Yes</v>
      </c>
      <c r="V302" s="1" t="str">
        <f t="shared" si="16"/>
        <v>Heritage &amp; Culture</v>
      </c>
      <c r="W302" s="1" t="str">
        <f t="shared" si="17"/>
        <v>★★★★★</v>
      </c>
      <c r="X302" s="1" t="str">
        <f t="shared" si="18"/>
        <v>5 / 5 Stars</v>
      </c>
      <c r="Y302" s="1" t="str">
        <f t="shared" si="19"/>
        <v>Low Traffic</v>
      </c>
    </row>
    <row r="303" spans="1:25" x14ac:dyDescent="0.3">
      <c r="A303" s="2" t="s">
        <v>117</v>
      </c>
      <c r="B303" s="2" t="s">
        <v>664</v>
      </c>
      <c r="C303" s="2" t="s">
        <v>667</v>
      </c>
      <c r="D303" s="2" t="s">
        <v>670</v>
      </c>
      <c r="E303" s="2" t="s">
        <v>47</v>
      </c>
      <c r="F303" s="1">
        <v>1454</v>
      </c>
      <c r="G303" s="1">
        <v>1</v>
      </c>
      <c r="H303" s="1">
        <v>4.4000000000000004</v>
      </c>
      <c r="I303" s="1" t="str">
        <f>IF(Table13[[#This Row],[Reiew_Rating]]&gt;=4.5,"Excellent",
IF(Table13[[#This Row],[Reiew_Rating]]&gt;=4,"Good","Average"))</f>
        <v>Good</v>
      </c>
      <c r="J303" s="1">
        <v>10</v>
      </c>
      <c r="K303" s="1" t="str">
        <f>IF(Table13[[#This Row],[Entrance_Fee_INR]]=0,"Free","Paid")</f>
        <v>Paid</v>
      </c>
      <c r="L303" s="2" t="s">
        <v>19</v>
      </c>
      <c r="M303" s="2" t="s">
        <v>305</v>
      </c>
      <c r="N303" s="2" t="s">
        <v>169</v>
      </c>
      <c r="O303" s="2" t="s">
        <v>19</v>
      </c>
      <c r="P303" s="3">
        <v>0.31</v>
      </c>
      <c r="Q303" s="2" t="s">
        <v>51</v>
      </c>
      <c r="R303" s="1" t="str">
        <f>IF(Table13[[#This Row],[Number_Review_Lakhs]]&gt;=1,"Highly Popular", IF(Table13[[#This Row],[Number_Review_Lakhs]]&gt;=0.5,"Popular","Less Popular"))</f>
        <v>Less Popular</v>
      </c>
      <c r="S303" s="1" t="str">
        <f>IF(Table13[[#This Row],[Visit_Time_Hrs]]&lt;=2,"Short Visit", IF(Table13[[#This Row],[Visit_Time_Hrs]]&lt;=5,"Medium Visit","Full Day"))</f>
        <v>Short Visit</v>
      </c>
      <c r="T303" s="1" t="str">
        <f>IF(Table13[[#This Row],[Airport_50km_Radius]]="Yes","Accessible","Remote")</f>
        <v>Accessible</v>
      </c>
      <c r="U303" s="1" t="str">
        <f>IF(Table13[[#This Row],[Reiew_Rating]]&gt;=4.7,"Yes","No")</f>
        <v>No</v>
      </c>
      <c r="V303" s="1" t="str">
        <f t="shared" si="16"/>
        <v>Other</v>
      </c>
      <c r="W303" s="1" t="str">
        <f t="shared" si="17"/>
        <v>★★★★☆</v>
      </c>
      <c r="X303" s="1" t="str">
        <f t="shared" si="18"/>
        <v>4 / 5 Stars</v>
      </c>
      <c r="Y303" s="1" t="str">
        <f t="shared" si="19"/>
        <v>Low Traffic</v>
      </c>
    </row>
    <row r="304" spans="1:25" x14ac:dyDescent="0.3">
      <c r="A304" s="2" t="s">
        <v>15</v>
      </c>
      <c r="B304" s="2" t="s">
        <v>671</v>
      </c>
      <c r="C304" s="2" t="s">
        <v>672</v>
      </c>
      <c r="D304" s="2" t="s">
        <v>673</v>
      </c>
      <c r="E304" s="2" t="s">
        <v>109</v>
      </c>
      <c r="F304" s="1">
        <v>2010</v>
      </c>
      <c r="G304" s="1">
        <v>3</v>
      </c>
      <c r="H304" s="1">
        <v>4.4000000000000004</v>
      </c>
      <c r="I304" s="1" t="str">
        <f>IF(Table13[[#This Row],[Reiew_Rating]]&gt;=4.5,"Excellent",
IF(Table13[[#This Row],[Reiew_Rating]]&gt;=4,"Good","Average"))</f>
        <v>Good</v>
      </c>
      <c r="J304" s="1">
        <v>1100</v>
      </c>
      <c r="K304" s="1" t="str">
        <f>IF(Table13[[#This Row],[Entrance_Fee_INR]]=0,"Free","Paid")</f>
        <v>Paid</v>
      </c>
      <c r="L304" s="2" t="s">
        <v>19</v>
      </c>
      <c r="M304" s="2" t="s">
        <v>32</v>
      </c>
      <c r="N304" s="2" t="s">
        <v>109</v>
      </c>
      <c r="O304" s="2" t="s">
        <v>19</v>
      </c>
      <c r="P304" s="3">
        <v>0.3</v>
      </c>
      <c r="Q304" s="2" t="s">
        <v>25</v>
      </c>
      <c r="R304" s="1" t="str">
        <f>IF(Table13[[#This Row],[Number_Review_Lakhs]]&gt;=1,"Highly Popular", IF(Table13[[#This Row],[Number_Review_Lakhs]]&gt;=0.5,"Popular","Less Popular"))</f>
        <v>Less Popular</v>
      </c>
      <c r="S304" s="1" t="str">
        <f>IF(Table13[[#This Row],[Visit_Time_Hrs]]&lt;=2,"Short Visit", IF(Table13[[#This Row],[Visit_Time_Hrs]]&lt;=5,"Medium Visit","Full Day"))</f>
        <v>Medium Visit</v>
      </c>
      <c r="T304" s="1" t="str">
        <f>IF(Table13[[#This Row],[Airport_50km_Radius]]="Yes","Accessible","Remote")</f>
        <v>Accessible</v>
      </c>
      <c r="U304" s="1" t="str">
        <f>IF(Table13[[#This Row],[Reiew_Rating]]&gt;=4.7,"Yes","No")</f>
        <v>No</v>
      </c>
      <c r="V304" s="1" t="str">
        <f t="shared" si="16"/>
        <v>Leisure &amp; Commerce</v>
      </c>
      <c r="W304" s="1" t="str">
        <f t="shared" si="17"/>
        <v>★★★★☆</v>
      </c>
      <c r="X304" s="1" t="str">
        <f t="shared" si="18"/>
        <v>4 / 5 Stars</v>
      </c>
      <c r="Y304" s="1" t="str">
        <f t="shared" si="19"/>
        <v>Low Traffic</v>
      </c>
    </row>
    <row r="305" spans="1:25" x14ac:dyDescent="0.3">
      <c r="A305" s="2" t="s">
        <v>15</v>
      </c>
      <c r="B305" s="2" t="s">
        <v>671</v>
      </c>
      <c r="C305" s="2" t="s">
        <v>672</v>
      </c>
      <c r="D305" s="2" t="s">
        <v>674</v>
      </c>
      <c r="E305" s="2" t="s">
        <v>675</v>
      </c>
      <c r="F305" s="1">
        <v>1728</v>
      </c>
      <c r="G305" s="1">
        <v>2</v>
      </c>
      <c r="H305" s="1">
        <v>4.5999999999999996</v>
      </c>
      <c r="I305" s="1" t="str">
        <f>IF(Table13[[#This Row],[Reiew_Rating]]&gt;=4.5,"Excellent",
IF(Table13[[#This Row],[Reiew_Rating]]&gt;=4,"Good","Average"))</f>
        <v>Excellent</v>
      </c>
      <c r="J305" s="1">
        <v>0</v>
      </c>
      <c r="K305" s="1" t="str">
        <f>IF(Table13[[#This Row],[Entrance_Fee_INR]]=0,"Free","Paid")</f>
        <v>Free</v>
      </c>
      <c r="L305" s="2" t="s">
        <v>19</v>
      </c>
      <c r="M305" s="2" t="s">
        <v>57</v>
      </c>
      <c r="N305" s="2" t="s">
        <v>676</v>
      </c>
      <c r="O305" s="2" t="s">
        <v>19</v>
      </c>
      <c r="P305" s="3">
        <v>1.2</v>
      </c>
      <c r="Q305" s="2" t="s">
        <v>25</v>
      </c>
      <c r="R305" s="1" t="str">
        <f>IF(Table13[[#This Row],[Number_Review_Lakhs]]&gt;=1,"Highly Popular", IF(Table13[[#This Row],[Number_Review_Lakhs]]&gt;=0.5,"Popular","Less Popular"))</f>
        <v>Highly Popular</v>
      </c>
      <c r="S305" s="1" t="str">
        <f>IF(Table13[[#This Row],[Visit_Time_Hrs]]&lt;=2,"Short Visit", IF(Table13[[#This Row],[Visit_Time_Hrs]]&lt;=5,"Medium Visit","Full Day"))</f>
        <v>Short Visit</v>
      </c>
      <c r="T305" s="1" t="str">
        <f>IF(Table13[[#This Row],[Airport_50km_Radius]]="Yes","Accessible","Remote")</f>
        <v>Accessible</v>
      </c>
      <c r="U305" s="1" t="str">
        <f>IF(Table13[[#This Row],[Reiew_Rating]]&gt;=4.7,"Yes","No")</f>
        <v>No</v>
      </c>
      <c r="V305" s="1" t="str">
        <f t="shared" si="16"/>
        <v>Other</v>
      </c>
      <c r="W305" s="1" t="str">
        <f t="shared" si="17"/>
        <v>★★★★★</v>
      </c>
      <c r="X305" s="1" t="str">
        <f t="shared" si="18"/>
        <v>5 / 5 Stars</v>
      </c>
      <c r="Y305" s="1" t="str">
        <f t="shared" si="19"/>
        <v>Medium Traffic</v>
      </c>
    </row>
    <row r="306" spans="1:25" x14ac:dyDescent="0.3">
      <c r="A306" s="2" t="s">
        <v>15</v>
      </c>
      <c r="B306" s="2" t="s">
        <v>671</v>
      </c>
      <c r="C306" s="2" t="s">
        <v>672</v>
      </c>
      <c r="D306" s="2" t="s">
        <v>677</v>
      </c>
      <c r="E306" s="2" t="s">
        <v>678</v>
      </c>
      <c r="F306" s="1">
        <v>1803</v>
      </c>
      <c r="G306" s="1">
        <v>2</v>
      </c>
      <c r="H306" s="1">
        <v>4.7</v>
      </c>
      <c r="I306" s="1" t="str">
        <f>IF(Table13[[#This Row],[Reiew_Rating]]&gt;=4.5,"Excellent",
IF(Table13[[#This Row],[Reiew_Rating]]&gt;=4,"Good","Average"))</f>
        <v>Excellent</v>
      </c>
      <c r="J306" s="1">
        <v>0</v>
      </c>
      <c r="K306" s="1" t="str">
        <f>IF(Table13[[#This Row],[Entrance_Fee_INR]]=0,"Free","Paid")</f>
        <v>Free</v>
      </c>
      <c r="L306" s="2" t="s">
        <v>19</v>
      </c>
      <c r="M306" s="2" t="s">
        <v>721</v>
      </c>
      <c r="N306" s="2" t="s">
        <v>109</v>
      </c>
      <c r="O306" s="2" t="s">
        <v>19</v>
      </c>
      <c r="P306" s="3">
        <v>0.71</v>
      </c>
      <c r="Q306" s="2" t="s">
        <v>25</v>
      </c>
      <c r="R306" s="1" t="str">
        <f>IF(Table13[[#This Row],[Number_Review_Lakhs]]&gt;=1,"Highly Popular", IF(Table13[[#This Row],[Number_Review_Lakhs]]&gt;=0.5,"Popular","Less Popular"))</f>
        <v>Popular</v>
      </c>
      <c r="S306" s="1" t="str">
        <f>IF(Table13[[#This Row],[Visit_Time_Hrs]]&lt;=2,"Short Visit", IF(Table13[[#This Row],[Visit_Time_Hrs]]&lt;=5,"Medium Visit","Full Day"))</f>
        <v>Short Visit</v>
      </c>
      <c r="T306" s="1" t="str">
        <f>IF(Table13[[#This Row],[Airport_50km_Radius]]="Yes","Accessible","Remote")</f>
        <v>Accessible</v>
      </c>
      <c r="U306" s="1" t="str">
        <f>IF(Table13[[#This Row],[Reiew_Rating]]&gt;=4.7,"Yes","No")</f>
        <v>Yes</v>
      </c>
      <c r="V306" s="1" t="str">
        <f t="shared" si="16"/>
        <v>Leisure &amp; Commerce</v>
      </c>
      <c r="W306" s="1" t="str">
        <f t="shared" si="17"/>
        <v>★★★★★</v>
      </c>
      <c r="X306" s="1" t="str">
        <f t="shared" si="18"/>
        <v>5 / 5 Stars</v>
      </c>
      <c r="Y306" s="1" t="str">
        <f t="shared" si="19"/>
        <v>Medium Traffic</v>
      </c>
    </row>
    <row r="307" spans="1:25" x14ac:dyDescent="0.3">
      <c r="A307" s="2" t="s">
        <v>15</v>
      </c>
      <c r="B307" s="2" t="s">
        <v>16</v>
      </c>
      <c r="C307" s="2" t="s">
        <v>679</v>
      </c>
      <c r="D307" s="2" t="s">
        <v>680</v>
      </c>
      <c r="E307" s="2" t="s">
        <v>375</v>
      </c>
      <c r="F307" s="1">
        <v>1496</v>
      </c>
      <c r="G307" s="1">
        <v>1</v>
      </c>
      <c r="H307" s="1">
        <v>4.8</v>
      </c>
      <c r="I307" s="1" t="str">
        <f>IF(Table13[[#This Row],[Reiew_Rating]]&gt;=4.5,"Excellent",
IF(Table13[[#This Row],[Reiew_Rating]]&gt;=4,"Good","Average"))</f>
        <v>Excellent</v>
      </c>
      <c r="J307" s="1">
        <v>0</v>
      </c>
      <c r="K307" s="1" t="str">
        <f>IF(Table13[[#This Row],[Entrance_Fee_INR]]=0,"Free","Paid")</f>
        <v>Free</v>
      </c>
      <c r="L307" s="2" t="s">
        <v>19</v>
      </c>
      <c r="M307" s="2" t="s">
        <v>305</v>
      </c>
      <c r="N307" s="2" t="s">
        <v>28</v>
      </c>
      <c r="O307" s="2" t="s">
        <v>19</v>
      </c>
      <c r="P307" s="3">
        <v>1.05</v>
      </c>
      <c r="Q307" s="2" t="s">
        <v>51</v>
      </c>
      <c r="R307" s="1" t="str">
        <f>IF(Table13[[#This Row],[Number_Review_Lakhs]]&gt;=1,"Highly Popular", IF(Table13[[#This Row],[Number_Review_Lakhs]]&gt;=0.5,"Popular","Less Popular"))</f>
        <v>Highly Popular</v>
      </c>
      <c r="S307" s="1" t="str">
        <f>IF(Table13[[#This Row],[Visit_Time_Hrs]]&lt;=2,"Short Visit", IF(Table13[[#This Row],[Visit_Time_Hrs]]&lt;=5,"Medium Visit","Full Day"))</f>
        <v>Short Visit</v>
      </c>
      <c r="T307" s="1" t="str">
        <f>IF(Table13[[#This Row],[Airport_50km_Radius]]="Yes","Accessible","Remote")</f>
        <v>Accessible</v>
      </c>
      <c r="U307" s="1" t="str">
        <f>IF(Table13[[#This Row],[Reiew_Rating]]&gt;=4.7,"Yes","No")</f>
        <v>Yes</v>
      </c>
      <c r="V307" s="1" t="str">
        <f t="shared" si="16"/>
        <v>Heritage &amp; Culture</v>
      </c>
      <c r="W307" s="1" t="str">
        <f t="shared" si="17"/>
        <v>★★★★★</v>
      </c>
      <c r="X307" s="1" t="str">
        <f t="shared" si="18"/>
        <v>5 / 5 Stars</v>
      </c>
      <c r="Y307" s="1" t="str">
        <f t="shared" si="19"/>
        <v>Medium Traffic</v>
      </c>
    </row>
    <row r="308" spans="1:25" x14ac:dyDescent="0.3">
      <c r="A308" s="2" t="s">
        <v>15</v>
      </c>
      <c r="B308" s="2" t="s">
        <v>385</v>
      </c>
      <c r="C308" s="2" t="s">
        <v>681</v>
      </c>
      <c r="D308" s="2" t="s">
        <v>681</v>
      </c>
      <c r="E308" s="2" t="s">
        <v>27</v>
      </c>
      <c r="F308" s="1">
        <v>1732</v>
      </c>
      <c r="G308" s="1">
        <v>1.5</v>
      </c>
      <c r="H308" s="1">
        <v>4.8</v>
      </c>
      <c r="I308" s="1" t="str">
        <f>IF(Table13[[#This Row],[Reiew_Rating]]&gt;=4.5,"Excellent",
IF(Table13[[#This Row],[Reiew_Rating]]&gt;=4,"Good","Average"))</f>
        <v>Excellent</v>
      </c>
      <c r="J308" s="1">
        <v>0</v>
      </c>
      <c r="K308" s="1" t="str">
        <f>IF(Table13[[#This Row],[Entrance_Fee_INR]]=0,"Free","Paid")</f>
        <v>Free</v>
      </c>
      <c r="L308" s="2" t="s">
        <v>29</v>
      </c>
      <c r="M308" s="2" t="s">
        <v>720</v>
      </c>
      <c r="N308" s="2" t="s">
        <v>28</v>
      </c>
      <c r="O308" s="2" t="s">
        <v>29</v>
      </c>
      <c r="P308" s="3">
        <v>2</v>
      </c>
      <c r="Q308" s="2" t="s">
        <v>51</v>
      </c>
      <c r="R308" s="1" t="str">
        <f>IF(Table13[[#This Row],[Number_Review_Lakhs]]&gt;=1,"Highly Popular", IF(Table13[[#This Row],[Number_Review_Lakhs]]&gt;=0.5,"Popular","Less Popular"))</f>
        <v>Highly Popular</v>
      </c>
      <c r="S308" s="1" t="str">
        <f>IF(Table13[[#This Row],[Visit_Time_Hrs]]&lt;=2,"Short Visit", IF(Table13[[#This Row],[Visit_Time_Hrs]]&lt;=5,"Medium Visit","Full Day"))</f>
        <v>Short Visit</v>
      </c>
      <c r="T308" s="1" t="str">
        <f>IF(Table13[[#This Row],[Airport_50km_Radius]]="Yes","Accessible","Remote")</f>
        <v>Remote</v>
      </c>
      <c r="U308" s="1" t="str">
        <f>IF(Table13[[#This Row],[Reiew_Rating]]&gt;=4.7,"Yes","No")</f>
        <v>Yes</v>
      </c>
      <c r="V308" s="1" t="str">
        <f t="shared" si="16"/>
        <v>Heritage &amp; Culture</v>
      </c>
      <c r="W308" s="1" t="str">
        <f t="shared" si="17"/>
        <v>★★★★★</v>
      </c>
      <c r="X308" s="1" t="str">
        <f t="shared" si="18"/>
        <v>5 / 5 Stars</v>
      </c>
      <c r="Y308" s="1" t="str">
        <f t="shared" si="19"/>
        <v>High Traffic</v>
      </c>
    </row>
    <row r="309" spans="1:25" x14ac:dyDescent="0.3">
      <c r="A309" s="2" t="s">
        <v>306</v>
      </c>
      <c r="B309" s="2" t="s">
        <v>415</v>
      </c>
      <c r="C309" s="2" t="s">
        <v>437</v>
      </c>
      <c r="D309" s="2" t="s">
        <v>682</v>
      </c>
      <c r="E309" s="2" t="s">
        <v>675</v>
      </c>
      <c r="F309" s="1">
        <v>2016</v>
      </c>
      <c r="G309" s="1">
        <v>2</v>
      </c>
      <c r="H309" s="1">
        <v>4.5999999999999996</v>
      </c>
      <c r="I309" s="1" t="str">
        <f>IF(Table13[[#This Row],[Reiew_Rating]]&gt;=4.5,"Excellent",
IF(Table13[[#This Row],[Reiew_Rating]]&gt;=4,"Good","Average"))</f>
        <v>Excellent</v>
      </c>
      <c r="J309" s="1">
        <v>0</v>
      </c>
      <c r="K309" s="1" t="str">
        <f>IF(Table13[[#This Row],[Entrance_Fee_INR]]=0,"Free","Paid")</f>
        <v>Free</v>
      </c>
      <c r="L309" s="2" t="s">
        <v>19</v>
      </c>
      <c r="M309" s="2" t="s">
        <v>721</v>
      </c>
      <c r="N309" s="2" t="s">
        <v>676</v>
      </c>
      <c r="O309" s="2" t="s">
        <v>19</v>
      </c>
      <c r="P309" s="3">
        <v>1.5</v>
      </c>
      <c r="Q309" s="2" t="s">
        <v>51</v>
      </c>
      <c r="R309" s="1" t="str">
        <f>IF(Table13[[#This Row],[Number_Review_Lakhs]]&gt;=1,"Highly Popular", IF(Table13[[#This Row],[Number_Review_Lakhs]]&gt;=0.5,"Popular","Less Popular"))</f>
        <v>Highly Popular</v>
      </c>
      <c r="S309" s="1" t="str">
        <f>IF(Table13[[#This Row],[Visit_Time_Hrs]]&lt;=2,"Short Visit", IF(Table13[[#This Row],[Visit_Time_Hrs]]&lt;=5,"Medium Visit","Full Day"))</f>
        <v>Short Visit</v>
      </c>
      <c r="T309" s="1" t="str">
        <f>IF(Table13[[#This Row],[Airport_50km_Radius]]="Yes","Accessible","Remote")</f>
        <v>Accessible</v>
      </c>
      <c r="U309" s="1" t="str">
        <f>IF(Table13[[#This Row],[Reiew_Rating]]&gt;=4.7,"Yes","No")</f>
        <v>No</v>
      </c>
      <c r="V309" s="1" t="str">
        <f t="shared" si="16"/>
        <v>Other</v>
      </c>
      <c r="W309" s="1" t="str">
        <f t="shared" si="17"/>
        <v>★★★★★</v>
      </c>
      <c r="X309" s="1" t="str">
        <f t="shared" si="18"/>
        <v>5 / 5 Stars</v>
      </c>
      <c r="Y309" s="1" t="str">
        <f t="shared" si="19"/>
        <v>High Traffic</v>
      </c>
    </row>
    <row r="310" spans="1:25" x14ac:dyDescent="0.3">
      <c r="A310" s="2" t="s">
        <v>306</v>
      </c>
      <c r="B310" s="2" t="s">
        <v>415</v>
      </c>
      <c r="C310" s="2" t="s">
        <v>683</v>
      </c>
      <c r="D310" s="2" t="s">
        <v>684</v>
      </c>
      <c r="E310" s="2" t="s">
        <v>675</v>
      </c>
      <c r="F310" s="1">
        <v>1579</v>
      </c>
      <c r="G310" s="1">
        <v>2</v>
      </c>
      <c r="H310" s="1">
        <v>4.2</v>
      </c>
      <c r="I310" s="1" t="str">
        <f>IF(Table13[[#This Row],[Reiew_Rating]]&gt;=4.5,"Excellent",
IF(Table13[[#This Row],[Reiew_Rating]]&gt;=4,"Good","Average"))</f>
        <v>Good</v>
      </c>
      <c r="J310" s="1">
        <v>0</v>
      </c>
      <c r="K310" s="1" t="str">
        <f>IF(Table13[[#This Row],[Entrance_Fee_INR]]=0,"Free","Paid")</f>
        <v>Free</v>
      </c>
      <c r="L310" s="2" t="s">
        <v>19</v>
      </c>
      <c r="M310" s="2" t="s">
        <v>57</v>
      </c>
      <c r="N310" s="2" t="s">
        <v>676</v>
      </c>
      <c r="O310" s="2" t="s">
        <v>19</v>
      </c>
      <c r="P310" s="3">
        <v>0.45</v>
      </c>
      <c r="Q310" s="2" t="s">
        <v>51</v>
      </c>
      <c r="R310" s="1" t="str">
        <f>IF(Table13[[#This Row],[Number_Review_Lakhs]]&gt;=1,"Highly Popular", IF(Table13[[#This Row],[Number_Review_Lakhs]]&gt;=0.5,"Popular","Less Popular"))</f>
        <v>Less Popular</v>
      </c>
      <c r="S310" s="1" t="str">
        <f>IF(Table13[[#This Row],[Visit_Time_Hrs]]&lt;=2,"Short Visit", IF(Table13[[#This Row],[Visit_Time_Hrs]]&lt;=5,"Medium Visit","Full Day"))</f>
        <v>Short Visit</v>
      </c>
      <c r="T310" s="1" t="str">
        <f>IF(Table13[[#This Row],[Airport_50km_Radius]]="Yes","Accessible","Remote")</f>
        <v>Accessible</v>
      </c>
      <c r="U310" s="1" t="str">
        <f>IF(Table13[[#This Row],[Reiew_Rating]]&gt;=4.7,"Yes","No")</f>
        <v>No</v>
      </c>
      <c r="V310" s="1" t="str">
        <f t="shared" si="16"/>
        <v>Other</v>
      </c>
      <c r="W310" s="1" t="str">
        <f t="shared" si="17"/>
        <v>★★★★☆</v>
      </c>
      <c r="X310" s="1" t="str">
        <f t="shared" si="18"/>
        <v>4 / 5 Stars</v>
      </c>
      <c r="Y310" s="1" t="str">
        <f t="shared" si="19"/>
        <v>Medium Traffic</v>
      </c>
    </row>
    <row r="311" spans="1:25" x14ac:dyDescent="0.3">
      <c r="A311" s="2" t="s">
        <v>87</v>
      </c>
      <c r="B311" s="2" t="s">
        <v>88</v>
      </c>
      <c r="C311" s="2" t="s">
        <v>685</v>
      </c>
      <c r="D311" s="2" t="s">
        <v>249</v>
      </c>
      <c r="E311" s="2" t="s">
        <v>82</v>
      </c>
      <c r="F311" s="1">
        <v>2005</v>
      </c>
      <c r="G311" s="1">
        <v>4</v>
      </c>
      <c r="H311" s="1">
        <v>4.5</v>
      </c>
      <c r="I311" s="1" t="str">
        <f>IF(Table13[[#This Row],[Reiew_Rating]]&gt;=4.5,"Excellent",
IF(Table13[[#This Row],[Reiew_Rating]]&gt;=4,"Good","Average"))</f>
        <v>Excellent</v>
      </c>
      <c r="J311" s="1">
        <v>890</v>
      </c>
      <c r="K311" s="1" t="str">
        <f>IF(Table13[[#This Row],[Entrance_Fee_INR]]=0,"Free","Paid")</f>
        <v>Paid</v>
      </c>
      <c r="L311" s="2" t="s">
        <v>19</v>
      </c>
      <c r="M311" s="2" t="s">
        <v>57</v>
      </c>
      <c r="N311" s="2" t="s">
        <v>109</v>
      </c>
      <c r="O311" s="2" t="s">
        <v>19</v>
      </c>
      <c r="P311" s="3">
        <v>0.95</v>
      </c>
      <c r="Q311" s="2" t="s">
        <v>51</v>
      </c>
      <c r="R311" s="1" t="str">
        <f>IF(Table13[[#This Row],[Number_Review_Lakhs]]&gt;=1,"Highly Popular", IF(Table13[[#This Row],[Number_Review_Lakhs]]&gt;=0.5,"Popular","Less Popular"))</f>
        <v>Popular</v>
      </c>
      <c r="S311" s="1" t="str">
        <f>IF(Table13[[#This Row],[Visit_Time_Hrs]]&lt;=2,"Short Visit", IF(Table13[[#This Row],[Visit_Time_Hrs]]&lt;=5,"Medium Visit","Full Day"))</f>
        <v>Medium Visit</v>
      </c>
      <c r="T311" s="1" t="str">
        <f>IF(Table13[[#This Row],[Airport_50km_Radius]]="Yes","Accessible","Remote")</f>
        <v>Accessible</v>
      </c>
      <c r="U311" s="1" t="str">
        <f>IF(Table13[[#This Row],[Reiew_Rating]]&gt;=4.7,"Yes","No")</f>
        <v>No</v>
      </c>
      <c r="V311" s="1" t="str">
        <f t="shared" si="16"/>
        <v>Leisure &amp; Commerce</v>
      </c>
      <c r="W311" s="1" t="str">
        <f t="shared" si="17"/>
        <v>★★★★★</v>
      </c>
      <c r="X311" s="1" t="str">
        <f t="shared" si="18"/>
        <v>5 / 5 Stars</v>
      </c>
      <c r="Y311" s="1" t="str">
        <f t="shared" si="19"/>
        <v>Medium Traffic</v>
      </c>
    </row>
    <row r="312" spans="1:25" x14ac:dyDescent="0.3">
      <c r="A312" s="2" t="s">
        <v>117</v>
      </c>
      <c r="B312" s="2" t="s">
        <v>502</v>
      </c>
      <c r="C312" s="2" t="s">
        <v>508</v>
      </c>
      <c r="D312" s="2" t="s">
        <v>686</v>
      </c>
      <c r="E312" s="2" t="s">
        <v>56</v>
      </c>
      <c r="F312" s="1">
        <v>1960</v>
      </c>
      <c r="G312" s="1">
        <v>3</v>
      </c>
      <c r="H312" s="1">
        <v>4.4000000000000004</v>
      </c>
      <c r="I312" s="1" t="str">
        <f>IF(Table13[[#This Row],[Reiew_Rating]]&gt;=4.5,"Excellent",
IF(Table13[[#This Row],[Reiew_Rating]]&gt;=4,"Good","Average"))</f>
        <v>Good</v>
      </c>
      <c r="J312" s="1">
        <v>50</v>
      </c>
      <c r="K312" s="1" t="str">
        <f>IF(Table13[[#This Row],[Entrance_Fee_INR]]=0,"Free","Paid")</f>
        <v>Paid</v>
      </c>
      <c r="L312" s="2" t="s">
        <v>19</v>
      </c>
      <c r="M312" s="2" t="s">
        <v>32</v>
      </c>
      <c r="N312" s="2" t="s">
        <v>73</v>
      </c>
      <c r="O312" s="2" t="s">
        <v>19</v>
      </c>
      <c r="P312" s="3">
        <v>0.81</v>
      </c>
      <c r="Q312" s="2" t="s">
        <v>25</v>
      </c>
      <c r="R312" s="1" t="str">
        <f>IF(Table13[[#This Row],[Number_Review_Lakhs]]&gt;=1,"Highly Popular", IF(Table13[[#This Row],[Number_Review_Lakhs]]&gt;=0.5,"Popular","Less Popular"))</f>
        <v>Popular</v>
      </c>
      <c r="S312" s="1" t="str">
        <f>IF(Table13[[#This Row],[Visit_Time_Hrs]]&lt;=2,"Short Visit", IF(Table13[[#This Row],[Visit_Time_Hrs]]&lt;=5,"Medium Visit","Full Day"))</f>
        <v>Medium Visit</v>
      </c>
      <c r="T312" s="1" t="str">
        <f>IF(Table13[[#This Row],[Airport_50km_Radius]]="Yes","Accessible","Remote")</f>
        <v>Accessible</v>
      </c>
      <c r="U312" s="1" t="str">
        <f>IF(Table13[[#This Row],[Reiew_Rating]]&gt;=4.7,"Yes","No")</f>
        <v>No</v>
      </c>
      <c r="V312" s="1" t="str">
        <f t="shared" si="16"/>
        <v>Nature &amp; Wildlife</v>
      </c>
      <c r="W312" s="1" t="str">
        <f t="shared" si="17"/>
        <v>★★★★☆</v>
      </c>
      <c r="X312" s="1" t="str">
        <f t="shared" si="18"/>
        <v>4 / 5 Stars</v>
      </c>
      <c r="Y312" s="1" t="str">
        <f t="shared" si="19"/>
        <v>Medium Traffic</v>
      </c>
    </row>
    <row r="313" spans="1:25" x14ac:dyDescent="0.3">
      <c r="A313" s="2" t="s">
        <v>87</v>
      </c>
      <c r="B313" s="2" t="s">
        <v>88</v>
      </c>
      <c r="C313" s="2" t="s">
        <v>685</v>
      </c>
      <c r="D313" s="2" t="s">
        <v>687</v>
      </c>
      <c r="E313" s="2" t="s">
        <v>675</v>
      </c>
      <c r="F313" s="1">
        <v>2012</v>
      </c>
      <c r="G313" s="1">
        <v>2</v>
      </c>
      <c r="H313" s="1">
        <v>4.5</v>
      </c>
      <c r="I313" s="1" t="str">
        <f>IF(Table13[[#This Row],[Reiew_Rating]]&gt;=4.5,"Excellent",
IF(Table13[[#This Row],[Reiew_Rating]]&gt;=4,"Good","Average"))</f>
        <v>Excellent</v>
      </c>
      <c r="J313" s="1">
        <v>0</v>
      </c>
      <c r="K313" s="1" t="str">
        <f>IF(Table13[[#This Row],[Entrance_Fee_INR]]=0,"Free","Paid")</f>
        <v>Free</v>
      </c>
      <c r="L313" s="2" t="s">
        <v>19</v>
      </c>
      <c r="M313" s="2" t="s">
        <v>721</v>
      </c>
      <c r="N313" s="2" t="s">
        <v>676</v>
      </c>
      <c r="O313" s="2" t="s">
        <v>19</v>
      </c>
      <c r="P313" s="3">
        <v>1.8</v>
      </c>
      <c r="Q313" s="2" t="s">
        <v>51</v>
      </c>
      <c r="R313" s="1" t="str">
        <f>IF(Table13[[#This Row],[Number_Review_Lakhs]]&gt;=1,"Highly Popular", IF(Table13[[#This Row],[Number_Review_Lakhs]]&gt;=0.5,"Popular","Less Popular"))</f>
        <v>Highly Popular</v>
      </c>
      <c r="S313" s="1" t="str">
        <f>IF(Table13[[#This Row],[Visit_Time_Hrs]]&lt;=2,"Short Visit", IF(Table13[[#This Row],[Visit_Time_Hrs]]&lt;=5,"Medium Visit","Full Day"))</f>
        <v>Short Visit</v>
      </c>
      <c r="T313" s="1" t="str">
        <f>IF(Table13[[#This Row],[Airport_50km_Radius]]="Yes","Accessible","Remote")</f>
        <v>Accessible</v>
      </c>
      <c r="U313" s="1" t="str">
        <f>IF(Table13[[#This Row],[Reiew_Rating]]&gt;=4.7,"Yes","No")</f>
        <v>No</v>
      </c>
      <c r="V313" s="1" t="str">
        <f t="shared" si="16"/>
        <v>Other</v>
      </c>
      <c r="W313" s="1" t="str">
        <f t="shared" si="17"/>
        <v>★★★★★</v>
      </c>
      <c r="X313" s="1" t="str">
        <f t="shared" si="18"/>
        <v>5 / 5 Stars</v>
      </c>
      <c r="Y313" s="1" t="str">
        <f t="shared" si="19"/>
        <v>High Traffic</v>
      </c>
    </row>
    <row r="314" spans="1:25" x14ac:dyDescent="0.3">
      <c r="A314" s="2" t="s">
        <v>87</v>
      </c>
      <c r="B314" s="2" t="s">
        <v>100</v>
      </c>
      <c r="C314" s="2" t="s">
        <v>101</v>
      </c>
      <c r="D314" s="2" t="s">
        <v>688</v>
      </c>
      <c r="E314" s="2" t="s">
        <v>675</v>
      </c>
      <c r="F314" s="1">
        <v>2004</v>
      </c>
      <c r="G314" s="1">
        <v>2</v>
      </c>
      <c r="H314" s="1">
        <v>4.5</v>
      </c>
      <c r="I314" s="1" t="str">
        <f>IF(Table13[[#This Row],[Reiew_Rating]]&gt;=4.5,"Excellent",
IF(Table13[[#This Row],[Reiew_Rating]]&gt;=4,"Good","Average"))</f>
        <v>Excellent</v>
      </c>
      <c r="J314" s="1">
        <v>0</v>
      </c>
      <c r="K314" s="1" t="str">
        <f>IF(Table13[[#This Row],[Entrance_Fee_INR]]=0,"Free","Paid")</f>
        <v>Free</v>
      </c>
      <c r="L314" s="2" t="s">
        <v>19</v>
      </c>
      <c r="M314" s="2" t="s">
        <v>722</v>
      </c>
      <c r="N314" s="2" t="s">
        <v>676</v>
      </c>
      <c r="O314" s="2" t="s">
        <v>19</v>
      </c>
      <c r="P314" s="3">
        <v>1.2</v>
      </c>
      <c r="Q314" s="2" t="s">
        <v>51</v>
      </c>
      <c r="R314" s="1" t="str">
        <f>IF(Table13[[#This Row],[Number_Review_Lakhs]]&gt;=1,"Highly Popular", IF(Table13[[#This Row],[Number_Review_Lakhs]]&gt;=0.5,"Popular","Less Popular"))</f>
        <v>Highly Popular</v>
      </c>
      <c r="S314" s="1" t="str">
        <f>IF(Table13[[#This Row],[Visit_Time_Hrs]]&lt;=2,"Short Visit", IF(Table13[[#This Row],[Visit_Time_Hrs]]&lt;=5,"Medium Visit","Full Day"))</f>
        <v>Short Visit</v>
      </c>
      <c r="T314" s="1" t="str">
        <f>IF(Table13[[#This Row],[Airport_50km_Radius]]="Yes","Accessible","Remote")</f>
        <v>Accessible</v>
      </c>
      <c r="U314" s="1" t="str">
        <f>IF(Table13[[#This Row],[Reiew_Rating]]&gt;=4.7,"Yes","No")</f>
        <v>No</v>
      </c>
      <c r="V314" s="1" t="str">
        <f t="shared" si="16"/>
        <v>Other</v>
      </c>
      <c r="W314" s="1" t="str">
        <f t="shared" si="17"/>
        <v>★★★★★</v>
      </c>
      <c r="X314" s="1" t="str">
        <f t="shared" si="18"/>
        <v>5 / 5 Stars</v>
      </c>
      <c r="Y314" s="1" t="str">
        <f t="shared" si="19"/>
        <v>Medium Traffic</v>
      </c>
    </row>
    <row r="315" spans="1:25" x14ac:dyDescent="0.3">
      <c r="A315" s="2" t="s">
        <v>15</v>
      </c>
      <c r="B315" s="2" t="s">
        <v>16</v>
      </c>
      <c r="C315" s="2" t="s">
        <v>679</v>
      </c>
      <c r="D315" s="2" t="s">
        <v>689</v>
      </c>
      <c r="E315" s="2" t="s">
        <v>690</v>
      </c>
      <c r="F315" s="1">
        <v>1656</v>
      </c>
      <c r="G315" s="1">
        <v>1</v>
      </c>
      <c r="H315" s="1">
        <v>4.5</v>
      </c>
      <c r="I315" s="1" t="str">
        <f>IF(Table13[[#This Row],[Reiew_Rating]]&gt;=4.5,"Excellent",
IF(Table13[[#This Row],[Reiew_Rating]]&gt;=4,"Good","Average"))</f>
        <v>Excellent</v>
      </c>
      <c r="J315" s="1">
        <v>0</v>
      </c>
      <c r="K315" s="1" t="str">
        <f>IF(Table13[[#This Row],[Entrance_Fee_INR]]=0,"Free","Paid")</f>
        <v>Free</v>
      </c>
      <c r="L315" s="2" t="s">
        <v>19</v>
      </c>
      <c r="M315" s="2" t="s">
        <v>32</v>
      </c>
      <c r="N315" s="2" t="s">
        <v>21</v>
      </c>
      <c r="O315" s="2" t="s">
        <v>19</v>
      </c>
      <c r="P315" s="3">
        <v>0.49</v>
      </c>
      <c r="Q315" s="2" t="s">
        <v>51</v>
      </c>
      <c r="R315" s="1" t="str">
        <f>IF(Table13[[#This Row],[Number_Review_Lakhs]]&gt;=1,"Highly Popular", IF(Table13[[#This Row],[Number_Review_Lakhs]]&gt;=0.5,"Popular","Less Popular"))</f>
        <v>Less Popular</v>
      </c>
      <c r="S315" s="1" t="str">
        <f>IF(Table13[[#This Row],[Visit_Time_Hrs]]&lt;=2,"Short Visit", IF(Table13[[#This Row],[Visit_Time_Hrs]]&lt;=5,"Medium Visit","Full Day"))</f>
        <v>Short Visit</v>
      </c>
      <c r="T315" s="1" t="str">
        <f>IF(Table13[[#This Row],[Airport_50km_Radius]]="Yes","Accessible","Remote")</f>
        <v>Accessible</v>
      </c>
      <c r="U315" s="1" t="str">
        <f>IF(Table13[[#This Row],[Reiew_Rating]]&gt;=4.7,"Yes","No")</f>
        <v>No</v>
      </c>
      <c r="V315" s="1" t="str">
        <f t="shared" si="16"/>
        <v>Heritage &amp; Culture</v>
      </c>
      <c r="W315" s="1" t="str">
        <f t="shared" si="17"/>
        <v>★★★★★</v>
      </c>
      <c r="X315" s="1" t="str">
        <f t="shared" si="18"/>
        <v>5 / 5 Stars</v>
      </c>
      <c r="Y315" s="1" t="str">
        <f t="shared" si="19"/>
        <v>Medium Traffic</v>
      </c>
    </row>
    <row r="316" spans="1:25" x14ac:dyDescent="0.3">
      <c r="A316" s="2" t="s">
        <v>87</v>
      </c>
      <c r="B316" s="2" t="s">
        <v>530</v>
      </c>
      <c r="C316" s="2" t="s">
        <v>536</v>
      </c>
      <c r="D316" s="2" t="s">
        <v>537</v>
      </c>
      <c r="E316" s="2" t="s">
        <v>27</v>
      </c>
      <c r="F316" s="1">
        <v>1854</v>
      </c>
      <c r="G316" s="1">
        <v>1.5</v>
      </c>
      <c r="H316" s="1">
        <v>4.7</v>
      </c>
      <c r="I316" s="1" t="str">
        <f>IF(Table13[[#This Row],[Reiew_Rating]]&gt;=4.5,"Excellent",
IF(Table13[[#This Row],[Reiew_Rating]]&gt;=4,"Good","Average"))</f>
        <v>Excellent</v>
      </c>
      <c r="J316" s="1">
        <v>0</v>
      </c>
      <c r="K316" s="1" t="str">
        <f>IF(Table13[[#This Row],[Entrance_Fee_INR]]=0,"Free","Paid")</f>
        <v>Free</v>
      </c>
      <c r="L316" s="2" t="s">
        <v>19</v>
      </c>
      <c r="M316" s="2" t="s">
        <v>720</v>
      </c>
      <c r="N316" s="2" t="s">
        <v>28</v>
      </c>
      <c r="O316" s="2" t="s">
        <v>29</v>
      </c>
      <c r="P316" s="3">
        <v>0.1</v>
      </c>
      <c r="Q316" s="2" t="s">
        <v>51</v>
      </c>
      <c r="R316" s="1" t="str">
        <f>IF(Table13[[#This Row],[Number_Review_Lakhs]]&gt;=1,"Highly Popular", IF(Table13[[#This Row],[Number_Review_Lakhs]]&gt;=0.5,"Popular","Less Popular"))</f>
        <v>Less Popular</v>
      </c>
      <c r="S316" s="1" t="str">
        <f>IF(Table13[[#This Row],[Visit_Time_Hrs]]&lt;=2,"Short Visit", IF(Table13[[#This Row],[Visit_Time_Hrs]]&lt;=5,"Medium Visit","Full Day"))</f>
        <v>Short Visit</v>
      </c>
      <c r="T316" s="1" t="str">
        <f>IF(Table13[[#This Row],[Airport_50km_Radius]]="Yes","Accessible","Remote")</f>
        <v>Accessible</v>
      </c>
      <c r="U316" s="1" t="str">
        <f>IF(Table13[[#This Row],[Reiew_Rating]]&gt;=4.7,"Yes","No")</f>
        <v>Yes</v>
      </c>
      <c r="V316" s="1" t="str">
        <f t="shared" si="16"/>
        <v>Heritage &amp; Culture</v>
      </c>
      <c r="W316" s="1" t="str">
        <f t="shared" si="17"/>
        <v>★★★★★</v>
      </c>
      <c r="X316" s="1" t="str">
        <f t="shared" si="18"/>
        <v>5 / 5 Stars</v>
      </c>
      <c r="Y316" s="1" t="str">
        <f t="shared" si="19"/>
        <v>Low Traffic</v>
      </c>
    </row>
    <row r="317" spans="1:25" x14ac:dyDescent="0.3">
      <c r="A317" s="2" t="s">
        <v>306</v>
      </c>
      <c r="B317" s="2" t="s">
        <v>415</v>
      </c>
      <c r="C317" s="2" t="s">
        <v>683</v>
      </c>
      <c r="D317" s="2" t="s">
        <v>691</v>
      </c>
      <c r="E317" s="2" t="s">
        <v>692</v>
      </c>
      <c r="F317" s="1">
        <v>2011</v>
      </c>
      <c r="G317" s="1">
        <v>2</v>
      </c>
      <c r="H317" s="1">
        <v>4.5999999999999996</v>
      </c>
      <c r="I317" s="1" t="str">
        <f>IF(Table13[[#This Row],[Reiew_Rating]]&gt;=4.5,"Excellent",
IF(Table13[[#This Row],[Reiew_Rating]]&gt;=4,"Good","Average"))</f>
        <v>Excellent</v>
      </c>
      <c r="J317" s="1">
        <v>1500</v>
      </c>
      <c r="K317" s="1" t="str">
        <f>IF(Table13[[#This Row],[Entrance_Fee_INR]]=0,"Free","Paid")</f>
        <v>Paid</v>
      </c>
      <c r="L317" s="2" t="s">
        <v>19</v>
      </c>
      <c r="M317" s="2" t="s">
        <v>40</v>
      </c>
      <c r="N317" s="2" t="s">
        <v>129</v>
      </c>
      <c r="O317" s="2" t="s">
        <v>19</v>
      </c>
      <c r="P317" s="3">
        <v>7.4</v>
      </c>
      <c r="Q317" s="2" t="s">
        <v>51</v>
      </c>
      <c r="R317" s="1" t="str">
        <f>IF(Table13[[#This Row],[Number_Review_Lakhs]]&gt;=1,"Highly Popular", IF(Table13[[#This Row],[Number_Review_Lakhs]]&gt;=0.5,"Popular","Less Popular"))</f>
        <v>Highly Popular</v>
      </c>
      <c r="S317" s="1" t="str">
        <f>IF(Table13[[#This Row],[Visit_Time_Hrs]]&lt;=2,"Short Visit", IF(Table13[[#This Row],[Visit_Time_Hrs]]&lt;=5,"Medium Visit","Full Day"))</f>
        <v>Short Visit</v>
      </c>
      <c r="T317" s="1" t="str">
        <f>IF(Table13[[#This Row],[Airport_50km_Radius]]="Yes","Accessible","Remote")</f>
        <v>Accessible</v>
      </c>
      <c r="U317" s="1" t="str">
        <f>IF(Table13[[#This Row],[Reiew_Rating]]&gt;=4.7,"Yes","No")</f>
        <v>No</v>
      </c>
      <c r="V317" s="1" t="str">
        <f t="shared" si="16"/>
        <v>Other</v>
      </c>
      <c r="W317" s="1" t="str">
        <f t="shared" si="17"/>
        <v>★★★★★</v>
      </c>
      <c r="X317" s="1" t="str">
        <f t="shared" si="18"/>
        <v>5 / 5 Stars</v>
      </c>
      <c r="Y317" s="1" t="str">
        <f t="shared" si="19"/>
        <v>High Traffic</v>
      </c>
    </row>
    <row r="318" spans="1:25" x14ac:dyDescent="0.3">
      <c r="A318" s="2" t="s">
        <v>306</v>
      </c>
      <c r="B318" s="2" t="s">
        <v>415</v>
      </c>
      <c r="C318" s="2" t="s">
        <v>420</v>
      </c>
      <c r="D318" s="2" t="s">
        <v>693</v>
      </c>
      <c r="E318" s="2" t="s">
        <v>675</v>
      </c>
      <c r="F318" s="1">
        <v>2020</v>
      </c>
      <c r="G318" s="1">
        <v>2</v>
      </c>
      <c r="H318" s="1">
        <v>4.5999999999999996</v>
      </c>
      <c r="I318" s="1" t="str">
        <f>IF(Table13[[#This Row],[Reiew_Rating]]&gt;=4.5,"Excellent",
IF(Table13[[#This Row],[Reiew_Rating]]&gt;=4,"Good","Average"))</f>
        <v>Excellent</v>
      </c>
      <c r="J318" s="1">
        <v>0</v>
      </c>
      <c r="K318" s="1" t="str">
        <f>IF(Table13[[#This Row],[Entrance_Fee_INR]]=0,"Free","Paid")</f>
        <v>Free</v>
      </c>
      <c r="L318" s="2" t="s">
        <v>19</v>
      </c>
      <c r="M318" s="2" t="s">
        <v>305</v>
      </c>
      <c r="N318" s="2" t="s">
        <v>676</v>
      </c>
      <c r="O318" s="2" t="s">
        <v>19</v>
      </c>
      <c r="P318" s="3">
        <v>0.35</v>
      </c>
      <c r="Q318" s="2" t="s">
        <v>51</v>
      </c>
      <c r="R318" s="1" t="str">
        <f>IF(Table13[[#This Row],[Number_Review_Lakhs]]&gt;=1,"Highly Popular", IF(Table13[[#This Row],[Number_Review_Lakhs]]&gt;=0.5,"Popular","Less Popular"))</f>
        <v>Less Popular</v>
      </c>
      <c r="S318" s="1" t="str">
        <f>IF(Table13[[#This Row],[Visit_Time_Hrs]]&lt;=2,"Short Visit", IF(Table13[[#This Row],[Visit_Time_Hrs]]&lt;=5,"Medium Visit","Full Day"))</f>
        <v>Short Visit</v>
      </c>
      <c r="T318" s="1" t="str">
        <f>IF(Table13[[#This Row],[Airport_50km_Radius]]="Yes","Accessible","Remote")</f>
        <v>Accessible</v>
      </c>
      <c r="U318" s="1" t="str">
        <f>IF(Table13[[#This Row],[Reiew_Rating]]&gt;=4.7,"Yes","No")</f>
        <v>No</v>
      </c>
      <c r="V318" s="1" t="str">
        <f t="shared" si="16"/>
        <v>Other</v>
      </c>
      <c r="W318" s="1" t="str">
        <f t="shared" si="17"/>
        <v>★★★★★</v>
      </c>
      <c r="X318" s="1" t="str">
        <f t="shared" si="18"/>
        <v>5 / 5 Stars</v>
      </c>
      <c r="Y318" s="1" t="str">
        <f t="shared" si="19"/>
        <v>Low Traffic</v>
      </c>
    </row>
    <row r="319" spans="1:25" x14ac:dyDescent="0.3">
      <c r="A319" s="2" t="s">
        <v>87</v>
      </c>
      <c r="B319" s="2" t="s">
        <v>219</v>
      </c>
      <c r="C319" s="2" t="s">
        <v>225</v>
      </c>
      <c r="D319" s="2" t="s">
        <v>694</v>
      </c>
      <c r="E319" s="2" t="s">
        <v>675</v>
      </c>
      <c r="F319" s="1">
        <v>2013</v>
      </c>
      <c r="G319" s="1">
        <v>3</v>
      </c>
      <c r="H319" s="1">
        <v>4.5999999999999996</v>
      </c>
      <c r="I319" s="1" t="str">
        <f>IF(Table13[[#This Row],[Reiew_Rating]]&gt;=4.5,"Excellent",
IF(Table13[[#This Row],[Reiew_Rating]]&gt;=4,"Good","Average"))</f>
        <v>Excellent</v>
      </c>
      <c r="J319" s="1">
        <v>0</v>
      </c>
      <c r="K319" s="1" t="str">
        <f>IF(Table13[[#This Row],[Entrance_Fee_INR]]=0,"Free","Paid")</f>
        <v>Free</v>
      </c>
      <c r="L319" s="2" t="s">
        <v>19</v>
      </c>
      <c r="M319" s="2" t="s">
        <v>305</v>
      </c>
      <c r="N319" s="2" t="s">
        <v>676</v>
      </c>
      <c r="O319" s="2" t="s">
        <v>19</v>
      </c>
      <c r="P319" s="3">
        <v>1.9</v>
      </c>
      <c r="Q319" s="2" t="s">
        <v>51</v>
      </c>
      <c r="R319" s="1" t="str">
        <f>IF(Table13[[#This Row],[Number_Review_Lakhs]]&gt;=1,"Highly Popular", IF(Table13[[#This Row],[Number_Review_Lakhs]]&gt;=0.5,"Popular","Less Popular"))</f>
        <v>Highly Popular</v>
      </c>
      <c r="S319" s="1" t="str">
        <f>IF(Table13[[#This Row],[Visit_Time_Hrs]]&lt;=2,"Short Visit", IF(Table13[[#This Row],[Visit_Time_Hrs]]&lt;=5,"Medium Visit","Full Day"))</f>
        <v>Medium Visit</v>
      </c>
      <c r="T319" s="1" t="str">
        <f>IF(Table13[[#This Row],[Airport_50km_Radius]]="Yes","Accessible","Remote")</f>
        <v>Accessible</v>
      </c>
      <c r="U319" s="1" t="str">
        <f>IF(Table13[[#This Row],[Reiew_Rating]]&gt;=4.7,"Yes","No")</f>
        <v>No</v>
      </c>
      <c r="V319" s="1" t="str">
        <f t="shared" si="16"/>
        <v>Other</v>
      </c>
      <c r="W319" s="1" t="str">
        <f t="shared" si="17"/>
        <v>★★★★★</v>
      </c>
      <c r="X319" s="1" t="str">
        <f t="shared" si="18"/>
        <v>5 / 5 Stars</v>
      </c>
      <c r="Y319" s="1" t="str">
        <f t="shared" si="19"/>
        <v>High Traffic</v>
      </c>
    </row>
    <row r="320" spans="1:25" x14ac:dyDescent="0.3">
      <c r="A320" s="2" t="s">
        <v>15</v>
      </c>
      <c r="B320" s="2" t="s">
        <v>16</v>
      </c>
      <c r="C320" s="2" t="s">
        <v>679</v>
      </c>
      <c r="D320" s="2" t="s">
        <v>695</v>
      </c>
      <c r="E320" s="2" t="s">
        <v>53</v>
      </c>
      <c r="F320" s="1">
        <v>1977</v>
      </c>
      <c r="G320" s="1">
        <v>2</v>
      </c>
      <c r="H320" s="1">
        <v>4.4000000000000004</v>
      </c>
      <c r="I320" s="1" t="str">
        <f>IF(Table13[[#This Row],[Reiew_Rating]]&gt;=4.5,"Excellent",
IF(Table13[[#This Row],[Reiew_Rating]]&gt;=4,"Good","Average"))</f>
        <v>Good</v>
      </c>
      <c r="J320" s="1">
        <v>50</v>
      </c>
      <c r="K320" s="1" t="str">
        <f>IF(Table13[[#This Row],[Entrance_Fee_INR]]=0,"Free","Paid")</f>
        <v>Paid</v>
      </c>
      <c r="L320" s="2" t="s">
        <v>19</v>
      </c>
      <c r="M320" s="2" t="s">
        <v>32</v>
      </c>
      <c r="N320" s="2" t="s">
        <v>169</v>
      </c>
      <c r="O320" s="2" t="s">
        <v>19</v>
      </c>
      <c r="P320" s="3">
        <v>0.24</v>
      </c>
      <c r="Q320" s="2" t="s">
        <v>37</v>
      </c>
      <c r="R320" s="1" t="str">
        <f>IF(Table13[[#This Row],[Number_Review_Lakhs]]&gt;=1,"Highly Popular", IF(Table13[[#This Row],[Number_Review_Lakhs]]&gt;=0.5,"Popular","Less Popular"))</f>
        <v>Less Popular</v>
      </c>
      <c r="S320" s="1" t="str">
        <f>IF(Table13[[#This Row],[Visit_Time_Hrs]]&lt;=2,"Short Visit", IF(Table13[[#This Row],[Visit_Time_Hrs]]&lt;=5,"Medium Visit","Full Day"))</f>
        <v>Short Visit</v>
      </c>
      <c r="T320" s="1" t="str">
        <f>IF(Table13[[#This Row],[Airport_50km_Radius]]="Yes","Accessible","Remote")</f>
        <v>Accessible</v>
      </c>
      <c r="U320" s="1" t="str">
        <f>IF(Table13[[#This Row],[Reiew_Rating]]&gt;=4.7,"Yes","No")</f>
        <v>No</v>
      </c>
      <c r="V320" s="1" t="str">
        <f t="shared" si="16"/>
        <v>Other</v>
      </c>
      <c r="W320" s="1" t="str">
        <f t="shared" si="17"/>
        <v>★★★★☆</v>
      </c>
      <c r="X320" s="1" t="str">
        <f t="shared" si="18"/>
        <v>4 / 5 Stars</v>
      </c>
      <c r="Y320" s="1" t="str">
        <f t="shared" si="19"/>
        <v>Low Traffic</v>
      </c>
    </row>
    <row r="321" spans="1:25" x14ac:dyDescent="0.3">
      <c r="A321" s="2" t="s">
        <v>606</v>
      </c>
      <c r="B321" s="2" t="s">
        <v>696</v>
      </c>
      <c r="C321" s="2" t="s">
        <v>697</v>
      </c>
      <c r="D321" s="2" t="s">
        <v>698</v>
      </c>
      <c r="E321" s="2" t="s">
        <v>654</v>
      </c>
      <c r="F321" s="1">
        <v>1973</v>
      </c>
      <c r="G321" s="1">
        <v>2</v>
      </c>
      <c r="H321" s="1">
        <v>4.5999999999999996</v>
      </c>
      <c r="I321" s="1" t="str">
        <f>IF(Table13[[#This Row],[Reiew_Rating]]&gt;=4.5,"Excellent",
IF(Table13[[#This Row],[Reiew_Rating]]&gt;=4,"Good","Average"))</f>
        <v>Excellent</v>
      </c>
      <c r="J321" s="1">
        <v>0</v>
      </c>
      <c r="K321" s="1" t="str">
        <f>IF(Table13[[#This Row],[Entrance_Fee_INR]]=0,"Free","Paid")</f>
        <v>Free</v>
      </c>
      <c r="L321" s="2" t="s">
        <v>29</v>
      </c>
      <c r="M321" s="2" t="s">
        <v>721</v>
      </c>
      <c r="N321" s="2" t="s">
        <v>94</v>
      </c>
      <c r="O321" s="2" t="s">
        <v>19</v>
      </c>
      <c r="P321" s="3">
        <v>0.06</v>
      </c>
      <c r="Q321" s="2" t="s">
        <v>37</v>
      </c>
      <c r="R321" s="1" t="str">
        <f>IF(Table13[[#This Row],[Number_Review_Lakhs]]&gt;=1,"Highly Popular", IF(Table13[[#This Row],[Number_Review_Lakhs]]&gt;=0.5,"Popular","Less Popular"))</f>
        <v>Less Popular</v>
      </c>
      <c r="S321" s="1" t="str">
        <f>IF(Table13[[#This Row],[Visit_Time_Hrs]]&lt;=2,"Short Visit", IF(Table13[[#This Row],[Visit_Time_Hrs]]&lt;=5,"Medium Visit","Full Day"))</f>
        <v>Short Visit</v>
      </c>
      <c r="T321" s="1" t="str">
        <f>IF(Table13[[#This Row],[Airport_50km_Radius]]="Yes","Accessible","Remote")</f>
        <v>Remote</v>
      </c>
      <c r="U321" s="1" t="str">
        <f>IF(Table13[[#This Row],[Reiew_Rating]]&gt;=4.7,"Yes","No")</f>
        <v>No</v>
      </c>
      <c r="V321" s="1" t="str">
        <f t="shared" si="16"/>
        <v>Nature &amp; Wildlife</v>
      </c>
      <c r="W321" s="1" t="str">
        <f t="shared" si="17"/>
        <v>★★★★★</v>
      </c>
      <c r="X321" s="1" t="str">
        <f t="shared" si="18"/>
        <v>5 / 5 Stars</v>
      </c>
      <c r="Y321" s="1" t="str">
        <f t="shared" si="19"/>
        <v>Low Traffic</v>
      </c>
    </row>
    <row r="322" spans="1:25" x14ac:dyDescent="0.3">
      <c r="A322" s="2" t="s">
        <v>62</v>
      </c>
      <c r="B322" s="2" t="s">
        <v>154</v>
      </c>
      <c r="C322" s="2" t="s">
        <v>172</v>
      </c>
      <c r="D322" s="2" t="s">
        <v>699</v>
      </c>
      <c r="E322" s="2" t="s">
        <v>27</v>
      </c>
      <c r="F322" s="1">
        <v>1992</v>
      </c>
      <c r="G322" s="1">
        <v>3</v>
      </c>
      <c r="H322" s="1">
        <v>4.5999999999999996</v>
      </c>
      <c r="I322" s="1" t="str">
        <f>IF(Table13[[#This Row],[Reiew_Rating]]&gt;=4.5,"Excellent",
IF(Table13[[#This Row],[Reiew_Rating]]&gt;=4,"Good","Average"))</f>
        <v>Excellent</v>
      </c>
      <c r="J322" s="1">
        <v>0</v>
      </c>
      <c r="K322" s="1" t="str">
        <f>IF(Table13[[#This Row],[Entrance_Fee_INR]]=0,"Free","Paid")</f>
        <v>Free</v>
      </c>
      <c r="L322" s="2" t="s">
        <v>19</v>
      </c>
      <c r="M322" s="2" t="s">
        <v>32</v>
      </c>
      <c r="N322" s="2" t="s">
        <v>28</v>
      </c>
      <c r="O322" s="2" t="s">
        <v>29</v>
      </c>
      <c r="P322" s="3">
        <v>0.18</v>
      </c>
      <c r="Q322" s="2" t="s">
        <v>51</v>
      </c>
      <c r="R322" s="1" t="str">
        <f>IF(Table13[[#This Row],[Number_Review_Lakhs]]&gt;=1,"Highly Popular", IF(Table13[[#This Row],[Number_Review_Lakhs]]&gt;=0.5,"Popular","Less Popular"))</f>
        <v>Less Popular</v>
      </c>
      <c r="S322" s="1" t="str">
        <f>IF(Table13[[#This Row],[Visit_Time_Hrs]]&lt;=2,"Short Visit", IF(Table13[[#This Row],[Visit_Time_Hrs]]&lt;=5,"Medium Visit","Full Day"))</f>
        <v>Medium Visit</v>
      </c>
      <c r="T322" s="1" t="str">
        <f>IF(Table13[[#This Row],[Airport_50km_Radius]]="Yes","Accessible","Remote")</f>
        <v>Accessible</v>
      </c>
      <c r="U322" s="1" t="str">
        <f>IF(Table13[[#This Row],[Reiew_Rating]]&gt;=4.7,"Yes","No")</f>
        <v>No</v>
      </c>
      <c r="V322" s="1" t="str">
        <f t="shared" si="16"/>
        <v>Heritage &amp; Culture</v>
      </c>
      <c r="W322" s="1" t="str">
        <f t="shared" si="17"/>
        <v>★★★★★</v>
      </c>
      <c r="X322" s="1" t="str">
        <f t="shared" si="18"/>
        <v>5 / 5 Stars</v>
      </c>
      <c r="Y322" s="1" t="str">
        <f t="shared" si="19"/>
        <v>Low Traffic</v>
      </c>
    </row>
    <row r="323" spans="1:25" x14ac:dyDescent="0.3">
      <c r="A323" s="2" t="s">
        <v>306</v>
      </c>
      <c r="B323" s="2" t="s">
        <v>415</v>
      </c>
      <c r="C323" s="2" t="s">
        <v>416</v>
      </c>
      <c r="D323" s="2" t="s">
        <v>700</v>
      </c>
      <c r="E323" s="2" t="s">
        <v>43</v>
      </c>
      <c r="F323" s="1">
        <v>1565</v>
      </c>
      <c r="G323" s="1">
        <v>2</v>
      </c>
      <c r="H323" s="1">
        <v>4.5</v>
      </c>
      <c r="I323" s="1" t="str">
        <f>IF(Table13[[#This Row],[Reiew_Rating]]&gt;=4.5,"Excellent",
IF(Table13[[#This Row],[Reiew_Rating]]&gt;=4,"Good","Average"))</f>
        <v>Excellent</v>
      </c>
      <c r="J323" s="1">
        <v>40</v>
      </c>
      <c r="K323" s="1" t="str">
        <f>IF(Table13[[#This Row],[Entrance_Fee_INR]]=0,"Free","Paid")</f>
        <v>Paid</v>
      </c>
      <c r="L323" s="2" t="s">
        <v>19</v>
      </c>
      <c r="M323" s="2" t="s">
        <v>40</v>
      </c>
      <c r="N323" s="2" t="s">
        <v>21</v>
      </c>
      <c r="O323" s="2" t="s">
        <v>19</v>
      </c>
      <c r="P323" s="3">
        <v>1.3</v>
      </c>
      <c r="Q323" s="2" t="s">
        <v>25</v>
      </c>
      <c r="R323" s="1" t="str">
        <f>IF(Table13[[#This Row],[Number_Review_Lakhs]]&gt;=1,"Highly Popular", IF(Table13[[#This Row],[Number_Review_Lakhs]]&gt;=0.5,"Popular","Less Popular"))</f>
        <v>Highly Popular</v>
      </c>
      <c r="S323" s="1" t="str">
        <f>IF(Table13[[#This Row],[Visit_Time_Hrs]]&lt;=2,"Short Visit", IF(Table13[[#This Row],[Visit_Time_Hrs]]&lt;=5,"Medium Visit","Full Day"))</f>
        <v>Short Visit</v>
      </c>
      <c r="T323" s="1" t="str">
        <f>IF(Table13[[#This Row],[Airport_50km_Radius]]="Yes","Accessible","Remote")</f>
        <v>Accessible</v>
      </c>
      <c r="U323" s="1" t="str">
        <f>IF(Table13[[#This Row],[Reiew_Rating]]&gt;=4.7,"Yes","No")</f>
        <v>No</v>
      </c>
      <c r="V323" s="1" t="str">
        <f t="shared" si="16"/>
        <v>Heritage &amp; Culture</v>
      </c>
      <c r="W323" s="1" t="str">
        <f t="shared" si="17"/>
        <v>★★★★★</v>
      </c>
      <c r="X323" s="1" t="str">
        <f t="shared" si="18"/>
        <v>5 / 5 Stars</v>
      </c>
      <c r="Y323" s="1" t="str">
        <f t="shared" si="19"/>
        <v>Medium Traffic</v>
      </c>
    </row>
    <row r="324" spans="1:25" x14ac:dyDescent="0.3">
      <c r="A324" s="2" t="s">
        <v>306</v>
      </c>
      <c r="B324" s="2" t="s">
        <v>307</v>
      </c>
      <c r="C324" s="2" t="s">
        <v>311</v>
      </c>
      <c r="D324" s="2" t="s">
        <v>701</v>
      </c>
      <c r="E324" s="2" t="s">
        <v>53</v>
      </c>
      <c r="F324" s="1">
        <v>2013</v>
      </c>
      <c r="G324" s="1">
        <v>2</v>
      </c>
      <c r="H324" s="1">
        <v>4.7</v>
      </c>
      <c r="I324" s="1" t="str">
        <f>IF(Table13[[#This Row],[Reiew_Rating]]&gt;=4.5,"Excellent",
IF(Table13[[#This Row],[Reiew_Rating]]&gt;=4,"Good","Average"))</f>
        <v>Excellent</v>
      </c>
      <c r="J324" s="1">
        <v>10</v>
      </c>
      <c r="K324" s="1" t="str">
        <f>IF(Table13[[#This Row],[Entrance_Fee_INR]]=0,"Free","Paid")</f>
        <v>Paid</v>
      </c>
      <c r="L324" s="2" t="s">
        <v>19</v>
      </c>
      <c r="M324" s="2" t="s">
        <v>32</v>
      </c>
      <c r="N324" s="2" t="s">
        <v>169</v>
      </c>
      <c r="O324" s="2" t="s">
        <v>19</v>
      </c>
      <c r="P324" s="3">
        <v>0.15</v>
      </c>
      <c r="Q324" s="2" t="s">
        <v>51</v>
      </c>
      <c r="R324" s="1" t="str">
        <f>IF(Table13[[#This Row],[Number_Review_Lakhs]]&gt;=1,"Highly Popular", IF(Table13[[#This Row],[Number_Review_Lakhs]]&gt;=0.5,"Popular","Less Popular"))</f>
        <v>Less Popular</v>
      </c>
      <c r="S324" s="1" t="str">
        <f>IF(Table13[[#This Row],[Visit_Time_Hrs]]&lt;=2,"Short Visit", IF(Table13[[#This Row],[Visit_Time_Hrs]]&lt;=5,"Medium Visit","Full Day"))</f>
        <v>Short Visit</v>
      </c>
      <c r="T324" s="1" t="str">
        <f>IF(Table13[[#This Row],[Airport_50km_Radius]]="Yes","Accessible","Remote")</f>
        <v>Accessible</v>
      </c>
      <c r="U324" s="1" t="str">
        <f>IF(Table13[[#This Row],[Reiew_Rating]]&gt;=4.7,"Yes","No")</f>
        <v>Yes</v>
      </c>
      <c r="V324" s="1" t="str">
        <f t="shared" si="16"/>
        <v>Other</v>
      </c>
      <c r="W324" s="1" t="str">
        <f t="shared" si="17"/>
        <v>★★★★★</v>
      </c>
      <c r="X324" s="1" t="str">
        <f t="shared" si="18"/>
        <v>5 / 5 Stars</v>
      </c>
      <c r="Y324" s="1" t="str">
        <f t="shared" si="19"/>
        <v>Low Traffic</v>
      </c>
    </row>
    <row r="325" spans="1:25" x14ac:dyDescent="0.3">
      <c r="A325" s="2" t="s">
        <v>15</v>
      </c>
      <c r="B325" s="2" t="s">
        <v>181</v>
      </c>
      <c r="C325" s="2" t="s">
        <v>182</v>
      </c>
      <c r="D325" s="2" t="s">
        <v>185</v>
      </c>
      <c r="E325" s="2" t="s">
        <v>91</v>
      </c>
      <c r="F325" s="1">
        <v>1727</v>
      </c>
      <c r="G325" s="1">
        <v>2</v>
      </c>
      <c r="H325" s="1">
        <v>4.4000000000000004</v>
      </c>
      <c r="I325" s="1" t="str">
        <f>IF(Table13[[#This Row],[Reiew_Rating]]&gt;=4.5,"Excellent",
IF(Table13[[#This Row],[Reiew_Rating]]&gt;=4,"Good","Average"))</f>
        <v>Good</v>
      </c>
      <c r="J325" s="1">
        <v>200</v>
      </c>
      <c r="K325" s="1" t="str">
        <f>IF(Table13[[#This Row],[Entrance_Fee_INR]]=0,"Free","Paid")</f>
        <v>Paid</v>
      </c>
      <c r="L325" s="2" t="s">
        <v>19</v>
      </c>
      <c r="M325" s="2" t="s">
        <v>721</v>
      </c>
      <c r="N325" s="2" t="s">
        <v>21</v>
      </c>
      <c r="O325" s="2" t="s">
        <v>19</v>
      </c>
      <c r="P325" s="3">
        <v>0.51</v>
      </c>
      <c r="Q325" s="2" t="s">
        <v>37</v>
      </c>
      <c r="R325" s="1" t="str">
        <f>IF(Table13[[#This Row],[Number_Review_Lakhs]]&gt;=1,"Highly Popular", IF(Table13[[#This Row],[Number_Review_Lakhs]]&gt;=0.5,"Popular","Less Popular"))</f>
        <v>Popular</v>
      </c>
      <c r="S325" s="1" t="str">
        <f>IF(Table13[[#This Row],[Visit_Time_Hrs]]&lt;=2,"Short Visit", IF(Table13[[#This Row],[Visit_Time_Hrs]]&lt;=5,"Medium Visit","Full Day"))</f>
        <v>Short Visit</v>
      </c>
      <c r="T325" s="1" t="str">
        <f>IF(Table13[[#This Row],[Airport_50km_Radius]]="Yes","Accessible","Remote")</f>
        <v>Accessible</v>
      </c>
      <c r="U325" s="1" t="str">
        <f>IF(Table13[[#This Row],[Reiew_Rating]]&gt;=4.7,"Yes","No")</f>
        <v>No</v>
      </c>
      <c r="V325" s="1" t="str">
        <f t="shared" si="16"/>
        <v>Heritage &amp; Culture</v>
      </c>
      <c r="W325" s="1" t="str">
        <f t="shared" si="17"/>
        <v>★★★★☆</v>
      </c>
      <c r="X325" s="1" t="str">
        <f t="shared" si="18"/>
        <v>4 / 5 Stars</v>
      </c>
      <c r="Y325" s="1" t="str">
        <f t="shared" si="19"/>
        <v>Medium Traffic</v>
      </c>
    </row>
    <row r="326" spans="1:25" x14ac:dyDescent="0.3">
      <c r="A326" s="2" t="s">
        <v>15</v>
      </c>
      <c r="B326" s="2" t="s">
        <v>181</v>
      </c>
      <c r="C326" s="2" t="s">
        <v>182</v>
      </c>
      <c r="D326" s="2" t="s">
        <v>702</v>
      </c>
      <c r="E326" s="2" t="s">
        <v>53</v>
      </c>
      <c r="F326" s="1">
        <v>1887</v>
      </c>
      <c r="G326" s="1">
        <v>2</v>
      </c>
      <c r="H326" s="1">
        <v>4.5</v>
      </c>
      <c r="I326" s="1" t="str">
        <f>IF(Table13[[#This Row],[Reiew_Rating]]&gt;=4.5,"Excellent",
IF(Table13[[#This Row],[Reiew_Rating]]&gt;=4,"Good","Average"))</f>
        <v>Excellent</v>
      </c>
      <c r="J326" s="1">
        <v>200</v>
      </c>
      <c r="K326" s="1" t="str">
        <f>IF(Table13[[#This Row],[Entrance_Fee_INR]]=0,"Free","Paid")</f>
        <v>Paid</v>
      </c>
      <c r="L326" s="2" t="s">
        <v>19</v>
      </c>
      <c r="M326" s="2" t="s">
        <v>722</v>
      </c>
      <c r="N326" s="2" t="s">
        <v>21</v>
      </c>
      <c r="O326" s="2" t="s">
        <v>19</v>
      </c>
      <c r="P326" s="3">
        <v>0.63</v>
      </c>
      <c r="Q326" s="2" t="s">
        <v>51</v>
      </c>
      <c r="R326" s="1" t="str">
        <f>IF(Table13[[#This Row],[Number_Review_Lakhs]]&gt;=1,"Highly Popular", IF(Table13[[#This Row],[Number_Review_Lakhs]]&gt;=0.5,"Popular","Less Popular"))</f>
        <v>Popular</v>
      </c>
      <c r="S326" s="1" t="str">
        <f>IF(Table13[[#This Row],[Visit_Time_Hrs]]&lt;=2,"Short Visit", IF(Table13[[#This Row],[Visit_Time_Hrs]]&lt;=5,"Medium Visit","Full Day"))</f>
        <v>Short Visit</v>
      </c>
      <c r="T326" s="1" t="str">
        <f>IF(Table13[[#This Row],[Airport_50km_Radius]]="Yes","Accessible","Remote")</f>
        <v>Accessible</v>
      </c>
      <c r="U326" s="1" t="str">
        <f>IF(Table13[[#This Row],[Reiew_Rating]]&gt;=4.7,"Yes","No")</f>
        <v>No</v>
      </c>
      <c r="V326" s="1" t="str">
        <f t="shared" si="16"/>
        <v>Heritage &amp; Culture</v>
      </c>
      <c r="W326" s="1" t="str">
        <f t="shared" si="17"/>
        <v>★★★★★</v>
      </c>
      <c r="X326" s="1" t="str">
        <f t="shared" si="18"/>
        <v>5 / 5 Stars</v>
      </c>
      <c r="Y326" s="1" t="str">
        <f t="shared" si="19"/>
        <v>Medium Traffic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CBBE-F375-4935-8620-23ECA0C65245}">
  <dimension ref="H9:I43"/>
  <sheetViews>
    <sheetView topLeftCell="F1" workbookViewId="0">
      <selection activeCell="O30" sqref="O30"/>
    </sheetView>
  </sheetViews>
  <sheetFormatPr defaultRowHeight="14.4" x14ac:dyDescent="0.3"/>
  <sheetData>
    <row r="9" spans="8:9" x14ac:dyDescent="0.3">
      <c r="H9" t="s">
        <v>725</v>
      </c>
      <c r="I9" t="s">
        <v>727</v>
      </c>
    </row>
    <row r="10" spans="8:9" x14ac:dyDescent="0.3">
      <c r="H10" t="s">
        <v>645</v>
      </c>
      <c r="I10">
        <v>4</v>
      </c>
    </row>
    <row r="11" spans="8:9" x14ac:dyDescent="0.3">
      <c r="H11" t="s">
        <v>558</v>
      </c>
      <c r="I11">
        <v>18</v>
      </c>
    </row>
    <row r="12" spans="8:9" x14ac:dyDescent="0.3">
      <c r="H12" t="s">
        <v>624</v>
      </c>
      <c r="I12">
        <v>1</v>
      </c>
    </row>
    <row r="13" spans="8:9" x14ac:dyDescent="0.3">
      <c r="H13" t="s">
        <v>607</v>
      </c>
      <c r="I13">
        <v>8</v>
      </c>
    </row>
    <row r="14" spans="8:9" x14ac:dyDescent="0.3">
      <c r="H14" t="s">
        <v>664</v>
      </c>
      <c r="I14">
        <v>4</v>
      </c>
    </row>
    <row r="15" spans="8:9" x14ac:dyDescent="0.3">
      <c r="H15" t="s">
        <v>635</v>
      </c>
      <c r="I15">
        <v>1</v>
      </c>
    </row>
    <row r="16" spans="8:9" x14ac:dyDescent="0.3">
      <c r="H16" t="s">
        <v>655</v>
      </c>
      <c r="I16">
        <v>2</v>
      </c>
    </row>
    <row r="17" spans="8:9" x14ac:dyDescent="0.3">
      <c r="H17" t="s">
        <v>16</v>
      </c>
      <c r="I17">
        <v>19</v>
      </c>
    </row>
    <row r="18" spans="8:9" x14ac:dyDescent="0.3">
      <c r="H18" t="s">
        <v>136</v>
      </c>
      <c r="I18">
        <v>14</v>
      </c>
    </row>
    <row r="19" spans="8:9" x14ac:dyDescent="0.3">
      <c r="H19" t="s">
        <v>154</v>
      </c>
      <c r="I19">
        <v>14</v>
      </c>
    </row>
    <row r="20" spans="8:9" x14ac:dyDescent="0.3">
      <c r="H20" t="s">
        <v>671</v>
      </c>
      <c r="I20">
        <v>3</v>
      </c>
    </row>
    <row r="21" spans="8:9" x14ac:dyDescent="0.3">
      <c r="H21" t="s">
        <v>339</v>
      </c>
      <c r="I21">
        <v>18</v>
      </c>
    </row>
    <row r="22" spans="8:9" x14ac:dyDescent="0.3">
      <c r="H22" t="s">
        <v>445</v>
      </c>
      <c r="I22">
        <v>6</v>
      </c>
    </row>
    <row r="23" spans="8:9" x14ac:dyDescent="0.3">
      <c r="H23" t="s">
        <v>659</v>
      </c>
      <c r="I23">
        <v>2</v>
      </c>
    </row>
    <row r="24" spans="8:9" x14ac:dyDescent="0.3">
      <c r="H24" t="s">
        <v>88</v>
      </c>
      <c r="I24">
        <v>19</v>
      </c>
    </row>
    <row r="25" spans="8:9" x14ac:dyDescent="0.3">
      <c r="H25" t="s">
        <v>219</v>
      </c>
      <c r="I25">
        <v>16</v>
      </c>
    </row>
    <row r="26" spans="8:9" x14ac:dyDescent="0.3">
      <c r="H26" t="s">
        <v>448</v>
      </c>
      <c r="I26">
        <v>10</v>
      </c>
    </row>
    <row r="27" spans="8:9" x14ac:dyDescent="0.3">
      <c r="H27" t="s">
        <v>307</v>
      </c>
      <c r="I27">
        <v>15</v>
      </c>
    </row>
    <row r="28" spans="8:9" x14ac:dyDescent="0.3">
      <c r="H28" t="s">
        <v>295</v>
      </c>
      <c r="I28">
        <v>4</v>
      </c>
    </row>
    <row r="29" spans="8:9" x14ac:dyDescent="0.3">
      <c r="H29" t="s">
        <v>63</v>
      </c>
      <c r="I29">
        <v>20</v>
      </c>
    </row>
    <row r="30" spans="8:9" x14ac:dyDescent="0.3">
      <c r="H30" t="s">
        <v>696</v>
      </c>
      <c r="I30">
        <v>1</v>
      </c>
    </row>
    <row r="31" spans="8:9" x14ac:dyDescent="0.3">
      <c r="H31" t="s">
        <v>638</v>
      </c>
      <c r="I31">
        <v>1</v>
      </c>
    </row>
    <row r="32" spans="8:9" x14ac:dyDescent="0.3">
      <c r="H32" t="s">
        <v>502</v>
      </c>
      <c r="I32">
        <v>12</v>
      </c>
    </row>
    <row r="33" spans="8:9" x14ac:dyDescent="0.3">
      <c r="H33" t="s">
        <v>640</v>
      </c>
      <c r="I33">
        <v>3</v>
      </c>
    </row>
    <row r="34" spans="8:9" x14ac:dyDescent="0.3">
      <c r="H34" t="s">
        <v>207</v>
      </c>
      <c r="I34">
        <v>4</v>
      </c>
    </row>
    <row r="35" spans="8:9" x14ac:dyDescent="0.3">
      <c r="H35" t="s">
        <v>181</v>
      </c>
      <c r="I35">
        <v>15</v>
      </c>
    </row>
    <row r="36" spans="8:9" x14ac:dyDescent="0.3">
      <c r="H36" t="s">
        <v>592</v>
      </c>
      <c r="I36">
        <v>7</v>
      </c>
    </row>
    <row r="37" spans="8:9" x14ac:dyDescent="0.3">
      <c r="H37" t="s">
        <v>530</v>
      </c>
      <c r="I37">
        <v>13</v>
      </c>
    </row>
    <row r="38" spans="8:9" x14ac:dyDescent="0.3">
      <c r="H38" t="s">
        <v>100</v>
      </c>
      <c r="I38">
        <v>11</v>
      </c>
    </row>
    <row r="39" spans="8:9" x14ac:dyDescent="0.3">
      <c r="H39" t="s">
        <v>627</v>
      </c>
      <c r="I39">
        <v>3</v>
      </c>
    </row>
    <row r="40" spans="8:9" x14ac:dyDescent="0.3">
      <c r="H40" t="s">
        <v>415</v>
      </c>
      <c r="I40">
        <v>23</v>
      </c>
    </row>
    <row r="41" spans="8:9" x14ac:dyDescent="0.3">
      <c r="H41" t="s">
        <v>385</v>
      </c>
      <c r="I41">
        <v>14</v>
      </c>
    </row>
    <row r="42" spans="8:9" x14ac:dyDescent="0.3">
      <c r="H42" t="s">
        <v>118</v>
      </c>
      <c r="I42">
        <v>20</v>
      </c>
    </row>
    <row r="43" spans="8:9" x14ac:dyDescent="0.3">
      <c r="H43" t="s">
        <v>726</v>
      </c>
      <c r="I43">
        <v>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8E50-10C4-4767-BE0A-7E7CA6EAD332}">
  <dimension ref="C3:AG82"/>
  <sheetViews>
    <sheetView workbookViewId="0">
      <selection activeCell="AD4" sqref="AD4"/>
    </sheetView>
  </sheetViews>
  <sheetFormatPr defaultRowHeight="14.4" x14ac:dyDescent="0.3"/>
  <cols>
    <col min="3" max="3" width="25.44140625" bestFit="1" customWidth="1"/>
    <col min="4" max="4" width="13.88671875" bestFit="1" customWidth="1"/>
    <col min="6" max="6" width="18.109375" bestFit="1" customWidth="1"/>
    <col min="7" max="7" width="13.88671875" bestFit="1" customWidth="1"/>
    <col min="9" max="9" width="23.88671875" bestFit="1" customWidth="1"/>
    <col min="10" max="10" width="22.21875" bestFit="1" customWidth="1"/>
    <col min="12" max="12" width="12.5546875" bestFit="1" customWidth="1"/>
    <col min="13" max="13" width="13.88671875" bestFit="1" customWidth="1"/>
    <col min="15" max="15" width="12.5546875" bestFit="1" customWidth="1"/>
    <col min="16" max="16" width="13.88671875" bestFit="1" customWidth="1"/>
    <col min="18" max="18" width="13.5546875" bestFit="1" customWidth="1"/>
    <col min="19" max="19" width="13.88671875" bestFit="1" customWidth="1"/>
    <col min="21" max="21" width="12.5546875" bestFit="1" customWidth="1"/>
    <col min="22" max="22" width="13.88671875" bestFit="1" customWidth="1"/>
    <col min="24" max="24" width="28.5546875" bestFit="1" customWidth="1"/>
    <col min="25" max="25" width="27.5546875" bestFit="1" customWidth="1"/>
    <col min="27" max="27" width="25.44140625" bestFit="1" customWidth="1"/>
    <col min="28" max="28" width="13.88671875" bestFit="1" customWidth="1"/>
    <col min="29" max="29" width="12" bestFit="1" customWidth="1"/>
    <col min="30" max="31" width="15.5546875" bestFit="1" customWidth="1"/>
    <col min="32" max="32" width="7.5546875" bestFit="1" customWidth="1"/>
    <col min="33" max="33" width="10.77734375" bestFit="1" customWidth="1"/>
  </cols>
  <sheetData>
    <row r="3" spans="3:33" x14ac:dyDescent="0.3">
      <c r="C3" s="6" t="s">
        <v>725</v>
      </c>
      <c r="D3" t="s">
        <v>727</v>
      </c>
      <c r="F3" s="6" t="s">
        <v>725</v>
      </c>
      <c r="G3" t="s">
        <v>727</v>
      </c>
      <c r="I3" s="6" t="s">
        <v>725</v>
      </c>
      <c r="J3" t="s">
        <v>733</v>
      </c>
      <c r="L3" s="6" t="s">
        <v>725</v>
      </c>
      <c r="M3" t="s">
        <v>727</v>
      </c>
      <c r="O3" s="6" t="s">
        <v>725</v>
      </c>
      <c r="P3" t="s">
        <v>727</v>
      </c>
      <c r="R3" s="6" t="s">
        <v>725</v>
      </c>
      <c r="S3" t="s">
        <v>727</v>
      </c>
      <c r="U3" s="6" t="s">
        <v>725</v>
      </c>
      <c r="V3" t="s">
        <v>727</v>
      </c>
      <c r="X3" s="6" t="s">
        <v>725</v>
      </c>
      <c r="Y3" t="s">
        <v>740</v>
      </c>
      <c r="AA3" s="6" t="s">
        <v>725</v>
      </c>
      <c r="AB3" t="s">
        <v>727</v>
      </c>
      <c r="AD3" s="6" t="s">
        <v>727</v>
      </c>
      <c r="AE3" s="6" t="s">
        <v>743</v>
      </c>
    </row>
    <row r="4" spans="3:33" x14ac:dyDescent="0.3">
      <c r="C4" s="7" t="s">
        <v>645</v>
      </c>
      <c r="D4">
        <v>4</v>
      </c>
      <c r="F4" s="7" t="s">
        <v>728</v>
      </c>
      <c r="G4">
        <v>159</v>
      </c>
      <c r="I4" s="7" t="s">
        <v>369</v>
      </c>
      <c r="J4">
        <v>4.8</v>
      </c>
      <c r="L4" s="7" t="s">
        <v>734</v>
      </c>
      <c r="M4">
        <v>183</v>
      </c>
      <c r="O4" s="7" t="s">
        <v>306</v>
      </c>
      <c r="P4">
        <v>39</v>
      </c>
      <c r="R4" s="7" t="s">
        <v>737</v>
      </c>
      <c r="S4">
        <v>19</v>
      </c>
      <c r="U4" s="7" t="s">
        <v>25</v>
      </c>
      <c r="V4">
        <v>44</v>
      </c>
      <c r="X4" s="7" t="s">
        <v>691</v>
      </c>
      <c r="Y4">
        <v>1</v>
      </c>
      <c r="AA4" s="7" t="s">
        <v>645</v>
      </c>
      <c r="AB4">
        <v>4</v>
      </c>
      <c r="AD4" s="6" t="s">
        <v>725</v>
      </c>
      <c r="AE4" t="s">
        <v>741</v>
      </c>
      <c r="AF4" t="s">
        <v>742</v>
      </c>
      <c r="AG4" t="s">
        <v>726</v>
      </c>
    </row>
    <row r="5" spans="3:33" x14ac:dyDescent="0.3">
      <c r="C5" s="7" t="s">
        <v>558</v>
      </c>
      <c r="D5">
        <v>18</v>
      </c>
      <c r="F5" s="7" t="s">
        <v>729</v>
      </c>
      <c r="G5">
        <v>36</v>
      </c>
      <c r="I5" s="7" t="s">
        <v>82</v>
      </c>
      <c r="J5">
        <v>3.6999999999999997</v>
      </c>
      <c r="L5" s="7" t="s">
        <v>735</v>
      </c>
      <c r="M5">
        <v>142</v>
      </c>
      <c r="O5" s="7" t="s">
        <v>117</v>
      </c>
      <c r="P5">
        <v>45</v>
      </c>
      <c r="R5" s="7" t="s">
        <v>738</v>
      </c>
      <c r="S5">
        <v>220</v>
      </c>
      <c r="U5" s="7" t="s">
        <v>51</v>
      </c>
      <c r="V5">
        <v>164</v>
      </c>
      <c r="X5" s="7" t="s">
        <v>102</v>
      </c>
      <c r="Y5">
        <v>7</v>
      </c>
      <c r="AA5" s="7" t="s">
        <v>558</v>
      </c>
      <c r="AB5">
        <v>18</v>
      </c>
      <c r="AD5" s="7" t="s">
        <v>558</v>
      </c>
      <c r="AE5">
        <v>14</v>
      </c>
      <c r="AF5">
        <v>4</v>
      </c>
      <c r="AG5">
        <v>18</v>
      </c>
    </row>
    <row r="6" spans="3:33" x14ac:dyDescent="0.3">
      <c r="C6" s="7" t="s">
        <v>624</v>
      </c>
      <c r="D6">
        <v>1</v>
      </c>
      <c r="F6" s="7" t="s">
        <v>730</v>
      </c>
      <c r="G6">
        <v>91</v>
      </c>
      <c r="I6" s="7" t="s">
        <v>590</v>
      </c>
      <c r="J6">
        <v>3.8</v>
      </c>
      <c r="L6" s="7" t="s">
        <v>726</v>
      </c>
      <c r="M6">
        <v>325</v>
      </c>
      <c r="O6" s="7" t="s">
        <v>606</v>
      </c>
      <c r="P6">
        <v>14</v>
      </c>
      <c r="R6" s="7" t="s">
        <v>739</v>
      </c>
      <c r="S6">
        <v>86</v>
      </c>
      <c r="U6" s="7" t="s">
        <v>84</v>
      </c>
      <c r="V6">
        <v>1</v>
      </c>
      <c r="X6" s="7" t="s">
        <v>199</v>
      </c>
      <c r="Y6">
        <v>9</v>
      </c>
      <c r="AA6" s="7" t="s">
        <v>624</v>
      </c>
      <c r="AB6">
        <v>1</v>
      </c>
      <c r="AD6" s="7" t="s">
        <v>16</v>
      </c>
      <c r="AE6">
        <v>19</v>
      </c>
      <c r="AG6">
        <v>19</v>
      </c>
    </row>
    <row r="7" spans="3:33" x14ac:dyDescent="0.3">
      <c r="C7" s="7" t="s">
        <v>607</v>
      </c>
      <c r="D7">
        <v>8</v>
      </c>
      <c r="F7" s="7" t="s">
        <v>731</v>
      </c>
      <c r="G7">
        <v>37</v>
      </c>
      <c r="I7" s="7" t="s">
        <v>79</v>
      </c>
      <c r="J7">
        <v>4.4160000000000004</v>
      </c>
      <c r="O7" s="7" t="s">
        <v>15</v>
      </c>
      <c r="P7">
        <v>89</v>
      </c>
      <c r="R7" s="7" t="s">
        <v>726</v>
      </c>
      <c r="S7">
        <v>325</v>
      </c>
      <c r="U7" s="7" t="s">
        <v>123</v>
      </c>
      <c r="V7">
        <v>1</v>
      </c>
      <c r="X7" s="7" t="s">
        <v>69</v>
      </c>
      <c r="Y7">
        <v>2</v>
      </c>
      <c r="AA7" s="7" t="s">
        <v>607</v>
      </c>
      <c r="AB7">
        <v>8</v>
      </c>
      <c r="AD7" s="7" t="s">
        <v>339</v>
      </c>
      <c r="AE7">
        <v>7</v>
      </c>
      <c r="AF7">
        <v>11</v>
      </c>
      <c r="AG7">
        <v>18</v>
      </c>
    </row>
    <row r="8" spans="3:33" x14ac:dyDescent="0.3">
      <c r="C8" s="7" t="s">
        <v>664</v>
      </c>
      <c r="D8">
        <v>4</v>
      </c>
      <c r="F8" s="7" t="s">
        <v>732</v>
      </c>
      <c r="G8">
        <v>2</v>
      </c>
      <c r="I8" s="7" t="s">
        <v>153</v>
      </c>
      <c r="J8">
        <v>4.0999999999999996</v>
      </c>
      <c r="O8" s="7" t="s">
        <v>87</v>
      </c>
      <c r="P8">
        <v>98</v>
      </c>
      <c r="U8" s="7" t="s">
        <v>22</v>
      </c>
      <c r="V8">
        <v>26</v>
      </c>
      <c r="X8" s="7" t="s">
        <v>209</v>
      </c>
      <c r="Y8">
        <v>9</v>
      </c>
      <c r="AA8" s="7" t="s">
        <v>664</v>
      </c>
      <c r="AB8">
        <v>4</v>
      </c>
      <c r="AD8" s="7" t="s">
        <v>88</v>
      </c>
      <c r="AE8">
        <v>10</v>
      </c>
      <c r="AF8">
        <v>9</v>
      </c>
      <c r="AG8">
        <v>19</v>
      </c>
    </row>
    <row r="9" spans="3:33" x14ac:dyDescent="0.3">
      <c r="C9" s="7" t="s">
        <v>635</v>
      </c>
      <c r="D9">
        <v>1</v>
      </c>
      <c r="F9" s="7" t="s">
        <v>726</v>
      </c>
      <c r="G9">
        <v>325</v>
      </c>
      <c r="I9" s="7" t="s">
        <v>215</v>
      </c>
      <c r="J9">
        <v>4.8</v>
      </c>
      <c r="O9" s="7" t="s">
        <v>62</v>
      </c>
      <c r="P9">
        <v>40</v>
      </c>
      <c r="U9" s="7" t="s">
        <v>37</v>
      </c>
      <c r="V9">
        <v>88</v>
      </c>
      <c r="X9" s="7" t="s">
        <v>17</v>
      </c>
      <c r="Y9">
        <v>3</v>
      </c>
      <c r="AA9" s="7" t="s">
        <v>635</v>
      </c>
      <c r="AB9">
        <v>1</v>
      </c>
      <c r="AD9" s="7" t="s">
        <v>219</v>
      </c>
      <c r="AE9">
        <v>11</v>
      </c>
      <c r="AF9">
        <v>5</v>
      </c>
      <c r="AG9">
        <v>16</v>
      </c>
    </row>
    <row r="10" spans="3:33" x14ac:dyDescent="0.3">
      <c r="C10" s="7" t="s">
        <v>655</v>
      </c>
      <c r="D10">
        <v>2</v>
      </c>
      <c r="I10" s="7" t="s">
        <v>93</v>
      </c>
      <c r="J10">
        <v>4.4000000000000004</v>
      </c>
      <c r="O10" s="7" t="s">
        <v>726</v>
      </c>
      <c r="P10">
        <v>325</v>
      </c>
      <c r="U10" s="7" t="s">
        <v>178</v>
      </c>
      <c r="V10">
        <v>1</v>
      </c>
      <c r="X10" s="7" t="s">
        <v>681</v>
      </c>
      <c r="Y10">
        <v>8</v>
      </c>
      <c r="AA10" s="7" t="s">
        <v>655</v>
      </c>
      <c r="AB10">
        <v>2</v>
      </c>
      <c r="AD10" s="7" t="s">
        <v>307</v>
      </c>
      <c r="AE10">
        <v>5</v>
      </c>
      <c r="AF10">
        <v>10</v>
      </c>
      <c r="AG10">
        <v>15</v>
      </c>
    </row>
    <row r="11" spans="3:33" x14ac:dyDescent="0.3">
      <c r="C11" s="7" t="s">
        <v>16</v>
      </c>
      <c r="D11">
        <v>19</v>
      </c>
      <c r="I11" s="7" t="s">
        <v>122</v>
      </c>
      <c r="J11">
        <v>4.5999999999999996</v>
      </c>
      <c r="U11" s="7" t="s">
        <v>726</v>
      </c>
      <c r="V11">
        <v>325</v>
      </c>
      <c r="X11" s="7" t="s">
        <v>694</v>
      </c>
      <c r="Y11">
        <v>9</v>
      </c>
      <c r="AA11" s="7" t="s">
        <v>16</v>
      </c>
      <c r="AB11">
        <v>19</v>
      </c>
      <c r="AD11" s="7" t="s">
        <v>63</v>
      </c>
      <c r="AE11">
        <v>18</v>
      </c>
      <c r="AF11">
        <v>2</v>
      </c>
      <c r="AG11">
        <v>20</v>
      </c>
    </row>
    <row r="12" spans="3:33" x14ac:dyDescent="0.3">
      <c r="C12" s="7" t="s">
        <v>136</v>
      </c>
      <c r="D12">
        <v>14</v>
      </c>
      <c r="I12" s="7" t="s">
        <v>263</v>
      </c>
      <c r="J12">
        <v>4.5250000000000004</v>
      </c>
      <c r="X12" s="7" t="s">
        <v>251</v>
      </c>
      <c r="Y12">
        <v>4</v>
      </c>
      <c r="AA12" s="7" t="s">
        <v>136</v>
      </c>
      <c r="AB12">
        <v>14</v>
      </c>
      <c r="AD12" s="7" t="s">
        <v>181</v>
      </c>
      <c r="AE12">
        <v>10</v>
      </c>
      <c r="AF12">
        <v>5</v>
      </c>
      <c r="AG12">
        <v>15</v>
      </c>
    </row>
    <row r="13" spans="3:33" x14ac:dyDescent="0.3">
      <c r="C13" s="7" t="s">
        <v>154</v>
      </c>
      <c r="D13">
        <v>14</v>
      </c>
      <c r="I13" s="7" t="s">
        <v>139</v>
      </c>
      <c r="J13">
        <v>4.5</v>
      </c>
      <c r="X13" s="7" t="s">
        <v>417</v>
      </c>
      <c r="Y13">
        <v>5</v>
      </c>
      <c r="AA13" s="7" t="s">
        <v>154</v>
      </c>
      <c r="AB13">
        <v>14</v>
      </c>
      <c r="AD13" s="7" t="s">
        <v>415</v>
      </c>
      <c r="AE13">
        <v>23</v>
      </c>
      <c r="AG13">
        <v>23</v>
      </c>
    </row>
    <row r="14" spans="3:33" x14ac:dyDescent="0.3">
      <c r="C14" s="7" t="s">
        <v>671</v>
      </c>
      <c r="D14">
        <v>3</v>
      </c>
      <c r="I14" s="7" t="s">
        <v>678</v>
      </c>
      <c r="J14">
        <v>4.7</v>
      </c>
      <c r="X14" s="7" t="s">
        <v>232</v>
      </c>
      <c r="Y14">
        <v>6</v>
      </c>
      <c r="AA14" s="7" t="s">
        <v>671</v>
      </c>
      <c r="AB14">
        <v>3</v>
      </c>
      <c r="AD14" s="7" t="s">
        <v>118</v>
      </c>
      <c r="AE14">
        <v>16</v>
      </c>
      <c r="AF14">
        <v>4</v>
      </c>
      <c r="AG14">
        <v>20</v>
      </c>
    </row>
    <row r="15" spans="3:33" x14ac:dyDescent="0.3">
      <c r="C15" s="7" t="s">
        <v>339</v>
      </c>
      <c r="D15">
        <v>18</v>
      </c>
      <c r="I15" s="7" t="s">
        <v>430</v>
      </c>
      <c r="J15">
        <v>4.5</v>
      </c>
      <c r="N15" t="s">
        <v>736</v>
      </c>
      <c r="X15" s="7" t="s">
        <v>726</v>
      </c>
      <c r="AA15" s="7" t="s">
        <v>339</v>
      </c>
      <c r="AB15">
        <v>18</v>
      </c>
      <c r="AD15" s="7" t="s">
        <v>726</v>
      </c>
      <c r="AE15">
        <v>133</v>
      </c>
      <c r="AF15">
        <v>50</v>
      </c>
      <c r="AG15">
        <v>183</v>
      </c>
    </row>
    <row r="16" spans="3:33" x14ac:dyDescent="0.3">
      <c r="C16" s="7" t="s">
        <v>445</v>
      </c>
      <c r="D16">
        <v>6</v>
      </c>
      <c r="I16" s="7" t="s">
        <v>128</v>
      </c>
      <c r="J16">
        <v>4.0999999999999996</v>
      </c>
      <c r="AA16" s="7" t="s">
        <v>445</v>
      </c>
      <c r="AB16">
        <v>6</v>
      </c>
    </row>
    <row r="17" spans="3:28" x14ac:dyDescent="0.3">
      <c r="C17" s="7" t="s">
        <v>659</v>
      </c>
      <c r="D17">
        <v>2</v>
      </c>
      <c r="I17" s="7" t="s">
        <v>169</v>
      </c>
      <c r="J17">
        <v>4.6500000000000004</v>
      </c>
      <c r="AA17" s="7" t="s">
        <v>659</v>
      </c>
      <c r="AB17">
        <v>2</v>
      </c>
    </row>
    <row r="18" spans="3:28" x14ac:dyDescent="0.3">
      <c r="C18" s="7" t="s">
        <v>88</v>
      </c>
      <c r="D18">
        <v>19</v>
      </c>
      <c r="I18" s="7" t="s">
        <v>517</v>
      </c>
      <c r="J18">
        <v>4.5</v>
      </c>
      <c r="AA18" s="7" t="s">
        <v>88</v>
      </c>
      <c r="AB18">
        <v>19</v>
      </c>
    </row>
    <row r="19" spans="3:28" x14ac:dyDescent="0.3">
      <c r="C19" s="7" t="s">
        <v>219</v>
      </c>
      <c r="D19">
        <v>16</v>
      </c>
      <c r="I19" s="7" t="s">
        <v>109</v>
      </c>
      <c r="J19">
        <v>4.4000000000000004</v>
      </c>
      <c r="AA19" s="7" t="s">
        <v>219</v>
      </c>
      <c r="AB19">
        <v>16</v>
      </c>
    </row>
    <row r="20" spans="3:28" x14ac:dyDescent="0.3">
      <c r="C20" s="7" t="s">
        <v>448</v>
      </c>
      <c r="D20">
        <v>10</v>
      </c>
      <c r="I20" s="7" t="s">
        <v>108</v>
      </c>
      <c r="J20">
        <v>4.4000000000000004</v>
      </c>
      <c r="AA20" s="7" t="s">
        <v>448</v>
      </c>
      <c r="AB20">
        <v>10</v>
      </c>
    </row>
    <row r="21" spans="3:28" x14ac:dyDescent="0.3">
      <c r="C21" s="7" t="s">
        <v>307</v>
      </c>
      <c r="D21">
        <v>15</v>
      </c>
      <c r="I21" s="7" t="s">
        <v>43</v>
      </c>
      <c r="J21">
        <v>4.4590909090909099</v>
      </c>
      <c r="AA21" s="7" t="s">
        <v>307</v>
      </c>
      <c r="AB21">
        <v>15</v>
      </c>
    </row>
    <row r="22" spans="3:28" x14ac:dyDescent="0.3">
      <c r="C22" s="7" t="s">
        <v>295</v>
      </c>
      <c r="D22">
        <v>4</v>
      </c>
      <c r="I22" s="7" t="s">
        <v>393</v>
      </c>
      <c r="J22">
        <v>4.5</v>
      </c>
      <c r="AA22" s="7" t="s">
        <v>295</v>
      </c>
      <c r="AB22">
        <v>4</v>
      </c>
    </row>
    <row r="23" spans="3:28" x14ac:dyDescent="0.3">
      <c r="C23" s="7" t="s">
        <v>63</v>
      </c>
      <c r="D23">
        <v>20</v>
      </c>
      <c r="I23" s="7" t="s">
        <v>97</v>
      </c>
      <c r="J23">
        <v>4.5999999999999996</v>
      </c>
      <c r="AA23" s="7" t="s">
        <v>63</v>
      </c>
      <c r="AB23">
        <v>20</v>
      </c>
    </row>
    <row r="24" spans="3:28" x14ac:dyDescent="0.3">
      <c r="C24" s="7" t="s">
        <v>696</v>
      </c>
      <c r="D24">
        <v>1</v>
      </c>
      <c r="I24" s="7" t="s">
        <v>473</v>
      </c>
      <c r="J24">
        <v>3.7</v>
      </c>
      <c r="AA24" s="7" t="s">
        <v>696</v>
      </c>
      <c r="AB24">
        <v>1</v>
      </c>
    </row>
    <row r="25" spans="3:28" x14ac:dyDescent="0.3">
      <c r="C25" s="7" t="s">
        <v>638</v>
      </c>
      <c r="D25">
        <v>1</v>
      </c>
      <c r="I25" s="7" t="s">
        <v>375</v>
      </c>
      <c r="J25">
        <v>4.7</v>
      </c>
      <c r="AA25" s="7" t="s">
        <v>638</v>
      </c>
      <c r="AB25">
        <v>1</v>
      </c>
    </row>
    <row r="26" spans="3:28" x14ac:dyDescent="0.3">
      <c r="C26" s="7" t="s">
        <v>502</v>
      </c>
      <c r="D26">
        <v>12</v>
      </c>
      <c r="I26" s="7" t="s">
        <v>457</v>
      </c>
      <c r="J26">
        <v>4.3666666666666663</v>
      </c>
      <c r="AA26" s="7" t="s">
        <v>502</v>
      </c>
      <c r="AB26">
        <v>12</v>
      </c>
    </row>
    <row r="27" spans="3:28" x14ac:dyDescent="0.3">
      <c r="C27" s="7" t="s">
        <v>640</v>
      </c>
      <c r="D27">
        <v>3</v>
      </c>
      <c r="I27" s="7" t="s">
        <v>21</v>
      </c>
      <c r="J27">
        <v>4.5999999999999996</v>
      </c>
      <c r="AA27" s="7" t="s">
        <v>640</v>
      </c>
      <c r="AB27">
        <v>3</v>
      </c>
    </row>
    <row r="28" spans="3:28" x14ac:dyDescent="0.3">
      <c r="C28" s="7" t="s">
        <v>207</v>
      </c>
      <c r="D28">
        <v>4</v>
      </c>
      <c r="I28" s="7" t="s">
        <v>613</v>
      </c>
      <c r="J28">
        <v>4.0999999999999996</v>
      </c>
      <c r="AA28" s="7" t="s">
        <v>207</v>
      </c>
      <c r="AB28">
        <v>4</v>
      </c>
    </row>
    <row r="29" spans="3:28" x14ac:dyDescent="0.3">
      <c r="C29" s="7" t="s">
        <v>181</v>
      </c>
      <c r="D29">
        <v>15</v>
      </c>
      <c r="I29" s="7" t="s">
        <v>106</v>
      </c>
      <c r="J29">
        <v>4.3812499999999996</v>
      </c>
      <c r="AA29" s="7" t="s">
        <v>181</v>
      </c>
      <c r="AB29">
        <v>15</v>
      </c>
    </row>
    <row r="30" spans="3:28" x14ac:dyDescent="0.3">
      <c r="C30" s="7" t="s">
        <v>592</v>
      </c>
      <c r="D30">
        <v>7</v>
      </c>
      <c r="I30" s="7" t="s">
        <v>103</v>
      </c>
      <c r="J30">
        <v>4.5999999999999996</v>
      </c>
      <c r="AA30" s="7" t="s">
        <v>592</v>
      </c>
      <c r="AB30">
        <v>7</v>
      </c>
    </row>
    <row r="31" spans="3:28" x14ac:dyDescent="0.3">
      <c r="C31" s="7" t="s">
        <v>530</v>
      </c>
      <c r="D31">
        <v>13</v>
      </c>
      <c r="I31" s="7" t="s">
        <v>675</v>
      </c>
      <c r="J31">
        <v>4.5142857142857142</v>
      </c>
      <c r="AA31" s="7" t="s">
        <v>530</v>
      </c>
      <c r="AB31">
        <v>13</v>
      </c>
    </row>
    <row r="32" spans="3:28" x14ac:dyDescent="0.3">
      <c r="C32" s="7" t="s">
        <v>100</v>
      </c>
      <c r="D32">
        <v>11</v>
      </c>
      <c r="I32" s="7" t="s">
        <v>39</v>
      </c>
      <c r="J32">
        <v>4.3000000000000007</v>
      </c>
      <c r="AA32" s="7" t="s">
        <v>100</v>
      </c>
      <c r="AB32">
        <v>11</v>
      </c>
    </row>
    <row r="33" spans="3:28" x14ac:dyDescent="0.3">
      <c r="C33" s="7" t="s">
        <v>627</v>
      </c>
      <c r="D33">
        <v>3</v>
      </c>
      <c r="I33" s="7" t="s">
        <v>272</v>
      </c>
      <c r="J33">
        <v>4.55</v>
      </c>
      <c r="AA33" s="7" t="s">
        <v>627</v>
      </c>
      <c r="AB33">
        <v>3</v>
      </c>
    </row>
    <row r="34" spans="3:28" x14ac:dyDescent="0.3">
      <c r="C34" s="7" t="s">
        <v>415</v>
      </c>
      <c r="D34">
        <v>23</v>
      </c>
      <c r="I34" s="7" t="s">
        <v>213</v>
      </c>
      <c r="J34">
        <v>4.7333333333333334</v>
      </c>
      <c r="AA34" s="7" t="s">
        <v>415</v>
      </c>
      <c r="AB34">
        <v>23</v>
      </c>
    </row>
    <row r="35" spans="3:28" x14ac:dyDescent="0.3">
      <c r="C35" s="7" t="s">
        <v>385</v>
      </c>
      <c r="D35">
        <v>14</v>
      </c>
      <c r="I35" s="7" t="s">
        <v>352</v>
      </c>
      <c r="J35">
        <v>4.6857142857142859</v>
      </c>
      <c r="AA35" s="7" t="s">
        <v>385</v>
      </c>
      <c r="AB35">
        <v>14</v>
      </c>
    </row>
    <row r="36" spans="3:28" x14ac:dyDescent="0.3">
      <c r="C36" s="7" t="s">
        <v>118</v>
      </c>
      <c r="D36">
        <v>20</v>
      </c>
      <c r="I36" s="7" t="s">
        <v>59</v>
      </c>
      <c r="J36">
        <v>4.5111111111111111</v>
      </c>
      <c r="AA36" s="7" t="s">
        <v>118</v>
      </c>
      <c r="AB36">
        <v>20</v>
      </c>
    </row>
    <row r="37" spans="3:28" x14ac:dyDescent="0.3">
      <c r="C37" s="7" t="s">
        <v>726</v>
      </c>
      <c r="D37">
        <v>325</v>
      </c>
      <c r="I37" s="7" t="s">
        <v>690</v>
      </c>
      <c r="J37">
        <v>4.5</v>
      </c>
      <c r="AA37" s="7" t="s">
        <v>726</v>
      </c>
      <c r="AB37">
        <v>325</v>
      </c>
    </row>
    <row r="38" spans="3:28" x14ac:dyDescent="0.3">
      <c r="I38" s="7" t="s">
        <v>260</v>
      </c>
      <c r="J38">
        <v>4.5</v>
      </c>
    </row>
    <row r="39" spans="3:28" x14ac:dyDescent="0.3">
      <c r="I39" s="7" t="s">
        <v>53</v>
      </c>
      <c r="J39">
        <v>4.5181818181818185</v>
      </c>
    </row>
    <row r="40" spans="3:28" x14ac:dyDescent="0.3">
      <c r="I40" s="7" t="s">
        <v>72</v>
      </c>
      <c r="J40">
        <v>4.4428571428571422</v>
      </c>
    </row>
    <row r="41" spans="3:28" x14ac:dyDescent="0.3">
      <c r="I41" s="7" t="s">
        <v>654</v>
      </c>
      <c r="J41">
        <v>4.5</v>
      </c>
    </row>
    <row r="42" spans="3:28" x14ac:dyDescent="0.3">
      <c r="I42" s="7" t="s">
        <v>35</v>
      </c>
      <c r="J42">
        <v>4.2</v>
      </c>
    </row>
    <row r="43" spans="3:28" x14ac:dyDescent="0.3">
      <c r="I43" s="7" t="s">
        <v>406</v>
      </c>
      <c r="J43">
        <v>4</v>
      </c>
    </row>
    <row r="44" spans="3:28" x14ac:dyDescent="0.3">
      <c r="I44" s="7" t="s">
        <v>91</v>
      </c>
      <c r="J44">
        <v>4.4249999999999998</v>
      </c>
    </row>
    <row r="45" spans="3:28" x14ac:dyDescent="0.3">
      <c r="I45" s="7" t="s">
        <v>47</v>
      </c>
      <c r="J45">
        <v>4.4142857142857155</v>
      </c>
    </row>
    <row r="46" spans="3:28" x14ac:dyDescent="0.3">
      <c r="I46" s="7" t="s">
        <v>333</v>
      </c>
      <c r="J46">
        <v>4.5999999999999996</v>
      </c>
    </row>
    <row r="47" spans="3:28" x14ac:dyDescent="0.3">
      <c r="I47" s="7" t="s">
        <v>66</v>
      </c>
      <c r="J47">
        <v>4.5</v>
      </c>
    </row>
    <row r="48" spans="3:28" x14ac:dyDescent="0.3">
      <c r="I48" s="7" t="s">
        <v>692</v>
      </c>
      <c r="J48">
        <v>4.5999999999999996</v>
      </c>
    </row>
    <row r="49" spans="9:10" x14ac:dyDescent="0.3">
      <c r="I49" s="7" t="s">
        <v>599</v>
      </c>
      <c r="J49">
        <v>4.7</v>
      </c>
    </row>
    <row r="50" spans="9:10" x14ac:dyDescent="0.3">
      <c r="I50" s="7" t="s">
        <v>77</v>
      </c>
      <c r="J50">
        <v>4.4000000000000004</v>
      </c>
    </row>
    <row r="51" spans="9:10" x14ac:dyDescent="0.3">
      <c r="I51" s="7" t="s">
        <v>210</v>
      </c>
      <c r="J51">
        <v>4.8499999999999996</v>
      </c>
    </row>
    <row r="52" spans="9:10" x14ac:dyDescent="0.3">
      <c r="I52" s="7" t="s">
        <v>618</v>
      </c>
      <c r="J52">
        <v>4.7</v>
      </c>
    </row>
    <row r="53" spans="9:10" x14ac:dyDescent="0.3">
      <c r="I53" s="7" t="s">
        <v>634</v>
      </c>
      <c r="J53">
        <v>4.5</v>
      </c>
    </row>
    <row r="54" spans="9:10" x14ac:dyDescent="0.3">
      <c r="I54" s="7" t="s">
        <v>224</v>
      </c>
      <c r="J54">
        <v>4.3</v>
      </c>
    </row>
    <row r="55" spans="9:10" x14ac:dyDescent="0.3">
      <c r="I55" s="7" t="s">
        <v>342</v>
      </c>
      <c r="J55">
        <v>4.7</v>
      </c>
    </row>
    <row r="56" spans="9:10" x14ac:dyDescent="0.3">
      <c r="I56" s="7" t="s">
        <v>61</v>
      </c>
      <c r="J56">
        <v>4.4000000000000004</v>
      </c>
    </row>
    <row r="57" spans="9:10" x14ac:dyDescent="0.3">
      <c r="I57" s="7" t="s">
        <v>218</v>
      </c>
      <c r="J57">
        <v>4.5</v>
      </c>
    </row>
    <row r="58" spans="9:10" x14ac:dyDescent="0.3">
      <c r="I58" s="7" t="s">
        <v>195</v>
      </c>
      <c r="J58">
        <v>4.5999999999999996</v>
      </c>
    </row>
    <row r="59" spans="9:10" x14ac:dyDescent="0.3">
      <c r="I59" s="7" t="s">
        <v>134</v>
      </c>
      <c r="J59">
        <v>4.4833333333333334</v>
      </c>
    </row>
    <row r="60" spans="9:10" x14ac:dyDescent="0.3">
      <c r="I60" s="7" t="s">
        <v>384</v>
      </c>
      <c r="J60">
        <v>4.1500000000000004</v>
      </c>
    </row>
    <row r="61" spans="9:10" x14ac:dyDescent="0.3">
      <c r="I61" s="7" t="s">
        <v>582</v>
      </c>
      <c r="J61">
        <v>4.7</v>
      </c>
    </row>
    <row r="62" spans="9:10" x14ac:dyDescent="0.3">
      <c r="I62" s="7" t="s">
        <v>45</v>
      </c>
      <c r="J62">
        <v>4.2</v>
      </c>
    </row>
    <row r="63" spans="9:10" x14ac:dyDescent="0.3">
      <c r="I63" s="7" t="s">
        <v>483</v>
      </c>
      <c r="J63">
        <v>4.5</v>
      </c>
    </row>
    <row r="64" spans="9:10" x14ac:dyDescent="0.3">
      <c r="I64" s="7" t="s">
        <v>390</v>
      </c>
      <c r="J64">
        <v>4.4000000000000004</v>
      </c>
    </row>
    <row r="65" spans="9:10" x14ac:dyDescent="0.3">
      <c r="I65" s="7" t="s">
        <v>363</v>
      </c>
      <c r="J65">
        <v>4.5999999999999996</v>
      </c>
    </row>
    <row r="66" spans="9:10" x14ac:dyDescent="0.3">
      <c r="I66" s="7" t="s">
        <v>27</v>
      </c>
      <c r="J66">
        <v>4.6762711864406761</v>
      </c>
    </row>
    <row r="67" spans="9:10" x14ac:dyDescent="0.3">
      <c r="I67" s="7" t="s">
        <v>310</v>
      </c>
      <c r="J67">
        <v>4.7</v>
      </c>
    </row>
    <row r="68" spans="9:10" x14ac:dyDescent="0.3">
      <c r="I68" s="7" t="s">
        <v>31</v>
      </c>
      <c r="J68">
        <v>4.0999999999999996</v>
      </c>
    </row>
    <row r="69" spans="9:10" x14ac:dyDescent="0.3">
      <c r="I69" s="7" t="s">
        <v>24</v>
      </c>
      <c r="J69">
        <v>4.5</v>
      </c>
    </row>
    <row r="70" spans="9:10" x14ac:dyDescent="0.3">
      <c r="I70" s="7" t="s">
        <v>112</v>
      </c>
      <c r="J70">
        <v>4.4000000000000004</v>
      </c>
    </row>
    <row r="71" spans="9:10" x14ac:dyDescent="0.3">
      <c r="I71" s="7" t="s">
        <v>643</v>
      </c>
      <c r="J71">
        <v>4.0999999999999996</v>
      </c>
    </row>
    <row r="72" spans="9:10" x14ac:dyDescent="0.3">
      <c r="I72" s="7" t="s">
        <v>372</v>
      </c>
      <c r="J72">
        <v>4.8</v>
      </c>
    </row>
    <row r="73" spans="9:10" x14ac:dyDescent="0.3">
      <c r="I73" s="7" t="s">
        <v>175</v>
      </c>
      <c r="J73">
        <v>4.5999999999999996</v>
      </c>
    </row>
    <row r="74" spans="9:10" x14ac:dyDescent="0.3">
      <c r="I74" s="7" t="s">
        <v>300</v>
      </c>
      <c r="J74">
        <v>4.4999999999999991</v>
      </c>
    </row>
    <row r="75" spans="9:10" x14ac:dyDescent="0.3">
      <c r="I75" s="7" t="s">
        <v>247</v>
      </c>
      <c r="J75">
        <v>4.4666666666666668</v>
      </c>
    </row>
    <row r="76" spans="9:10" x14ac:dyDescent="0.3">
      <c r="I76" s="7" t="s">
        <v>479</v>
      </c>
      <c r="J76">
        <v>4.0999999999999996</v>
      </c>
    </row>
    <row r="77" spans="9:10" x14ac:dyDescent="0.3">
      <c r="I77" s="7" t="s">
        <v>283</v>
      </c>
      <c r="J77">
        <v>4.0999999999999996</v>
      </c>
    </row>
    <row r="78" spans="9:10" x14ac:dyDescent="0.3">
      <c r="I78" s="7" t="s">
        <v>18</v>
      </c>
      <c r="J78">
        <v>4.6999999999999993</v>
      </c>
    </row>
    <row r="79" spans="9:10" x14ac:dyDescent="0.3">
      <c r="I79" s="7" t="s">
        <v>142</v>
      </c>
      <c r="J79">
        <v>4.4363636363636365</v>
      </c>
    </row>
    <row r="80" spans="9:10" x14ac:dyDescent="0.3">
      <c r="I80" s="7" t="s">
        <v>190</v>
      </c>
      <c r="J80">
        <v>4.4499999999999993</v>
      </c>
    </row>
    <row r="81" spans="9:10" x14ac:dyDescent="0.3">
      <c r="I81" s="7" t="s">
        <v>56</v>
      </c>
      <c r="J81">
        <v>4.2285714285714286</v>
      </c>
    </row>
    <row r="82" spans="9:10" x14ac:dyDescent="0.3">
      <c r="I82" s="7" t="s">
        <v>726</v>
      </c>
      <c r="J82">
        <v>4.4861538461538437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D8BC-E29B-4E78-807B-D0E991FF139C}">
  <dimension ref="A2:Y18"/>
  <sheetViews>
    <sheetView zoomScale="68" workbookViewId="0">
      <selection activeCell="X8" sqref="X8"/>
    </sheetView>
  </sheetViews>
  <sheetFormatPr defaultRowHeight="14.4" x14ac:dyDescent="0.3"/>
  <sheetData>
    <row r="2" spans="1:25" x14ac:dyDescent="0.3">
      <c r="A2">
        <f>ROUND(AVERAGE('Cleaned Dataset'!H:H),2)</f>
        <v>4.49</v>
      </c>
      <c r="C2">
        <f>SUMPRODUCT(('Cleaned Dataset'!B2:B326&lt;&gt;"")/COUNTIF('Cleaned Dataset'!B2:B326,'Cleaned Dataset'!B2:B326&amp;""))</f>
        <v>32.999999999999993</v>
      </c>
      <c r="E2">
        <f>ROUND(AVERAGE('Cleaned Dataset'!J:J),0)</f>
        <v>116</v>
      </c>
      <c r="G2">
        <f>COUNTIF('Cleaned Dataset'!R:R,"Highly Popular")</f>
        <v>38</v>
      </c>
      <c r="K2">
        <f>COUNTIF('Cleaned Dataset'!K:K,"Paid")</f>
        <v>142</v>
      </c>
      <c r="M2">
        <f>COUNTIF('Cleaned Dataset'!K:K,"Free")</f>
        <v>183</v>
      </c>
    </row>
    <row r="15" spans="1:25" x14ac:dyDescent="0.3">
      <c r="W15" s="17"/>
      <c r="X15" s="18"/>
      <c r="Y15" s="18"/>
    </row>
    <row r="16" spans="1:25" x14ac:dyDescent="0.3">
      <c r="W16" s="18"/>
      <c r="X16" s="18"/>
      <c r="Y16" s="18"/>
    </row>
    <row r="17" spans="23:25" x14ac:dyDescent="0.3">
      <c r="W17" s="18"/>
      <c r="X17" s="18"/>
      <c r="Y17" s="18"/>
    </row>
    <row r="18" spans="23:25" x14ac:dyDescent="0.3">
      <c r="W18" s="18"/>
      <c r="X18" s="18"/>
      <c r="Y18" s="18"/>
    </row>
  </sheetData>
  <mergeCells count="1">
    <mergeCell ref="W15:Y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BAD8-1CCA-41A1-87EF-AF141A05BBC9}">
  <dimension ref="A3:T9"/>
  <sheetViews>
    <sheetView showGridLines="0" tabSelected="1" zoomScale="65" zoomScaleNormal="70" workbookViewId="0">
      <selection activeCell="W9" sqref="W9"/>
    </sheetView>
  </sheetViews>
  <sheetFormatPr defaultRowHeight="14.4" x14ac:dyDescent="0.3"/>
  <sheetData>
    <row r="3" spans="1:20" ht="15" thickBot="1" x14ac:dyDescent="0.35"/>
    <row r="4" spans="1:20" ht="14.4" customHeight="1" x14ac:dyDescent="0.3">
      <c r="A4" s="8">
        <f>COUNTA('Cleaned Dataset'!D:D)-1</f>
        <v>325</v>
      </c>
      <c r="B4" s="9"/>
      <c r="C4" s="14"/>
      <c r="D4" s="8">
        <f>ROUND(AVERAGE('Cleaned Dataset'!H:H),2)</f>
        <v>4.49</v>
      </c>
      <c r="E4" s="9"/>
      <c r="F4" s="14"/>
      <c r="G4" s="8">
        <f>SUMPRODUCT(('Cleaned Dataset'!B2:B326&lt;&gt;"")/COUNTIF('Cleaned Dataset'!B2:B326,'Cleaned Dataset'!B2:B326&amp;""))</f>
        <v>32.999999999999993</v>
      </c>
      <c r="H4" s="9"/>
      <c r="I4" s="14"/>
      <c r="J4" s="8">
        <f>ROUND(AVERAGE('Cleaned Dataset'!J:J),0)</f>
        <v>116</v>
      </c>
      <c r="K4" s="9"/>
      <c r="L4" s="14"/>
      <c r="M4" s="8">
        <f>COUNTIF('Cleaned Dataset'!R:R,"Highly Popular")</f>
        <v>38</v>
      </c>
      <c r="N4" s="9"/>
      <c r="O4" s="14"/>
      <c r="P4" s="8">
        <f>COUNTIF('Cleaned Dataset'!U:U,"Yes")</f>
        <v>77</v>
      </c>
      <c r="Q4" s="9"/>
      <c r="R4" s="14"/>
      <c r="S4" s="8">
        <f>COUNTIF('Cleaned Dataset'!K:K,"Paid")</f>
        <v>142</v>
      </c>
      <c r="T4" s="9"/>
    </row>
    <row r="5" spans="1:20" ht="14.4" customHeight="1" x14ac:dyDescent="0.3">
      <c r="A5" s="10"/>
      <c r="B5" s="11"/>
      <c r="C5" s="15"/>
      <c r="D5" s="10"/>
      <c r="E5" s="11"/>
      <c r="F5" s="15"/>
      <c r="G5" s="10"/>
      <c r="H5" s="11"/>
      <c r="I5" s="15"/>
      <c r="J5" s="10"/>
      <c r="K5" s="11"/>
      <c r="L5" s="15"/>
      <c r="M5" s="10"/>
      <c r="N5" s="11"/>
      <c r="O5" s="15"/>
      <c r="P5" s="10"/>
      <c r="Q5" s="11"/>
      <c r="R5" s="15"/>
      <c r="S5" s="10"/>
      <c r="T5" s="11"/>
    </row>
    <row r="6" spans="1:20" ht="14.4" customHeight="1" x14ac:dyDescent="0.3">
      <c r="A6" s="10"/>
      <c r="B6" s="11"/>
      <c r="C6" s="15"/>
      <c r="D6" s="10"/>
      <c r="E6" s="11"/>
      <c r="F6" s="15"/>
      <c r="G6" s="10"/>
      <c r="H6" s="11"/>
      <c r="I6" s="15"/>
      <c r="J6" s="10"/>
      <c r="K6" s="11"/>
      <c r="L6" s="15"/>
      <c r="M6" s="10"/>
      <c r="N6" s="11"/>
      <c r="O6" s="15"/>
      <c r="P6" s="10"/>
      <c r="Q6" s="11"/>
      <c r="R6" s="15"/>
      <c r="S6" s="10"/>
      <c r="T6" s="11"/>
    </row>
    <row r="7" spans="1:20" ht="14.4" customHeight="1" thickBot="1" x14ac:dyDescent="0.35">
      <c r="A7" s="12"/>
      <c r="B7" s="13"/>
      <c r="C7" s="16"/>
      <c r="D7" s="12"/>
      <c r="E7" s="13"/>
      <c r="F7" s="16"/>
      <c r="G7" s="12"/>
      <c r="H7" s="13"/>
      <c r="I7" s="16"/>
      <c r="J7" s="12"/>
      <c r="K7" s="13"/>
      <c r="L7" s="16"/>
      <c r="M7" s="12"/>
      <c r="N7" s="13"/>
      <c r="O7" s="16"/>
      <c r="P7" s="12"/>
      <c r="Q7" s="13"/>
      <c r="R7" s="16"/>
      <c r="S7" s="12"/>
      <c r="T7" s="13"/>
    </row>
    <row r="8" spans="1:20" x14ac:dyDescent="0.3">
      <c r="A8" s="20" t="s">
        <v>744</v>
      </c>
      <c r="B8" s="19"/>
      <c r="C8" s="21"/>
      <c r="D8" s="20" t="s">
        <v>745</v>
      </c>
      <c r="E8" s="25"/>
      <c r="F8" s="34"/>
      <c r="G8" s="20" t="s">
        <v>746</v>
      </c>
      <c r="H8" s="25"/>
      <c r="I8" s="34"/>
      <c r="J8" s="28" t="s">
        <v>747</v>
      </c>
      <c r="K8" s="29"/>
      <c r="L8" s="32"/>
      <c r="M8" s="28" t="s">
        <v>748</v>
      </c>
      <c r="N8" s="29"/>
      <c r="O8" s="32"/>
      <c r="P8" s="20" t="s">
        <v>749</v>
      </c>
      <c r="Q8" s="19"/>
      <c r="R8" s="21"/>
      <c r="S8" s="28" t="s">
        <v>750</v>
      </c>
      <c r="T8" s="29"/>
    </row>
    <row r="9" spans="1:20" ht="15" thickBot="1" x14ac:dyDescent="0.35">
      <c r="A9" s="22"/>
      <c r="B9" s="23"/>
      <c r="C9" s="24"/>
      <c r="D9" s="26"/>
      <c r="E9" s="27"/>
      <c r="F9" s="35"/>
      <c r="G9" s="26"/>
      <c r="H9" s="27"/>
      <c r="I9" s="35"/>
      <c r="J9" s="30"/>
      <c r="K9" s="31"/>
      <c r="L9" s="33"/>
      <c r="M9" s="30"/>
      <c r="N9" s="31"/>
      <c r="O9" s="33"/>
      <c r="P9" s="22"/>
      <c r="Q9" s="23"/>
      <c r="R9" s="24"/>
      <c r="S9" s="30"/>
      <c r="T9" s="31"/>
    </row>
  </sheetData>
  <mergeCells count="14">
    <mergeCell ref="P8:R9"/>
    <mergeCell ref="S8:T9"/>
    <mergeCell ref="A8:C9"/>
    <mergeCell ref="D8:F9"/>
    <mergeCell ref="G8:I9"/>
    <mergeCell ref="J8:L9"/>
    <mergeCell ref="M8:O9"/>
    <mergeCell ref="S4:T7"/>
    <mergeCell ref="A4:C7"/>
    <mergeCell ref="D4:F7"/>
    <mergeCell ref="G4:I7"/>
    <mergeCell ref="J4:L7"/>
    <mergeCell ref="M4:O7"/>
    <mergeCell ref="P4: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9B6EF6-96E9-47BB-A0F8-01FD3BAC8A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Dataset</vt:lpstr>
      <vt:lpstr>Cleaned Dataset</vt:lpstr>
      <vt:lpstr>map_data</vt:lpstr>
      <vt:lpstr>pivot_tables</vt:lpstr>
      <vt:lpstr>VIsuals_all</vt:lpstr>
      <vt:lpstr>New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Shehnaz Rangrez</cp:lastModifiedBy>
  <dcterms:created xsi:type="dcterms:W3CDTF">2026-05-26T06:50:07Z</dcterms:created>
  <dcterms:modified xsi:type="dcterms:W3CDTF">2026-06-01T19:16:41Z</dcterms:modified>
</cp:coreProperties>
</file>